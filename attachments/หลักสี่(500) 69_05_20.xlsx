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9c54d39aaeee1f3b/Send from Line/"/>
    </mc:Choice>
  </mc:AlternateContent>
  <xr:revisionPtr revIDLastSave="7" documentId="13_ncr:1_{095437AD-8E79-4AA5-B60E-DD9A8FB792EF}" xr6:coauthVersionLast="47" xr6:coauthVersionMax="47" xr10:uidLastSave="{9ACBDB48-1ABE-4A44-8685-8FD1E74C9843}"/>
  <bookViews>
    <workbookView xWindow="-120" yWindow="-120" windowWidth="29040" windowHeight="15720" activeTab="3" xr2:uid="{00000000-000D-0000-FFFF-FFFF00000000}"/>
  </bookViews>
  <sheets>
    <sheet name="Header" sheetId="1" r:id="rId1"/>
    <sheet name="volume" sheetId="2" r:id="rId2"/>
    <sheet name="Queue" sheetId="3" r:id="rId3"/>
    <sheet name="Report" sheetId="4" r:id="rId4"/>
    <sheet name="Analysis" sheetId="5" state="hidden" r:id="rId5"/>
  </sheets>
  <definedNames>
    <definedName name="_xlnm.Print_Area" localSheetId="3">Report!$A$1:$Y$114</definedName>
    <definedName name="Z_89E132C0_7630_11D1_8600_87467182CD24_.wvu.Cols" localSheetId="4">Analysis!$AS:$AX</definedName>
    <definedName name="Z_89E132C0_7630_11D1_8600_87467182CD24_.wvu.Cols" localSheetId="1">volume!$AL:$AQ</definedName>
    <definedName name="Z_89E132C0_7630_11D1_8600_87467182CD24_.wvu.PrintArea" localSheetId="4">Analysis!$A$1:$AR$51</definedName>
    <definedName name="Z_89E132C0_7630_11D1_8600_87467182CD24_.wvu.PrintArea" localSheetId="1">volume!$A$1:$AK$51</definedName>
    <definedName name="Z_89E132C0_7630_11D1_8600_87467182CD24_.wvu.Rows" localSheetId="3">Report!$78:$78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9" roundtripDataSignature="AMtx7mgHTRiwyeNSY1Qrzpt8unoN2gxgQA=="/>
    </ext>
  </extLst>
</workbook>
</file>

<file path=xl/calcChain.xml><?xml version="1.0" encoding="utf-8"?>
<calcChain xmlns="http://schemas.openxmlformats.org/spreadsheetml/2006/main">
  <c r="D18" i="4" l="1"/>
  <c r="B18" i="4"/>
  <c r="A8" i="4"/>
  <c r="D3" i="4"/>
  <c r="F87" i="4"/>
  <c r="F86" i="4"/>
  <c r="F83" i="4"/>
  <c r="F84" i="4"/>
  <c r="U2" i="4" l="1"/>
  <c r="N2" i="4"/>
  <c r="H2" i="4"/>
  <c r="B1" i="4"/>
  <c r="B61" i="4" s="1"/>
  <c r="B2" i="4"/>
  <c r="B62" i="4" s="1"/>
  <c r="I61" i="4" l="1"/>
  <c r="U62" i="4"/>
  <c r="N62" i="4"/>
  <c r="H62" i="4"/>
  <c r="HI50" i="5"/>
  <c r="HH50" i="5"/>
  <c r="HG50" i="5"/>
  <c r="HF50" i="5"/>
  <c r="HE50" i="5"/>
  <c r="HD50" i="5"/>
  <c r="HB50" i="5"/>
  <c r="HA50" i="5"/>
  <c r="GZ50" i="5"/>
  <c r="GY50" i="5"/>
  <c r="GX50" i="5"/>
  <c r="GW50" i="5"/>
  <c r="GU50" i="5"/>
  <c r="GT50" i="5"/>
  <c r="GS50" i="5"/>
  <c r="GR50" i="5"/>
  <c r="GQ50" i="5"/>
  <c r="GP50" i="5"/>
  <c r="GG50" i="5"/>
  <c r="GF50" i="5"/>
  <c r="GE50" i="5"/>
  <c r="GD50" i="5"/>
  <c r="GC50" i="5"/>
  <c r="GB50" i="5"/>
  <c r="FZ50" i="5"/>
  <c r="FY50" i="5"/>
  <c r="FX50" i="5"/>
  <c r="FW50" i="5"/>
  <c r="FV50" i="5"/>
  <c r="FU50" i="5"/>
  <c r="FS50" i="5"/>
  <c r="FR50" i="5"/>
  <c r="FQ50" i="5"/>
  <c r="FP50" i="5"/>
  <c r="FO50" i="5"/>
  <c r="FN50" i="5"/>
  <c r="FE50" i="5"/>
  <c r="FD50" i="5"/>
  <c r="FC50" i="5"/>
  <c r="FB50" i="5"/>
  <c r="FA50" i="5"/>
  <c r="EZ50" i="5"/>
  <c r="EX50" i="5"/>
  <c r="EW50" i="5"/>
  <c r="EV50" i="5"/>
  <c r="EU50" i="5"/>
  <c r="ET50" i="5"/>
  <c r="ES50" i="5"/>
  <c r="EQ50" i="5"/>
  <c r="EP50" i="5"/>
  <c r="EO50" i="5"/>
  <c r="EN50" i="5"/>
  <c r="EM50" i="5"/>
  <c r="EL50" i="5"/>
  <c r="EC50" i="5"/>
  <c r="EB50" i="5"/>
  <c r="EA50" i="5"/>
  <c r="DZ50" i="5"/>
  <c r="DY50" i="5"/>
  <c r="DX50" i="5"/>
  <c r="DV50" i="5"/>
  <c r="DU50" i="5"/>
  <c r="DT50" i="5"/>
  <c r="DS50" i="5"/>
  <c r="DR50" i="5"/>
  <c r="DQ50" i="5"/>
  <c r="DO50" i="5"/>
  <c r="DN50" i="5"/>
  <c r="DM50" i="5"/>
  <c r="DL50" i="5"/>
  <c r="DK50" i="5"/>
  <c r="DJ50" i="5"/>
  <c r="DH50" i="5"/>
  <c r="DG50" i="5"/>
  <c r="DF50" i="5"/>
  <c r="DE50" i="5"/>
  <c r="DD50" i="5"/>
  <c r="DC50" i="5"/>
  <c r="DA50" i="5"/>
  <c r="CZ50" i="5"/>
  <c r="CY50" i="5"/>
  <c r="CX50" i="5"/>
  <c r="CW50" i="5"/>
  <c r="CV50" i="5"/>
  <c r="CT50" i="5"/>
  <c r="CS50" i="5"/>
  <c r="CR50" i="5"/>
  <c r="CQ50" i="5"/>
  <c r="CP50" i="5"/>
  <c r="CO50" i="5"/>
  <c r="CM50" i="5"/>
  <c r="CL50" i="5"/>
  <c r="CK50" i="5"/>
  <c r="CJ50" i="5"/>
  <c r="CI50" i="5"/>
  <c r="CH50" i="5"/>
  <c r="CF50" i="5"/>
  <c r="CE50" i="5"/>
  <c r="CD50" i="5"/>
  <c r="CC50" i="5"/>
  <c r="CB50" i="5"/>
  <c r="CA50" i="5"/>
  <c r="BY50" i="5"/>
  <c r="BX50" i="5"/>
  <c r="BW50" i="5"/>
  <c r="BV50" i="5"/>
  <c r="BU50" i="5"/>
  <c r="BT50" i="5"/>
  <c r="BR50" i="5"/>
  <c r="BQ50" i="5"/>
  <c r="BP50" i="5"/>
  <c r="BO50" i="5"/>
  <c r="BN50" i="5"/>
  <c r="BM50" i="5"/>
  <c r="BK50" i="5"/>
  <c r="BJ50" i="5"/>
  <c r="BI50" i="5"/>
  <c r="BH50" i="5"/>
  <c r="BG50" i="5"/>
  <c r="BF50" i="5"/>
  <c r="BD50" i="5"/>
  <c r="BC50" i="5"/>
  <c r="BB50" i="5"/>
  <c r="BA50" i="5"/>
  <c r="AZ50" i="5"/>
  <c r="AY50" i="5"/>
  <c r="AW50" i="5"/>
  <c r="AV50" i="5"/>
  <c r="AU50" i="5"/>
  <c r="AT50" i="5"/>
  <c r="AS50" i="5"/>
  <c r="AR50" i="5"/>
  <c r="AP50" i="5"/>
  <c r="AO50" i="5"/>
  <c r="AN50" i="5"/>
  <c r="AM50" i="5"/>
  <c r="AL50" i="5"/>
  <c r="AK50" i="5"/>
  <c r="AI50" i="5"/>
  <c r="AH50" i="5"/>
  <c r="AG50" i="5"/>
  <c r="AF50" i="5"/>
  <c r="AE50" i="5"/>
  <c r="AD50" i="5"/>
  <c r="AB50" i="5"/>
  <c r="AA50" i="5"/>
  <c r="Z50" i="5"/>
  <c r="Y50" i="5"/>
  <c r="X50" i="5"/>
  <c r="W50" i="5"/>
  <c r="U50" i="5"/>
  <c r="T50" i="5"/>
  <c r="S50" i="5"/>
  <c r="R50" i="5"/>
  <c r="Q50" i="5"/>
  <c r="P50" i="5"/>
  <c r="N50" i="5"/>
  <c r="M50" i="5"/>
  <c r="L50" i="5"/>
  <c r="K50" i="5"/>
  <c r="J50" i="5"/>
  <c r="I50" i="5"/>
  <c r="G50" i="5"/>
  <c r="F50" i="5"/>
  <c r="E50" i="5"/>
  <c r="D50" i="5"/>
  <c r="C50" i="5"/>
  <c r="B50" i="5"/>
  <c r="HI49" i="5"/>
  <c r="HH49" i="5"/>
  <c r="HG49" i="5"/>
  <c r="HF49" i="5"/>
  <c r="HE49" i="5"/>
  <c r="HD49" i="5"/>
  <c r="HB49" i="5"/>
  <c r="HA49" i="5"/>
  <c r="GZ49" i="5"/>
  <c r="GY49" i="5"/>
  <c r="GX49" i="5"/>
  <c r="GW49" i="5"/>
  <c r="GU49" i="5"/>
  <c r="GT49" i="5"/>
  <c r="GS49" i="5"/>
  <c r="GR49" i="5"/>
  <c r="GQ49" i="5"/>
  <c r="GP49" i="5"/>
  <c r="GG49" i="5"/>
  <c r="GF49" i="5"/>
  <c r="GE49" i="5"/>
  <c r="GD49" i="5"/>
  <c r="GC49" i="5"/>
  <c r="GB49" i="5"/>
  <c r="FZ49" i="5"/>
  <c r="FY49" i="5"/>
  <c r="FX49" i="5"/>
  <c r="FW49" i="5"/>
  <c r="FV49" i="5"/>
  <c r="FU49" i="5"/>
  <c r="FS49" i="5"/>
  <c r="FR49" i="5"/>
  <c r="FQ49" i="5"/>
  <c r="FP49" i="5"/>
  <c r="FO49" i="5"/>
  <c r="FN49" i="5"/>
  <c r="FE49" i="5"/>
  <c r="FD49" i="5"/>
  <c r="FC49" i="5"/>
  <c r="FB49" i="5"/>
  <c r="FA49" i="5"/>
  <c r="EZ49" i="5"/>
  <c r="EX49" i="5"/>
  <c r="EW49" i="5"/>
  <c r="EV49" i="5"/>
  <c r="EU49" i="5"/>
  <c r="ET49" i="5"/>
  <c r="ES49" i="5"/>
  <c r="EQ49" i="5"/>
  <c r="EP49" i="5"/>
  <c r="EO49" i="5"/>
  <c r="EN49" i="5"/>
  <c r="EM49" i="5"/>
  <c r="EL49" i="5"/>
  <c r="EC49" i="5"/>
  <c r="EB49" i="5"/>
  <c r="EA49" i="5"/>
  <c r="DZ49" i="5"/>
  <c r="DY49" i="5"/>
  <c r="DX49" i="5"/>
  <c r="DV49" i="5"/>
  <c r="DU49" i="5"/>
  <c r="DT49" i="5"/>
  <c r="DS49" i="5"/>
  <c r="DR49" i="5"/>
  <c r="DQ49" i="5"/>
  <c r="DO49" i="5"/>
  <c r="DN49" i="5"/>
  <c r="DM49" i="5"/>
  <c r="DL49" i="5"/>
  <c r="DK49" i="5"/>
  <c r="DJ49" i="5"/>
  <c r="DH49" i="5"/>
  <c r="DG49" i="5"/>
  <c r="DF49" i="5"/>
  <c r="DE49" i="5"/>
  <c r="DD49" i="5"/>
  <c r="DC49" i="5"/>
  <c r="DA49" i="5"/>
  <c r="CZ49" i="5"/>
  <c r="CY49" i="5"/>
  <c r="CX49" i="5"/>
  <c r="CW49" i="5"/>
  <c r="CV49" i="5"/>
  <c r="CT49" i="5"/>
  <c r="CS49" i="5"/>
  <c r="CR49" i="5"/>
  <c r="CQ49" i="5"/>
  <c r="CP49" i="5"/>
  <c r="CO49" i="5"/>
  <c r="CM49" i="5"/>
  <c r="CL49" i="5"/>
  <c r="CK49" i="5"/>
  <c r="CJ49" i="5"/>
  <c r="CI49" i="5"/>
  <c r="CH49" i="5"/>
  <c r="CF49" i="5"/>
  <c r="CE49" i="5"/>
  <c r="CD49" i="5"/>
  <c r="CC49" i="5"/>
  <c r="CB49" i="5"/>
  <c r="CA49" i="5"/>
  <c r="BY49" i="5"/>
  <c r="BX49" i="5"/>
  <c r="BW49" i="5"/>
  <c r="BV49" i="5"/>
  <c r="BU49" i="5"/>
  <c r="BT49" i="5"/>
  <c r="BR49" i="5"/>
  <c r="BQ49" i="5"/>
  <c r="BP49" i="5"/>
  <c r="BO49" i="5"/>
  <c r="BN49" i="5"/>
  <c r="BM49" i="5"/>
  <c r="BK49" i="5"/>
  <c r="BJ49" i="5"/>
  <c r="BI49" i="5"/>
  <c r="BH49" i="5"/>
  <c r="BG49" i="5"/>
  <c r="BF49" i="5"/>
  <c r="BD49" i="5"/>
  <c r="BC49" i="5"/>
  <c r="BB49" i="5"/>
  <c r="BA49" i="5"/>
  <c r="AZ49" i="5"/>
  <c r="AY49" i="5"/>
  <c r="AW49" i="5"/>
  <c r="AV49" i="5"/>
  <c r="AU49" i="5"/>
  <c r="AT49" i="5"/>
  <c r="AS49" i="5"/>
  <c r="AR49" i="5"/>
  <c r="AP49" i="5"/>
  <c r="AO49" i="5"/>
  <c r="AN49" i="5"/>
  <c r="AM49" i="5"/>
  <c r="AL49" i="5"/>
  <c r="AK49" i="5"/>
  <c r="AI49" i="5"/>
  <c r="AH49" i="5"/>
  <c r="AG49" i="5"/>
  <c r="AF49" i="5"/>
  <c r="AE49" i="5"/>
  <c r="AD49" i="5"/>
  <c r="AB49" i="5"/>
  <c r="AA49" i="5"/>
  <c r="Z49" i="5"/>
  <c r="Y49" i="5"/>
  <c r="X49" i="5"/>
  <c r="W49" i="5"/>
  <c r="U49" i="5"/>
  <c r="T49" i="5"/>
  <c r="S49" i="5"/>
  <c r="R49" i="5"/>
  <c r="Q49" i="5"/>
  <c r="P49" i="5"/>
  <c r="N49" i="5"/>
  <c r="M49" i="5"/>
  <c r="L49" i="5"/>
  <c r="K49" i="5"/>
  <c r="J49" i="5"/>
  <c r="I49" i="5"/>
  <c r="G49" i="5"/>
  <c r="F49" i="5"/>
  <c r="E49" i="5"/>
  <c r="D49" i="5"/>
  <c r="C49" i="5"/>
  <c r="B49" i="5"/>
  <c r="HI48" i="5"/>
  <c r="HH48" i="5"/>
  <c r="HG48" i="5"/>
  <c r="HF48" i="5"/>
  <c r="HE48" i="5"/>
  <c r="HD48" i="5"/>
  <c r="HB48" i="5"/>
  <c r="HA48" i="5"/>
  <c r="GZ48" i="5"/>
  <c r="GY48" i="5"/>
  <c r="GX48" i="5"/>
  <c r="GW48" i="5"/>
  <c r="GU48" i="5"/>
  <c r="GT48" i="5"/>
  <c r="GS48" i="5"/>
  <c r="GR48" i="5"/>
  <c r="GQ48" i="5"/>
  <c r="GP48" i="5"/>
  <c r="GG48" i="5"/>
  <c r="GF48" i="5"/>
  <c r="GE48" i="5"/>
  <c r="GD48" i="5"/>
  <c r="GC48" i="5"/>
  <c r="GB48" i="5"/>
  <c r="FZ48" i="5"/>
  <c r="FY48" i="5"/>
  <c r="FX48" i="5"/>
  <c r="FW48" i="5"/>
  <c r="FV48" i="5"/>
  <c r="FU48" i="5"/>
  <c r="FS48" i="5"/>
  <c r="FR48" i="5"/>
  <c r="FQ48" i="5"/>
  <c r="FP48" i="5"/>
  <c r="FO48" i="5"/>
  <c r="FN48" i="5"/>
  <c r="FE48" i="5"/>
  <c r="FD48" i="5"/>
  <c r="FC48" i="5"/>
  <c r="FB48" i="5"/>
  <c r="FA48" i="5"/>
  <c r="EZ48" i="5"/>
  <c r="EX48" i="5"/>
  <c r="EW48" i="5"/>
  <c r="EV48" i="5"/>
  <c r="EU48" i="5"/>
  <c r="ET48" i="5"/>
  <c r="ES48" i="5"/>
  <c r="EQ48" i="5"/>
  <c r="EP48" i="5"/>
  <c r="EO48" i="5"/>
  <c r="EN48" i="5"/>
  <c r="EM48" i="5"/>
  <c r="EL48" i="5"/>
  <c r="EC48" i="5"/>
  <c r="EB48" i="5"/>
  <c r="EA48" i="5"/>
  <c r="DZ48" i="5"/>
  <c r="DY48" i="5"/>
  <c r="DX48" i="5"/>
  <c r="DV48" i="5"/>
  <c r="DU48" i="5"/>
  <c r="DT48" i="5"/>
  <c r="DS48" i="5"/>
  <c r="DR48" i="5"/>
  <c r="DQ48" i="5"/>
  <c r="DO48" i="5"/>
  <c r="DN48" i="5"/>
  <c r="DM48" i="5"/>
  <c r="DL48" i="5"/>
  <c r="DK48" i="5"/>
  <c r="DJ48" i="5"/>
  <c r="DH48" i="5"/>
  <c r="DG48" i="5"/>
  <c r="DF48" i="5"/>
  <c r="DE48" i="5"/>
  <c r="DD48" i="5"/>
  <c r="DC48" i="5"/>
  <c r="DA48" i="5"/>
  <c r="CZ48" i="5"/>
  <c r="CY48" i="5"/>
  <c r="CX48" i="5"/>
  <c r="CW48" i="5"/>
  <c r="CV48" i="5"/>
  <c r="CT48" i="5"/>
  <c r="CS48" i="5"/>
  <c r="CR48" i="5"/>
  <c r="CQ48" i="5"/>
  <c r="CP48" i="5"/>
  <c r="CO48" i="5"/>
  <c r="CM48" i="5"/>
  <c r="CL48" i="5"/>
  <c r="CK48" i="5"/>
  <c r="CJ48" i="5"/>
  <c r="CI48" i="5"/>
  <c r="CH48" i="5"/>
  <c r="CF48" i="5"/>
  <c r="CE48" i="5"/>
  <c r="CD48" i="5"/>
  <c r="CC48" i="5"/>
  <c r="CB48" i="5"/>
  <c r="CA48" i="5"/>
  <c r="BY48" i="5"/>
  <c r="BX48" i="5"/>
  <c r="BW48" i="5"/>
  <c r="BV48" i="5"/>
  <c r="BU48" i="5"/>
  <c r="BT48" i="5"/>
  <c r="BR48" i="5"/>
  <c r="BQ48" i="5"/>
  <c r="BP48" i="5"/>
  <c r="BO48" i="5"/>
  <c r="BN48" i="5"/>
  <c r="BM48" i="5"/>
  <c r="BK48" i="5"/>
  <c r="BJ48" i="5"/>
  <c r="BI48" i="5"/>
  <c r="BH48" i="5"/>
  <c r="BG48" i="5"/>
  <c r="BF48" i="5"/>
  <c r="BD48" i="5"/>
  <c r="BC48" i="5"/>
  <c r="BB48" i="5"/>
  <c r="BA48" i="5"/>
  <c r="AZ48" i="5"/>
  <c r="AY48" i="5"/>
  <c r="AW48" i="5"/>
  <c r="AV48" i="5"/>
  <c r="AU48" i="5"/>
  <c r="AT48" i="5"/>
  <c r="AS48" i="5"/>
  <c r="AR48" i="5"/>
  <c r="AP48" i="5"/>
  <c r="AO48" i="5"/>
  <c r="AN48" i="5"/>
  <c r="AM48" i="5"/>
  <c r="AL48" i="5"/>
  <c r="AK48" i="5"/>
  <c r="AI48" i="5"/>
  <c r="AH48" i="5"/>
  <c r="AG48" i="5"/>
  <c r="AF48" i="5"/>
  <c r="AE48" i="5"/>
  <c r="AD48" i="5"/>
  <c r="AB48" i="5"/>
  <c r="AA48" i="5"/>
  <c r="Z48" i="5"/>
  <c r="Y48" i="5"/>
  <c r="X48" i="5"/>
  <c r="W48" i="5"/>
  <c r="U48" i="5"/>
  <c r="T48" i="5"/>
  <c r="S48" i="5"/>
  <c r="R48" i="5"/>
  <c r="Q48" i="5"/>
  <c r="P48" i="5"/>
  <c r="N48" i="5"/>
  <c r="M48" i="5"/>
  <c r="L48" i="5"/>
  <c r="K48" i="5"/>
  <c r="J48" i="5"/>
  <c r="I48" i="5"/>
  <c r="G48" i="5"/>
  <c r="F48" i="5"/>
  <c r="E48" i="5"/>
  <c r="D48" i="5"/>
  <c r="C48" i="5"/>
  <c r="B48" i="5"/>
  <c r="HI47" i="5"/>
  <c r="HI64" i="5" s="1"/>
  <c r="HI93" i="5" s="1"/>
  <c r="HH47" i="5"/>
  <c r="HH64" i="5" s="1"/>
  <c r="HH93" i="5" s="1"/>
  <c r="HG47" i="5"/>
  <c r="HF47" i="5"/>
  <c r="HF64" i="5" s="1"/>
  <c r="HF93" i="5" s="1"/>
  <c r="HE47" i="5"/>
  <c r="HE64" i="5" s="1"/>
  <c r="HE93" i="5" s="1"/>
  <c r="HD47" i="5"/>
  <c r="HD64" i="5" s="1"/>
  <c r="HD93" i="5" s="1"/>
  <c r="HB47" i="5"/>
  <c r="HB64" i="5" s="1"/>
  <c r="HB93" i="5" s="1"/>
  <c r="HA47" i="5"/>
  <c r="HA64" i="5" s="1"/>
  <c r="HA93" i="5" s="1"/>
  <c r="GZ47" i="5"/>
  <c r="GZ64" i="5" s="1"/>
  <c r="GZ93" i="5" s="1"/>
  <c r="GY47" i="5"/>
  <c r="GX47" i="5"/>
  <c r="GX64" i="5" s="1"/>
  <c r="GX93" i="5" s="1"/>
  <c r="GW47" i="5"/>
  <c r="GW64" i="5" s="1"/>
  <c r="GW93" i="5" s="1"/>
  <c r="GU47" i="5"/>
  <c r="GU64" i="5" s="1"/>
  <c r="GU93" i="5" s="1"/>
  <c r="GT47" i="5"/>
  <c r="GS47" i="5"/>
  <c r="GR47" i="5"/>
  <c r="GR64" i="5" s="1"/>
  <c r="GR93" i="5" s="1"/>
  <c r="GQ47" i="5"/>
  <c r="GP47" i="5"/>
  <c r="GP64" i="5" s="1"/>
  <c r="GP93" i="5" s="1"/>
  <c r="GG47" i="5"/>
  <c r="GG64" i="5" s="1"/>
  <c r="GG93" i="5" s="1"/>
  <c r="GF47" i="5"/>
  <c r="GE47" i="5"/>
  <c r="GE64" i="5" s="1"/>
  <c r="GE93" i="5" s="1"/>
  <c r="GD47" i="5"/>
  <c r="GD64" i="5" s="1"/>
  <c r="GD93" i="5" s="1"/>
  <c r="GC47" i="5"/>
  <c r="GB47" i="5"/>
  <c r="FZ47" i="5"/>
  <c r="FZ64" i="5" s="1"/>
  <c r="FZ93" i="5" s="1"/>
  <c r="FY47" i="5"/>
  <c r="FY64" i="5" s="1"/>
  <c r="FY93" i="5" s="1"/>
  <c r="FX47" i="5"/>
  <c r="FW47" i="5"/>
  <c r="FW64" i="5" s="1"/>
  <c r="FW93" i="5" s="1"/>
  <c r="FV47" i="5"/>
  <c r="FV64" i="5" s="1"/>
  <c r="FV93" i="5" s="1"/>
  <c r="FU47" i="5"/>
  <c r="FU64" i="5" s="1"/>
  <c r="FU93" i="5" s="1"/>
  <c r="FS47" i="5"/>
  <c r="FS64" i="5" s="1"/>
  <c r="FR47" i="5"/>
  <c r="FQ47" i="5"/>
  <c r="FQ64" i="5" s="1"/>
  <c r="FQ93" i="5" s="1"/>
  <c r="FP47" i="5"/>
  <c r="FO47" i="5"/>
  <c r="FO64" i="5" s="1"/>
  <c r="FO93" i="5" s="1"/>
  <c r="FN47" i="5"/>
  <c r="FE47" i="5"/>
  <c r="FD47" i="5"/>
  <c r="FD64" i="5" s="1"/>
  <c r="FD93" i="5" s="1"/>
  <c r="FC47" i="5"/>
  <c r="FC64" i="5" s="1"/>
  <c r="FC93" i="5" s="1"/>
  <c r="FB47" i="5"/>
  <c r="FB64" i="5" s="1"/>
  <c r="FB93" i="5" s="1"/>
  <c r="FA47" i="5"/>
  <c r="EZ47" i="5"/>
  <c r="EZ64" i="5" s="1"/>
  <c r="EZ93" i="5" s="1"/>
  <c r="EX47" i="5"/>
  <c r="EX64" i="5" s="1"/>
  <c r="EX93" i="5" s="1"/>
  <c r="EW47" i="5"/>
  <c r="EW64" i="5" s="1"/>
  <c r="EW93" i="5" s="1"/>
  <c r="EV47" i="5"/>
  <c r="EV64" i="5" s="1"/>
  <c r="EV93" i="5" s="1"/>
  <c r="EU47" i="5"/>
  <c r="EU64" i="5" s="1"/>
  <c r="EU93" i="5" s="1"/>
  <c r="ET47" i="5"/>
  <c r="ET64" i="5" s="1"/>
  <c r="ET93" i="5" s="1"/>
  <c r="ES47" i="5"/>
  <c r="EQ47" i="5"/>
  <c r="EQ64" i="5" s="1"/>
  <c r="EQ93" i="5" s="1"/>
  <c r="EP47" i="5"/>
  <c r="EP64" i="5" s="1"/>
  <c r="EP93" i="5" s="1"/>
  <c r="EO47" i="5"/>
  <c r="EN47" i="5"/>
  <c r="EN64" i="5" s="1"/>
  <c r="EN93" i="5" s="1"/>
  <c r="EM47" i="5"/>
  <c r="EM64" i="5" s="1"/>
  <c r="EM93" i="5" s="1"/>
  <c r="EL47" i="5"/>
  <c r="EL64" i="5" s="1"/>
  <c r="EL93" i="5" s="1"/>
  <c r="EC47" i="5"/>
  <c r="EC64" i="5" s="1"/>
  <c r="EC93" i="5" s="1"/>
  <c r="EB47" i="5"/>
  <c r="EB64" i="5" s="1"/>
  <c r="EB93" i="5" s="1"/>
  <c r="EA47" i="5"/>
  <c r="EA64" i="5" s="1"/>
  <c r="EA93" i="5" s="1"/>
  <c r="DZ47" i="5"/>
  <c r="DY47" i="5"/>
  <c r="DY64" i="5" s="1"/>
  <c r="DY93" i="5" s="1"/>
  <c r="DX47" i="5"/>
  <c r="DX64" i="5" s="1"/>
  <c r="DX93" i="5" s="1"/>
  <c r="DV47" i="5"/>
  <c r="DU47" i="5"/>
  <c r="DU64" i="5" s="1"/>
  <c r="DU93" i="5" s="1"/>
  <c r="DT47" i="5"/>
  <c r="DT64" i="5" s="1"/>
  <c r="DT93" i="5" s="1"/>
  <c r="DS47" i="5"/>
  <c r="DS64" i="5" s="1"/>
  <c r="DS93" i="5" s="1"/>
  <c r="DR47" i="5"/>
  <c r="DQ47" i="5"/>
  <c r="DQ64" i="5" s="1"/>
  <c r="DQ93" i="5" s="1"/>
  <c r="DO47" i="5"/>
  <c r="DO64" i="5" s="1"/>
  <c r="DO93" i="5" s="1"/>
  <c r="DN47" i="5"/>
  <c r="DM47" i="5"/>
  <c r="DM64" i="5" s="1"/>
  <c r="DM93" i="5" s="1"/>
  <c r="DL47" i="5"/>
  <c r="DL64" i="5" s="1"/>
  <c r="DL93" i="5" s="1"/>
  <c r="DK47" i="5"/>
  <c r="DK64" i="5" s="1"/>
  <c r="DK93" i="5" s="1"/>
  <c r="DJ47" i="5"/>
  <c r="DH47" i="5"/>
  <c r="DH64" i="5" s="1"/>
  <c r="DH93" i="5" s="1"/>
  <c r="DG47" i="5"/>
  <c r="DG64" i="5" s="1"/>
  <c r="DG93" i="5" s="1"/>
  <c r="DF47" i="5"/>
  <c r="DF64" i="5" s="1"/>
  <c r="DF93" i="5" s="1"/>
  <c r="DE47" i="5"/>
  <c r="DE64" i="5" s="1"/>
  <c r="DE93" i="5" s="1"/>
  <c r="DD47" i="5"/>
  <c r="DD64" i="5" s="1"/>
  <c r="DD93" i="5" s="1"/>
  <c r="DC47" i="5"/>
  <c r="DC64" i="5" s="1"/>
  <c r="DC93" i="5" s="1"/>
  <c r="DA47" i="5"/>
  <c r="DA64" i="5" s="1"/>
  <c r="DA93" i="5" s="1"/>
  <c r="CZ47" i="5"/>
  <c r="CZ64" i="5" s="1"/>
  <c r="CZ93" i="5" s="1"/>
  <c r="CY47" i="5"/>
  <c r="CY64" i="5" s="1"/>
  <c r="CY93" i="5" s="1"/>
  <c r="CX47" i="5"/>
  <c r="CX64" i="5" s="1"/>
  <c r="CX93" i="5" s="1"/>
  <c r="CW47" i="5"/>
  <c r="CW64" i="5" s="1"/>
  <c r="CW93" i="5" s="1"/>
  <c r="CV47" i="5"/>
  <c r="CV64" i="5" s="1"/>
  <c r="CV93" i="5" s="1"/>
  <c r="CT47" i="5"/>
  <c r="CS47" i="5"/>
  <c r="CS64" i="5" s="1"/>
  <c r="CS93" i="5" s="1"/>
  <c r="CR47" i="5"/>
  <c r="CR64" i="5" s="1"/>
  <c r="CR93" i="5" s="1"/>
  <c r="CQ47" i="5"/>
  <c r="CQ64" i="5" s="1"/>
  <c r="CQ93" i="5" s="1"/>
  <c r="CP47" i="5"/>
  <c r="CO47" i="5"/>
  <c r="CO64" i="5" s="1"/>
  <c r="CO93" i="5" s="1"/>
  <c r="CM47" i="5"/>
  <c r="CM64" i="5" s="1"/>
  <c r="CM93" i="5" s="1"/>
  <c r="CL47" i="5"/>
  <c r="CK47" i="5"/>
  <c r="CK64" i="5" s="1"/>
  <c r="CK93" i="5" s="1"/>
  <c r="CJ47" i="5"/>
  <c r="CJ64" i="5" s="1"/>
  <c r="CJ93" i="5" s="1"/>
  <c r="CI47" i="5"/>
  <c r="CI64" i="5" s="1"/>
  <c r="CI93" i="5" s="1"/>
  <c r="CH47" i="5"/>
  <c r="CF47" i="5"/>
  <c r="CF64" i="5" s="1"/>
  <c r="CF93" i="5" s="1"/>
  <c r="CE47" i="5"/>
  <c r="CE64" i="5" s="1"/>
  <c r="CE93" i="5" s="1"/>
  <c r="CD47" i="5"/>
  <c r="CC47" i="5"/>
  <c r="CC64" i="5" s="1"/>
  <c r="CC93" i="5" s="1"/>
  <c r="CB47" i="5"/>
  <c r="CB64" i="5" s="1"/>
  <c r="CB93" i="5" s="1"/>
  <c r="CA47" i="5"/>
  <c r="CA64" i="5" s="1"/>
  <c r="CA93" i="5" s="1"/>
  <c r="BY47" i="5"/>
  <c r="BY64" i="5" s="1"/>
  <c r="BY93" i="5" s="1"/>
  <c r="BX47" i="5"/>
  <c r="BX64" i="5" s="1"/>
  <c r="BX93" i="5" s="1"/>
  <c r="BW47" i="5"/>
  <c r="BW64" i="5" s="1"/>
  <c r="BW93" i="5" s="1"/>
  <c r="BV47" i="5"/>
  <c r="BU47" i="5"/>
  <c r="BU64" i="5" s="1"/>
  <c r="BU93" i="5" s="1"/>
  <c r="BT47" i="5"/>
  <c r="BT64" i="5" s="1"/>
  <c r="BT93" i="5" s="1"/>
  <c r="BR47" i="5"/>
  <c r="BR64" i="5" s="1"/>
  <c r="BR93" i="5" s="1"/>
  <c r="BQ47" i="5"/>
  <c r="BQ64" i="5" s="1"/>
  <c r="BQ93" i="5" s="1"/>
  <c r="BP47" i="5"/>
  <c r="BP64" i="5" s="1"/>
  <c r="BP93" i="5" s="1"/>
  <c r="BO47" i="5"/>
  <c r="BO64" i="5" s="1"/>
  <c r="BO93" i="5" s="1"/>
  <c r="BN47" i="5"/>
  <c r="BM47" i="5"/>
  <c r="BM64" i="5" s="1"/>
  <c r="BM93" i="5" s="1"/>
  <c r="BK47" i="5"/>
  <c r="BK64" i="5" s="1"/>
  <c r="BK93" i="5" s="1"/>
  <c r="BJ47" i="5"/>
  <c r="BI47" i="5"/>
  <c r="BI64" i="5" s="1"/>
  <c r="BI93" i="5" s="1"/>
  <c r="BH47" i="5"/>
  <c r="BH64" i="5" s="1"/>
  <c r="BH93" i="5" s="1"/>
  <c r="BG47" i="5"/>
  <c r="BG64" i="5" s="1"/>
  <c r="BG93" i="5" s="1"/>
  <c r="BF47" i="5"/>
  <c r="BD47" i="5"/>
  <c r="BD64" i="5" s="1"/>
  <c r="BD93" i="5" s="1"/>
  <c r="BC47" i="5"/>
  <c r="BC64" i="5" s="1"/>
  <c r="BC93" i="5" s="1"/>
  <c r="BB47" i="5"/>
  <c r="BA47" i="5"/>
  <c r="BA64" i="5" s="1"/>
  <c r="BA93" i="5" s="1"/>
  <c r="AZ47" i="5"/>
  <c r="AZ64" i="5" s="1"/>
  <c r="AZ93" i="5" s="1"/>
  <c r="AY47" i="5"/>
  <c r="AY64" i="5" s="1"/>
  <c r="AY93" i="5" s="1"/>
  <c r="AW47" i="5"/>
  <c r="AW64" i="5" s="1"/>
  <c r="AW93" i="5" s="1"/>
  <c r="AV47" i="5"/>
  <c r="AV64" i="5" s="1"/>
  <c r="AV93" i="5" s="1"/>
  <c r="AU47" i="5"/>
  <c r="AU64" i="5" s="1"/>
  <c r="AU93" i="5" s="1"/>
  <c r="AT47" i="5"/>
  <c r="AS47" i="5"/>
  <c r="AS64" i="5" s="1"/>
  <c r="AS93" i="5" s="1"/>
  <c r="AR47" i="5"/>
  <c r="AR64" i="5" s="1"/>
  <c r="AR93" i="5" s="1"/>
  <c r="AP47" i="5"/>
  <c r="AO47" i="5"/>
  <c r="AO64" i="5" s="1"/>
  <c r="AO93" i="5" s="1"/>
  <c r="AN47" i="5"/>
  <c r="AN64" i="5" s="1"/>
  <c r="AN93" i="5" s="1"/>
  <c r="AM47" i="5"/>
  <c r="AM64" i="5" s="1"/>
  <c r="AM93" i="5" s="1"/>
  <c r="AL47" i="5"/>
  <c r="AK47" i="5"/>
  <c r="AK64" i="5" s="1"/>
  <c r="AK93" i="5" s="1"/>
  <c r="AI47" i="5"/>
  <c r="AI64" i="5" s="1"/>
  <c r="AI93" i="5" s="1"/>
  <c r="AH47" i="5"/>
  <c r="AH64" i="5" s="1"/>
  <c r="AH93" i="5" s="1"/>
  <c r="AG47" i="5"/>
  <c r="AG64" i="5" s="1"/>
  <c r="AG93" i="5" s="1"/>
  <c r="AF47" i="5"/>
  <c r="AE47" i="5"/>
  <c r="AE64" i="5" s="1"/>
  <c r="AE93" i="5" s="1"/>
  <c r="AD47" i="5"/>
  <c r="AB47" i="5"/>
  <c r="AB64" i="5" s="1"/>
  <c r="AB93" i="5" s="1"/>
  <c r="AA47" i="5"/>
  <c r="AA64" i="5" s="1"/>
  <c r="AA93" i="5" s="1"/>
  <c r="Z47" i="5"/>
  <c r="Y47" i="5"/>
  <c r="Y64" i="5" s="1"/>
  <c r="Y93" i="5" s="1"/>
  <c r="X47" i="5"/>
  <c r="X64" i="5" s="1"/>
  <c r="X93" i="5" s="1"/>
  <c r="W47" i="5"/>
  <c r="W64" i="5" s="1"/>
  <c r="W93" i="5" s="1"/>
  <c r="U47" i="5"/>
  <c r="U64" i="5" s="1"/>
  <c r="U93" i="5" s="1"/>
  <c r="T47" i="5"/>
  <c r="T64" i="5" s="1"/>
  <c r="T93" i="5" s="1"/>
  <c r="S47" i="5"/>
  <c r="S64" i="5" s="1"/>
  <c r="S93" i="5" s="1"/>
  <c r="R47" i="5"/>
  <c r="Q47" i="5"/>
  <c r="Q64" i="5" s="1"/>
  <c r="Q93" i="5" s="1"/>
  <c r="P47" i="5"/>
  <c r="P64" i="5" s="1"/>
  <c r="P93" i="5" s="1"/>
  <c r="N47" i="5"/>
  <c r="M47" i="5"/>
  <c r="L47" i="5"/>
  <c r="L64" i="5" s="1"/>
  <c r="L93" i="5" s="1"/>
  <c r="K47" i="5"/>
  <c r="K64" i="5" s="1"/>
  <c r="K93" i="5" s="1"/>
  <c r="J47" i="5"/>
  <c r="I47" i="5"/>
  <c r="I64" i="5" s="1"/>
  <c r="I93" i="5" s="1"/>
  <c r="G47" i="5"/>
  <c r="G64" i="5" s="1"/>
  <c r="G93" i="5" s="1"/>
  <c r="F47" i="5"/>
  <c r="E47" i="5"/>
  <c r="E64" i="5" s="1"/>
  <c r="E93" i="5" s="1"/>
  <c r="D47" i="5"/>
  <c r="D64" i="5" s="1"/>
  <c r="D93" i="5" s="1"/>
  <c r="C47" i="5"/>
  <c r="C64" i="5" s="1"/>
  <c r="C93" i="5" s="1"/>
  <c r="B47" i="5"/>
  <c r="HI46" i="5"/>
  <c r="HH46" i="5"/>
  <c r="HG46" i="5"/>
  <c r="HF46" i="5"/>
  <c r="HE46" i="5"/>
  <c r="HD46" i="5"/>
  <c r="HB46" i="5"/>
  <c r="HA46" i="5"/>
  <c r="GZ46" i="5"/>
  <c r="GY46" i="5"/>
  <c r="GX46" i="5"/>
  <c r="GW46" i="5"/>
  <c r="GU46" i="5"/>
  <c r="GT46" i="5"/>
  <c r="GS46" i="5"/>
  <c r="GR46" i="5"/>
  <c r="GQ46" i="5"/>
  <c r="GP46" i="5"/>
  <c r="GG46" i="5"/>
  <c r="GF46" i="5"/>
  <c r="GE46" i="5"/>
  <c r="GD46" i="5"/>
  <c r="GC46" i="5"/>
  <c r="GB46" i="5"/>
  <c r="FZ46" i="5"/>
  <c r="FY46" i="5"/>
  <c r="FX46" i="5"/>
  <c r="FW46" i="5"/>
  <c r="FV46" i="5"/>
  <c r="FU46" i="5"/>
  <c r="FS46" i="5"/>
  <c r="FR46" i="5"/>
  <c r="FQ46" i="5"/>
  <c r="FP46" i="5"/>
  <c r="FO46" i="5"/>
  <c r="FN46" i="5"/>
  <c r="FE46" i="5"/>
  <c r="FD46" i="5"/>
  <c r="FC46" i="5"/>
  <c r="FB46" i="5"/>
  <c r="FA46" i="5"/>
  <c r="EZ46" i="5"/>
  <c r="EX46" i="5"/>
  <c r="EW46" i="5"/>
  <c r="EV46" i="5"/>
  <c r="EU46" i="5"/>
  <c r="ET46" i="5"/>
  <c r="ES46" i="5"/>
  <c r="EQ46" i="5"/>
  <c r="EP46" i="5"/>
  <c r="EO46" i="5"/>
  <c r="EN46" i="5"/>
  <c r="EM46" i="5"/>
  <c r="EL46" i="5"/>
  <c r="EC46" i="5"/>
  <c r="EB46" i="5"/>
  <c r="EA46" i="5"/>
  <c r="DZ46" i="5"/>
  <c r="DY46" i="5"/>
  <c r="DX46" i="5"/>
  <c r="DV46" i="5"/>
  <c r="DU46" i="5"/>
  <c r="DT46" i="5"/>
  <c r="DS46" i="5"/>
  <c r="DR46" i="5"/>
  <c r="DQ46" i="5"/>
  <c r="DO46" i="5"/>
  <c r="DN46" i="5"/>
  <c r="DM46" i="5"/>
  <c r="DL46" i="5"/>
  <c r="DK46" i="5"/>
  <c r="DJ46" i="5"/>
  <c r="DH46" i="5"/>
  <c r="DG46" i="5"/>
  <c r="DF46" i="5"/>
  <c r="DE46" i="5"/>
  <c r="DD46" i="5"/>
  <c r="DC46" i="5"/>
  <c r="DA46" i="5"/>
  <c r="CZ46" i="5"/>
  <c r="CY46" i="5"/>
  <c r="CX46" i="5"/>
  <c r="CW46" i="5"/>
  <c r="CV46" i="5"/>
  <c r="CT46" i="5"/>
  <c r="CS46" i="5"/>
  <c r="CR46" i="5"/>
  <c r="CQ46" i="5"/>
  <c r="CP46" i="5"/>
  <c r="CO46" i="5"/>
  <c r="CM46" i="5"/>
  <c r="CL46" i="5"/>
  <c r="CK46" i="5"/>
  <c r="CJ46" i="5"/>
  <c r="CI46" i="5"/>
  <c r="CH46" i="5"/>
  <c r="CF46" i="5"/>
  <c r="CE46" i="5"/>
  <c r="CD46" i="5"/>
  <c r="CC46" i="5"/>
  <c r="CB46" i="5"/>
  <c r="CA46" i="5"/>
  <c r="BY46" i="5"/>
  <c r="BX46" i="5"/>
  <c r="BW46" i="5"/>
  <c r="BV46" i="5"/>
  <c r="BU46" i="5"/>
  <c r="BT46" i="5"/>
  <c r="BR46" i="5"/>
  <c r="BQ46" i="5"/>
  <c r="BP46" i="5"/>
  <c r="BO46" i="5"/>
  <c r="BN46" i="5"/>
  <c r="BM46" i="5"/>
  <c r="BK46" i="5"/>
  <c r="BJ46" i="5"/>
  <c r="BI46" i="5"/>
  <c r="BH46" i="5"/>
  <c r="BG46" i="5"/>
  <c r="BF46" i="5"/>
  <c r="BD46" i="5"/>
  <c r="BC46" i="5"/>
  <c r="BB46" i="5"/>
  <c r="BA46" i="5"/>
  <c r="AZ46" i="5"/>
  <c r="AY46" i="5"/>
  <c r="AW46" i="5"/>
  <c r="AV46" i="5"/>
  <c r="AU46" i="5"/>
  <c r="AT46" i="5"/>
  <c r="AS46" i="5"/>
  <c r="AR46" i="5"/>
  <c r="AP46" i="5"/>
  <c r="AO46" i="5"/>
  <c r="AN46" i="5"/>
  <c r="AM46" i="5"/>
  <c r="AL46" i="5"/>
  <c r="AK46" i="5"/>
  <c r="AI46" i="5"/>
  <c r="AH46" i="5"/>
  <c r="AG46" i="5"/>
  <c r="AF46" i="5"/>
  <c r="AE46" i="5"/>
  <c r="AD46" i="5"/>
  <c r="AB46" i="5"/>
  <c r="AA46" i="5"/>
  <c r="Z46" i="5"/>
  <c r="Y46" i="5"/>
  <c r="X46" i="5"/>
  <c r="W46" i="5"/>
  <c r="U46" i="5"/>
  <c r="T46" i="5"/>
  <c r="S46" i="5"/>
  <c r="R46" i="5"/>
  <c r="Q46" i="5"/>
  <c r="P46" i="5"/>
  <c r="N46" i="5"/>
  <c r="M46" i="5"/>
  <c r="L46" i="5"/>
  <c r="K46" i="5"/>
  <c r="J46" i="5"/>
  <c r="I46" i="5"/>
  <c r="G46" i="5"/>
  <c r="F46" i="5"/>
  <c r="E46" i="5"/>
  <c r="D46" i="5"/>
  <c r="C46" i="5"/>
  <c r="B46" i="5"/>
  <c r="HI45" i="5"/>
  <c r="HH45" i="5"/>
  <c r="HG45" i="5"/>
  <c r="HF45" i="5"/>
  <c r="HE45" i="5"/>
  <c r="HD45" i="5"/>
  <c r="HB45" i="5"/>
  <c r="HA45" i="5"/>
  <c r="GZ45" i="5"/>
  <c r="GY45" i="5"/>
  <c r="GX45" i="5"/>
  <c r="GW45" i="5"/>
  <c r="GU45" i="5"/>
  <c r="GT45" i="5"/>
  <c r="GS45" i="5"/>
  <c r="GR45" i="5"/>
  <c r="GQ45" i="5"/>
  <c r="GP45" i="5"/>
  <c r="GG45" i="5"/>
  <c r="GF45" i="5"/>
  <c r="GE45" i="5"/>
  <c r="GD45" i="5"/>
  <c r="GC45" i="5"/>
  <c r="GB45" i="5"/>
  <c r="FZ45" i="5"/>
  <c r="FY45" i="5"/>
  <c r="FX45" i="5"/>
  <c r="FW45" i="5"/>
  <c r="FV45" i="5"/>
  <c r="FU45" i="5"/>
  <c r="FS45" i="5"/>
  <c r="FR45" i="5"/>
  <c r="FQ45" i="5"/>
  <c r="FP45" i="5"/>
  <c r="FO45" i="5"/>
  <c r="FN45" i="5"/>
  <c r="FE45" i="5"/>
  <c r="FD45" i="5"/>
  <c r="FC45" i="5"/>
  <c r="FB45" i="5"/>
  <c r="FA45" i="5"/>
  <c r="EZ45" i="5"/>
  <c r="EX45" i="5"/>
  <c r="EW45" i="5"/>
  <c r="EV45" i="5"/>
  <c r="EU45" i="5"/>
  <c r="ET45" i="5"/>
  <c r="ES45" i="5"/>
  <c r="EQ45" i="5"/>
  <c r="EP45" i="5"/>
  <c r="EO45" i="5"/>
  <c r="EN45" i="5"/>
  <c r="EM45" i="5"/>
  <c r="EL45" i="5"/>
  <c r="EC45" i="5"/>
  <c r="EB45" i="5"/>
  <c r="EA45" i="5"/>
  <c r="DZ45" i="5"/>
  <c r="DY45" i="5"/>
  <c r="DX45" i="5"/>
  <c r="DV45" i="5"/>
  <c r="DU45" i="5"/>
  <c r="DT45" i="5"/>
  <c r="DS45" i="5"/>
  <c r="DR45" i="5"/>
  <c r="DQ45" i="5"/>
  <c r="DO45" i="5"/>
  <c r="DN45" i="5"/>
  <c r="DM45" i="5"/>
  <c r="DL45" i="5"/>
  <c r="DK45" i="5"/>
  <c r="DJ45" i="5"/>
  <c r="DH45" i="5"/>
  <c r="DG45" i="5"/>
  <c r="DF45" i="5"/>
  <c r="DE45" i="5"/>
  <c r="DD45" i="5"/>
  <c r="DC45" i="5"/>
  <c r="DA45" i="5"/>
  <c r="CZ45" i="5"/>
  <c r="CY45" i="5"/>
  <c r="CX45" i="5"/>
  <c r="CW45" i="5"/>
  <c r="CV45" i="5"/>
  <c r="CT45" i="5"/>
  <c r="CS45" i="5"/>
  <c r="CR45" i="5"/>
  <c r="CQ45" i="5"/>
  <c r="CP45" i="5"/>
  <c r="CO45" i="5"/>
  <c r="CM45" i="5"/>
  <c r="CL45" i="5"/>
  <c r="CK45" i="5"/>
  <c r="CJ45" i="5"/>
  <c r="CI45" i="5"/>
  <c r="CH45" i="5"/>
  <c r="CF45" i="5"/>
  <c r="CE45" i="5"/>
  <c r="CD45" i="5"/>
  <c r="CC45" i="5"/>
  <c r="CB45" i="5"/>
  <c r="CA45" i="5"/>
  <c r="BY45" i="5"/>
  <c r="BX45" i="5"/>
  <c r="BW45" i="5"/>
  <c r="BV45" i="5"/>
  <c r="BU45" i="5"/>
  <c r="BT45" i="5"/>
  <c r="BR45" i="5"/>
  <c r="BQ45" i="5"/>
  <c r="BP45" i="5"/>
  <c r="BO45" i="5"/>
  <c r="BN45" i="5"/>
  <c r="BM45" i="5"/>
  <c r="BK45" i="5"/>
  <c r="BJ45" i="5"/>
  <c r="BI45" i="5"/>
  <c r="BH45" i="5"/>
  <c r="BG45" i="5"/>
  <c r="BF45" i="5"/>
  <c r="BD45" i="5"/>
  <c r="BC45" i="5"/>
  <c r="BB45" i="5"/>
  <c r="BA45" i="5"/>
  <c r="AZ45" i="5"/>
  <c r="AY45" i="5"/>
  <c r="AW45" i="5"/>
  <c r="AV45" i="5"/>
  <c r="AU45" i="5"/>
  <c r="AT45" i="5"/>
  <c r="AS45" i="5"/>
  <c r="AR45" i="5"/>
  <c r="AP45" i="5"/>
  <c r="AO45" i="5"/>
  <c r="AN45" i="5"/>
  <c r="AM45" i="5"/>
  <c r="AL45" i="5"/>
  <c r="AK45" i="5"/>
  <c r="AI45" i="5"/>
  <c r="AH45" i="5"/>
  <c r="AG45" i="5"/>
  <c r="AF45" i="5"/>
  <c r="AE45" i="5"/>
  <c r="AD45" i="5"/>
  <c r="AB45" i="5"/>
  <c r="AA45" i="5"/>
  <c r="Z45" i="5"/>
  <c r="Y45" i="5"/>
  <c r="X45" i="5"/>
  <c r="W45" i="5"/>
  <c r="U45" i="5"/>
  <c r="T45" i="5"/>
  <c r="S45" i="5"/>
  <c r="R45" i="5"/>
  <c r="Q45" i="5"/>
  <c r="P45" i="5"/>
  <c r="N45" i="5"/>
  <c r="M45" i="5"/>
  <c r="L45" i="5"/>
  <c r="K45" i="5"/>
  <c r="J45" i="5"/>
  <c r="I45" i="5"/>
  <c r="G45" i="5"/>
  <c r="F45" i="5"/>
  <c r="E45" i="5"/>
  <c r="D45" i="5"/>
  <c r="C45" i="5"/>
  <c r="B45" i="5"/>
  <c r="HI44" i="5"/>
  <c r="HH44" i="5"/>
  <c r="HG44" i="5"/>
  <c r="HF44" i="5"/>
  <c r="HE44" i="5"/>
  <c r="HD44" i="5"/>
  <c r="HB44" i="5"/>
  <c r="HA44" i="5"/>
  <c r="GZ44" i="5"/>
  <c r="GY44" i="5"/>
  <c r="GX44" i="5"/>
  <c r="GW44" i="5"/>
  <c r="GU44" i="5"/>
  <c r="GT44" i="5"/>
  <c r="GS44" i="5"/>
  <c r="GR44" i="5"/>
  <c r="GQ44" i="5"/>
  <c r="GP44" i="5"/>
  <c r="GG44" i="5"/>
  <c r="GF44" i="5"/>
  <c r="GE44" i="5"/>
  <c r="GD44" i="5"/>
  <c r="GC44" i="5"/>
  <c r="GB44" i="5"/>
  <c r="FZ44" i="5"/>
  <c r="FY44" i="5"/>
  <c r="FX44" i="5"/>
  <c r="FW44" i="5"/>
  <c r="FV44" i="5"/>
  <c r="FU44" i="5"/>
  <c r="FS44" i="5"/>
  <c r="FR44" i="5"/>
  <c r="FQ44" i="5"/>
  <c r="FP44" i="5"/>
  <c r="FO44" i="5"/>
  <c r="FN44" i="5"/>
  <c r="FE44" i="5"/>
  <c r="FD44" i="5"/>
  <c r="FC44" i="5"/>
  <c r="FB44" i="5"/>
  <c r="FA44" i="5"/>
  <c r="EZ44" i="5"/>
  <c r="EX44" i="5"/>
  <c r="EW44" i="5"/>
  <c r="EV44" i="5"/>
  <c r="EU44" i="5"/>
  <c r="ET44" i="5"/>
  <c r="ES44" i="5"/>
  <c r="EQ44" i="5"/>
  <c r="EP44" i="5"/>
  <c r="EO44" i="5"/>
  <c r="EN44" i="5"/>
  <c r="EM44" i="5"/>
  <c r="EL44" i="5"/>
  <c r="EC44" i="5"/>
  <c r="EB44" i="5"/>
  <c r="EA44" i="5"/>
  <c r="DZ44" i="5"/>
  <c r="DY44" i="5"/>
  <c r="DX44" i="5"/>
  <c r="DV44" i="5"/>
  <c r="DU44" i="5"/>
  <c r="DT44" i="5"/>
  <c r="DS44" i="5"/>
  <c r="DR44" i="5"/>
  <c r="DQ44" i="5"/>
  <c r="DO44" i="5"/>
  <c r="DN44" i="5"/>
  <c r="DM44" i="5"/>
  <c r="DL44" i="5"/>
  <c r="DK44" i="5"/>
  <c r="DJ44" i="5"/>
  <c r="DH44" i="5"/>
  <c r="DG44" i="5"/>
  <c r="DF44" i="5"/>
  <c r="DE44" i="5"/>
  <c r="DD44" i="5"/>
  <c r="DC44" i="5"/>
  <c r="DA44" i="5"/>
  <c r="CZ44" i="5"/>
  <c r="CY44" i="5"/>
  <c r="CX44" i="5"/>
  <c r="CW44" i="5"/>
  <c r="CV44" i="5"/>
  <c r="CT44" i="5"/>
  <c r="CS44" i="5"/>
  <c r="CR44" i="5"/>
  <c r="CQ44" i="5"/>
  <c r="CP44" i="5"/>
  <c r="CO44" i="5"/>
  <c r="CM44" i="5"/>
  <c r="CL44" i="5"/>
  <c r="CK44" i="5"/>
  <c r="CJ44" i="5"/>
  <c r="CI44" i="5"/>
  <c r="CH44" i="5"/>
  <c r="CF44" i="5"/>
  <c r="CE44" i="5"/>
  <c r="CD44" i="5"/>
  <c r="CC44" i="5"/>
  <c r="CB44" i="5"/>
  <c r="CA44" i="5"/>
  <c r="BY44" i="5"/>
  <c r="BX44" i="5"/>
  <c r="BW44" i="5"/>
  <c r="BV44" i="5"/>
  <c r="BU44" i="5"/>
  <c r="BT44" i="5"/>
  <c r="BR44" i="5"/>
  <c r="BQ44" i="5"/>
  <c r="BP44" i="5"/>
  <c r="BO44" i="5"/>
  <c r="BN44" i="5"/>
  <c r="BM44" i="5"/>
  <c r="BK44" i="5"/>
  <c r="BJ44" i="5"/>
  <c r="BI44" i="5"/>
  <c r="BH44" i="5"/>
  <c r="BG44" i="5"/>
  <c r="BF44" i="5"/>
  <c r="BD44" i="5"/>
  <c r="BC44" i="5"/>
  <c r="BB44" i="5"/>
  <c r="BA44" i="5"/>
  <c r="AZ44" i="5"/>
  <c r="AY44" i="5"/>
  <c r="AW44" i="5"/>
  <c r="AV44" i="5"/>
  <c r="AU44" i="5"/>
  <c r="AT44" i="5"/>
  <c r="AS44" i="5"/>
  <c r="AR44" i="5"/>
  <c r="AP44" i="5"/>
  <c r="AO44" i="5"/>
  <c r="AN44" i="5"/>
  <c r="AM44" i="5"/>
  <c r="AL44" i="5"/>
  <c r="AK44" i="5"/>
  <c r="AI44" i="5"/>
  <c r="AH44" i="5"/>
  <c r="AG44" i="5"/>
  <c r="AF44" i="5"/>
  <c r="AE44" i="5"/>
  <c r="AD44" i="5"/>
  <c r="AB44" i="5"/>
  <c r="AA44" i="5"/>
  <c r="Z44" i="5"/>
  <c r="Y44" i="5"/>
  <c r="X44" i="5"/>
  <c r="W44" i="5"/>
  <c r="U44" i="5"/>
  <c r="T44" i="5"/>
  <c r="S44" i="5"/>
  <c r="R44" i="5"/>
  <c r="Q44" i="5"/>
  <c r="P44" i="5"/>
  <c r="N44" i="5"/>
  <c r="M44" i="5"/>
  <c r="L44" i="5"/>
  <c r="K44" i="5"/>
  <c r="J44" i="5"/>
  <c r="I44" i="5"/>
  <c r="G44" i="5"/>
  <c r="F44" i="5"/>
  <c r="E44" i="5"/>
  <c r="D44" i="5"/>
  <c r="C44" i="5"/>
  <c r="B44" i="5"/>
  <c r="HI43" i="5"/>
  <c r="HI63" i="5" s="1"/>
  <c r="HI92" i="5" s="1"/>
  <c r="HH43" i="5"/>
  <c r="HH63" i="5" s="1"/>
  <c r="HH92" i="5" s="1"/>
  <c r="HG43" i="5"/>
  <c r="HF43" i="5"/>
  <c r="HF63" i="5" s="1"/>
  <c r="HF92" i="5" s="1"/>
  <c r="HE43" i="5"/>
  <c r="HE63" i="5" s="1"/>
  <c r="HE92" i="5" s="1"/>
  <c r="HD43" i="5"/>
  <c r="HD63" i="5" s="1"/>
  <c r="HD92" i="5" s="1"/>
  <c r="HB43" i="5"/>
  <c r="HB63" i="5" s="1"/>
  <c r="HB92" i="5" s="1"/>
  <c r="HA43" i="5"/>
  <c r="HA63" i="5" s="1"/>
  <c r="HA92" i="5" s="1"/>
  <c r="GZ43" i="5"/>
  <c r="GZ63" i="5" s="1"/>
  <c r="GZ92" i="5" s="1"/>
  <c r="GY43" i="5"/>
  <c r="GX43" i="5"/>
  <c r="GX63" i="5" s="1"/>
  <c r="GX92" i="5" s="1"/>
  <c r="GW43" i="5"/>
  <c r="GW63" i="5" s="1"/>
  <c r="GW92" i="5" s="1"/>
  <c r="GU43" i="5"/>
  <c r="GU63" i="5" s="1"/>
  <c r="GU92" i="5" s="1"/>
  <c r="GT43" i="5"/>
  <c r="GT63" i="5" s="1"/>
  <c r="GT92" i="5" s="1"/>
  <c r="GS43" i="5"/>
  <c r="GS63" i="5" s="1"/>
  <c r="GS92" i="5" s="1"/>
  <c r="GR43" i="5"/>
  <c r="GR63" i="5" s="1"/>
  <c r="GR92" i="5" s="1"/>
  <c r="GQ43" i="5"/>
  <c r="GP43" i="5"/>
  <c r="GP63" i="5" s="1"/>
  <c r="GP92" i="5" s="1"/>
  <c r="GG43" i="5"/>
  <c r="GG63" i="5" s="1"/>
  <c r="GG92" i="5" s="1"/>
  <c r="GF43" i="5"/>
  <c r="GE43" i="5"/>
  <c r="GE63" i="5" s="1"/>
  <c r="GE92" i="5" s="1"/>
  <c r="GD43" i="5"/>
  <c r="GD63" i="5" s="1"/>
  <c r="GD92" i="5" s="1"/>
  <c r="GC43" i="5"/>
  <c r="GC63" i="5" s="1"/>
  <c r="GC92" i="5" s="1"/>
  <c r="GB43" i="5"/>
  <c r="FZ43" i="5"/>
  <c r="FZ63" i="5" s="1"/>
  <c r="FZ92" i="5" s="1"/>
  <c r="FY43" i="5"/>
  <c r="FY63" i="5" s="1"/>
  <c r="FY92" i="5" s="1"/>
  <c r="FX43" i="5"/>
  <c r="FW43" i="5"/>
  <c r="FW63" i="5" s="1"/>
  <c r="FW92" i="5" s="1"/>
  <c r="FV43" i="5"/>
  <c r="FV63" i="5" s="1"/>
  <c r="FV92" i="5" s="1"/>
  <c r="FU43" i="5"/>
  <c r="FU63" i="5" s="1"/>
  <c r="FU92" i="5" s="1"/>
  <c r="FS43" i="5"/>
  <c r="FS63" i="5" s="1"/>
  <c r="FR43" i="5"/>
  <c r="FR63" i="5" s="1"/>
  <c r="FR92" i="5" s="1"/>
  <c r="FQ43" i="5"/>
  <c r="FQ63" i="5" s="1"/>
  <c r="FQ92" i="5" s="1"/>
  <c r="FP43" i="5"/>
  <c r="FO43" i="5"/>
  <c r="FO63" i="5" s="1"/>
  <c r="FO92" i="5" s="1"/>
  <c r="FN43" i="5"/>
  <c r="FE43" i="5"/>
  <c r="FD43" i="5"/>
  <c r="FD63" i="5" s="1"/>
  <c r="FD92" i="5" s="1"/>
  <c r="FC43" i="5"/>
  <c r="FC63" i="5" s="1"/>
  <c r="FC92" i="5" s="1"/>
  <c r="FB43" i="5"/>
  <c r="FB63" i="5" s="1"/>
  <c r="FB92" i="5" s="1"/>
  <c r="FA43" i="5"/>
  <c r="EZ43" i="5"/>
  <c r="EZ63" i="5" s="1"/>
  <c r="EZ92" i="5" s="1"/>
  <c r="EX43" i="5"/>
  <c r="EX63" i="5" s="1"/>
  <c r="EX92" i="5" s="1"/>
  <c r="EW43" i="5"/>
  <c r="EW63" i="5" s="1"/>
  <c r="EW92" i="5" s="1"/>
  <c r="EV43" i="5"/>
  <c r="EV63" i="5" s="1"/>
  <c r="EV92" i="5" s="1"/>
  <c r="EU43" i="5"/>
  <c r="EU63" i="5" s="1"/>
  <c r="EU92" i="5" s="1"/>
  <c r="ET43" i="5"/>
  <c r="ET63" i="5" s="1"/>
  <c r="ET92" i="5" s="1"/>
  <c r="ES43" i="5"/>
  <c r="EQ43" i="5"/>
  <c r="EQ63" i="5" s="1"/>
  <c r="EQ92" i="5" s="1"/>
  <c r="EP43" i="5"/>
  <c r="EP63" i="5" s="1"/>
  <c r="EP92" i="5" s="1"/>
  <c r="EO43" i="5"/>
  <c r="EN43" i="5"/>
  <c r="EN63" i="5" s="1"/>
  <c r="EN92" i="5" s="1"/>
  <c r="EM43" i="5"/>
  <c r="EM63" i="5" s="1"/>
  <c r="EM92" i="5" s="1"/>
  <c r="EL43" i="5"/>
  <c r="EL63" i="5" s="1"/>
  <c r="EL92" i="5" s="1"/>
  <c r="EC43" i="5"/>
  <c r="EC63" i="5" s="1"/>
  <c r="EC92" i="5" s="1"/>
  <c r="EB43" i="5"/>
  <c r="EB63" i="5" s="1"/>
  <c r="EB92" i="5" s="1"/>
  <c r="EA43" i="5"/>
  <c r="EA63" i="5" s="1"/>
  <c r="EA92" i="5" s="1"/>
  <c r="DZ43" i="5"/>
  <c r="DY43" i="5"/>
  <c r="DY63" i="5" s="1"/>
  <c r="DY92" i="5" s="1"/>
  <c r="DX43" i="5"/>
  <c r="DX63" i="5" s="1"/>
  <c r="DX92" i="5" s="1"/>
  <c r="DV43" i="5"/>
  <c r="DU43" i="5"/>
  <c r="DU63" i="5" s="1"/>
  <c r="DU92" i="5" s="1"/>
  <c r="DT43" i="5"/>
  <c r="DT63" i="5" s="1"/>
  <c r="DT92" i="5" s="1"/>
  <c r="DS43" i="5"/>
  <c r="DS63" i="5" s="1"/>
  <c r="DS92" i="5" s="1"/>
  <c r="DR43" i="5"/>
  <c r="DQ43" i="5"/>
  <c r="DQ63" i="5" s="1"/>
  <c r="DQ92" i="5" s="1"/>
  <c r="DO43" i="5"/>
  <c r="DO63" i="5" s="1"/>
  <c r="DO92" i="5" s="1"/>
  <c r="DN43" i="5"/>
  <c r="DM43" i="5"/>
  <c r="DM63" i="5" s="1"/>
  <c r="DM92" i="5" s="1"/>
  <c r="DL43" i="5"/>
  <c r="DL63" i="5" s="1"/>
  <c r="DL92" i="5" s="1"/>
  <c r="DK43" i="5"/>
  <c r="DK63" i="5" s="1"/>
  <c r="DK92" i="5" s="1"/>
  <c r="DJ43" i="5"/>
  <c r="DH43" i="5"/>
  <c r="DH63" i="5" s="1"/>
  <c r="DH92" i="5" s="1"/>
  <c r="DG43" i="5"/>
  <c r="DG63" i="5" s="1"/>
  <c r="DG92" i="5" s="1"/>
  <c r="DF43" i="5"/>
  <c r="DF63" i="5" s="1"/>
  <c r="DF92" i="5" s="1"/>
  <c r="DE43" i="5"/>
  <c r="DD43" i="5"/>
  <c r="DD63" i="5" s="1"/>
  <c r="DD92" i="5" s="1"/>
  <c r="DC43" i="5"/>
  <c r="DC63" i="5" s="1"/>
  <c r="DC92" i="5" s="1"/>
  <c r="DA43" i="5"/>
  <c r="DA63" i="5" s="1"/>
  <c r="DA92" i="5" s="1"/>
  <c r="CZ43" i="5"/>
  <c r="CZ63" i="5" s="1"/>
  <c r="CZ92" i="5" s="1"/>
  <c r="CY43" i="5"/>
  <c r="CY63" i="5" s="1"/>
  <c r="CY92" i="5" s="1"/>
  <c r="CX43" i="5"/>
  <c r="CX63" i="5" s="1"/>
  <c r="CX92" i="5" s="1"/>
  <c r="CW43" i="5"/>
  <c r="CW63" i="5" s="1"/>
  <c r="CW92" i="5" s="1"/>
  <c r="CV43" i="5"/>
  <c r="CV63" i="5" s="1"/>
  <c r="CV92" i="5" s="1"/>
  <c r="CT43" i="5"/>
  <c r="CS43" i="5"/>
  <c r="CS63" i="5" s="1"/>
  <c r="CS92" i="5" s="1"/>
  <c r="CR43" i="5"/>
  <c r="CR63" i="5" s="1"/>
  <c r="CR92" i="5" s="1"/>
  <c r="CQ43" i="5"/>
  <c r="CQ63" i="5" s="1"/>
  <c r="CQ92" i="5" s="1"/>
  <c r="CP43" i="5"/>
  <c r="CO43" i="5"/>
  <c r="CO63" i="5" s="1"/>
  <c r="CO92" i="5" s="1"/>
  <c r="CM43" i="5"/>
  <c r="CM63" i="5" s="1"/>
  <c r="CL43" i="5"/>
  <c r="CK43" i="5"/>
  <c r="CK63" i="5" s="1"/>
  <c r="CJ43" i="5"/>
  <c r="CJ63" i="5" s="1"/>
  <c r="CI43" i="5"/>
  <c r="CI63" i="5" s="1"/>
  <c r="CH43" i="5"/>
  <c r="CF43" i="5"/>
  <c r="CF63" i="5" s="1"/>
  <c r="CF92" i="5" s="1"/>
  <c r="CE43" i="5"/>
  <c r="CE63" i="5" s="1"/>
  <c r="CE92" i="5" s="1"/>
  <c r="CD43" i="5"/>
  <c r="CC43" i="5"/>
  <c r="CC63" i="5" s="1"/>
  <c r="CC92" i="5" s="1"/>
  <c r="CB43" i="5"/>
  <c r="CB63" i="5" s="1"/>
  <c r="CB92" i="5" s="1"/>
  <c r="CA43" i="5"/>
  <c r="CA63" i="5" s="1"/>
  <c r="CA92" i="5" s="1"/>
  <c r="BY43" i="5"/>
  <c r="BY63" i="5" s="1"/>
  <c r="BY92" i="5" s="1"/>
  <c r="BX43" i="5"/>
  <c r="BX63" i="5" s="1"/>
  <c r="BX92" i="5" s="1"/>
  <c r="BW43" i="5"/>
  <c r="BW63" i="5" s="1"/>
  <c r="BW92" i="5" s="1"/>
  <c r="BV43" i="5"/>
  <c r="BU43" i="5"/>
  <c r="BU63" i="5" s="1"/>
  <c r="BU92" i="5" s="1"/>
  <c r="BT43" i="5"/>
  <c r="BT63" i="5" s="1"/>
  <c r="BT92" i="5" s="1"/>
  <c r="BR43" i="5"/>
  <c r="BR63" i="5" s="1"/>
  <c r="BR92" i="5" s="1"/>
  <c r="BQ43" i="5"/>
  <c r="BQ63" i="5" s="1"/>
  <c r="BQ92" i="5" s="1"/>
  <c r="BP43" i="5"/>
  <c r="BP63" i="5" s="1"/>
  <c r="BP92" i="5" s="1"/>
  <c r="BO43" i="5"/>
  <c r="BO63" i="5" s="1"/>
  <c r="BO92" i="5" s="1"/>
  <c r="BN43" i="5"/>
  <c r="BM43" i="5"/>
  <c r="BM63" i="5" s="1"/>
  <c r="BM92" i="5" s="1"/>
  <c r="BK43" i="5"/>
  <c r="BK63" i="5" s="1"/>
  <c r="BJ43" i="5"/>
  <c r="BI43" i="5"/>
  <c r="BI63" i="5" s="1"/>
  <c r="BH43" i="5"/>
  <c r="BH63" i="5" s="1"/>
  <c r="BG43" i="5"/>
  <c r="BG63" i="5" s="1"/>
  <c r="BF43" i="5"/>
  <c r="BD43" i="5"/>
  <c r="BD63" i="5" s="1"/>
  <c r="BD92" i="5" s="1"/>
  <c r="BC43" i="5"/>
  <c r="BC63" i="5" s="1"/>
  <c r="BC92" i="5" s="1"/>
  <c r="BB43" i="5"/>
  <c r="BA43" i="5"/>
  <c r="BA63" i="5" s="1"/>
  <c r="BA92" i="5" s="1"/>
  <c r="AZ43" i="5"/>
  <c r="AZ63" i="5" s="1"/>
  <c r="AZ92" i="5" s="1"/>
  <c r="AY43" i="5"/>
  <c r="AY63" i="5" s="1"/>
  <c r="AY92" i="5" s="1"/>
  <c r="AW43" i="5"/>
  <c r="AW63" i="5" s="1"/>
  <c r="AW92" i="5" s="1"/>
  <c r="AV43" i="5"/>
  <c r="AU43" i="5"/>
  <c r="AU63" i="5" s="1"/>
  <c r="AU92" i="5" s="1"/>
  <c r="AT43" i="5"/>
  <c r="AS43" i="5"/>
  <c r="AS63" i="5" s="1"/>
  <c r="AS92" i="5" s="1"/>
  <c r="AR43" i="5"/>
  <c r="AR63" i="5" s="1"/>
  <c r="AR92" i="5" s="1"/>
  <c r="AP43" i="5"/>
  <c r="AO43" i="5"/>
  <c r="AO63" i="5" s="1"/>
  <c r="AO92" i="5" s="1"/>
  <c r="AN43" i="5"/>
  <c r="AN63" i="5" s="1"/>
  <c r="AN92" i="5" s="1"/>
  <c r="AM43" i="5"/>
  <c r="AM63" i="5" s="1"/>
  <c r="AM92" i="5" s="1"/>
  <c r="AL43" i="5"/>
  <c r="AK43" i="5"/>
  <c r="AK63" i="5" s="1"/>
  <c r="AK92" i="5" s="1"/>
  <c r="AI43" i="5"/>
  <c r="AI63" i="5" s="1"/>
  <c r="AH43" i="5"/>
  <c r="AH63" i="5" s="1"/>
  <c r="AG43" i="5"/>
  <c r="AG63" i="5" s="1"/>
  <c r="AF43" i="5"/>
  <c r="AF63" i="5" s="1"/>
  <c r="AE43" i="5"/>
  <c r="AE63" i="5" s="1"/>
  <c r="AD43" i="5"/>
  <c r="AB43" i="5"/>
  <c r="AB63" i="5" s="1"/>
  <c r="AA43" i="5"/>
  <c r="AA63" i="5" s="1"/>
  <c r="Z43" i="5"/>
  <c r="Y43" i="5"/>
  <c r="X43" i="5"/>
  <c r="X63" i="5" s="1"/>
  <c r="W43" i="5"/>
  <c r="W63" i="5" s="1"/>
  <c r="U43" i="5"/>
  <c r="U63" i="5" s="1"/>
  <c r="T43" i="5"/>
  <c r="T63" i="5" s="1"/>
  <c r="S43" i="5"/>
  <c r="S63" i="5" s="1"/>
  <c r="R43" i="5"/>
  <c r="Q43" i="5"/>
  <c r="Q63" i="5" s="1"/>
  <c r="P43" i="5"/>
  <c r="P63" i="5" s="1"/>
  <c r="N43" i="5"/>
  <c r="M43" i="5"/>
  <c r="M63" i="5" s="1"/>
  <c r="L43" i="5"/>
  <c r="L63" i="5" s="1"/>
  <c r="K43" i="5"/>
  <c r="K63" i="5" s="1"/>
  <c r="J43" i="5"/>
  <c r="I43" i="5"/>
  <c r="I63" i="5" s="1"/>
  <c r="G43" i="5"/>
  <c r="G63" i="5" s="1"/>
  <c r="F43" i="5"/>
  <c r="E43" i="5"/>
  <c r="E63" i="5" s="1"/>
  <c r="D43" i="5"/>
  <c r="D63" i="5" s="1"/>
  <c r="C43" i="5"/>
  <c r="C63" i="5" s="1"/>
  <c r="B43" i="5"/>
  <c r="HI42" i="5"/>
  <c r="HH42" i="5"/>
  <c r="HG42" i="5"/>
  <c r="HF42" i="5"/>
  <c r="HE42" i="5"/>
  <c r="HD42" i="5"/>
  <c r="HB42" i="5"/>
  <c r="HA42" i="5"/>
  <c r="GZ42" i="5"/>
  <c r="GY42" i="5"/>
  <c r="GX42" i="5"/>
  <c r="GW42" i="5"/>
  <c r="GU42" i="5"/>
  <c r="GT42" i="5"/>
  <c r="GS42" i="5"/>
  <c r="GR42" i="5"/>
  <c r="GQ42" i="5"/>
  <c r="GP42" i="5"/>
  <c r="GG42" i="5"/>
  <c r="GF42" i="5"/>
  <c r="GE42" i="5"/>
  <c r="GD42" i="5"/>
  <c r="GC42" i="5"/>
  <c r="GB42" i="5"/>
  <c r="FZ42" i="5"/>
  <c r="FY42" i="5"/>
  <c r="FX42" i="5"/>
  <c r="FW42" i="5"/>
  <c r="FV42" i="5"/>
  <c r="FU42" i="5"/>
  <c r="FS42" i="5"/>
  <c r="FR42" i="5"/>
  <c r="FQ42" i="5"/>
  <c r="FP42" i="5"/>
  <c r="FO42" i="5"/>
  <c r="FN42" i="5"/>
  <c r="FE42" i="5"/>
  <c r="FD42" i="5"/>
  <c r="FC42" i="5"/>
  <c r="FB42" i="5"/>
  <c r="FA42" i="5"/>
  <c r="EZ42" i="5"/>
  <c r="EX42" i="5"/>
  <c r="EW42" i="5"/>
  <c r="EV42" i="5"/>
  <c r="EU42" i="5"/>
  <c r="ET42" i="5"/>
  <c r="ES42" i="5"/>
  <c r="EQ42" i="5"/>
  <c r="EP42" i="5"/>
  <c r="EO42" i="5"/>
  <c r="EN42" i="5"/>
  <c r="EM42" i="5"/>
  <c r="EL42" i="5"/>
  <c r="EC42" i="5"/>
  <c r="EB42" i="5"/>
  <c r="EA42" i="5"/>
  <c r="DZ42" i="5"/>
  <c r="DY42" i="5"/>
  <c r="DX42" i="5"/>
  <c r="DV42" i="5"/>
  <c r="DU42" i="5"/>
  <c r="DT42" i="5"/>
  <c r="DS42" i="5"/>
  <c r="DR42" i="5"/>
  <c r="DQ42" i="5"/>
  <c r="DO42" i="5"/>
  <c r="DN42" i="5"/>
  <c r="DM42" i="5"/>
  <c r="DL42" i="5"/>
  <c r="DK42" i="5"/>
  <c r="DJ42" i="5"/>
  <c r="DH42" i="5"/>
  <c r="DG42" i="5"/>
  <c r="DF42" i="5"/>
  <c r="DE42" i="5"/>
  <c r="DD42" i="5"/>
  <c r="DC42" i="5"/>
  <c r="DA42" i="5"/>
  <c r="CZ42" i="5"/>
  <c r="CY42" i="5"/>
  <c r="CX42" i="5"/>
  <c r="CW42" i="5"/>
  <c r="CV42" i="5"/>
  <c r="CT42" i="5"/>
  <c r="CS42" i="5"/>
  <c r="CR42" i="5"/>
  <c r="CQ42" i="5"/>
  <c r="CP42" i="5"/>
  <c r="CO42" i="5"/>
  <c r="CM42" i="5"/>
  <c r="CL42" i="5"/>
  <c r="CK42" i="5"/>
  <c r="CJ42" i="5"/>
  <c r="CI42" i="5"/>
  <c r="CH42" i="5"/>
  <c r="CF42" i="5"/>
  <c r="CE42" i="5"/>
  <c r="CD42" i="5"/>
  <c r="CC42" i="5"/>
  <c r="CB42" i="5"/>
  <c r="CA42" i="5"/>
  <c r="BY42" i="5"/>
  <c r="BX42" i="5"/>
  <c r="BW42" i="5"/>
  <c r="BV42" i="5"/>
  <c r="BU42" i="5"/>
  <c r="BT42" i="5"/>
  <c r="BR42" i="5"/>
  <c r="BQ42" i="5"/>
  <c r="BP42" i="5"/>
  <c r="BO42" i="5"/>
  <c r="BN42" i="5"/>
  <c r="BM42" i="5"/>
  <c r="BK42" i="5"/>
  <c r="BJ42" i="5"/>
  <c r="BI42" i="5"/>
  <c r="BH42" i="5"/>
  <c r="BG42" i="5"/>
  <c r="BF42" i="5"/>
  <c r="BD42" i="5"/>
  <c r="BC42" i="5"/>
  <c r="BB42" i="5"/>
  <c r="BA42" i="5"/>
  <c r="AZ42" i="5"/>
  <c r="AY42" i="5"/>
  <c r="AW42" i="5"/>
  <c r="AV42" i="5"/>
  <c r="AU42" i="5"/>
  <c r="AT42" i="5"/>
  <c r="AS42" i="5"/>
  <c r="AR42" i="5"/>
  <c r="AP42" i="5"/>
  <c r="AO42" i="5"/>
  <c r="AN42" i="5"/>
  <c r="AM42" i="5"/>
  <c r="AL42" i="5"/>
  <c r="AK42" i="5"/>
  <c r="AI42" i="5"/>
  <c r="AH42" i="5"/>
  <c r="AG42" i="5"/>
  <c r="AF42" i="5"/>
  <c r="AE42" i="5"/>
  <c r="AD42" i="5"/>
  <c r="AB42" i="5"/>
  <c r="AA42" i="5"/>
  <c r="Z42" i="5"/>
  <c r="Y42" i="5"/>
  <c r="X42" i="5"/>
  <c r="W42" i="5"/>
  <c r="U42" i="5"/>
  <c r="T42" i="5"/>
  <c r="S42" i="5"/>
  <c r="R42" i="5"/>
  <c r="Q42" i="5"/>
  <c r="P42" i="5"/>
  <c r="N42" i="5"/>
  <c r="M42" i="5"/>
  <c r="L42" i="5"/>
  <c r="K42" i="5"/>
  <c r="J42" i="5"/>
  <c r="I42" i="5"/>
  <c r="G42" i="5"/>
  <c r="F42" i="5"/>
  <c r="E42" i="5"/>
  <c r="D42" i="5"/>
  <c r="C42" i="5"/>
  <c r="B42" i="5"/>
  <c r="HI41" i="5"/>
  <c r="HH41" i="5"/>
  <c r="HG41" i="5"/>
  <c r="HF41" i="5"/>
  <c r="HE41" i="5"/>
  <c r="HD41" i="5"/>
  <c r="HB41" i="5"/>
  <c r="HA41" i="5"/>
  <c r="GZ41" i="5"/>
  <c r="GY41" i="5"/>
  <c r="GX41" i="5"/>
  <c r="GW41" i="5"/>
  <c r="GU41" i="5"/>
  <c r="GT41" i="5"/>
  <c r="GS41" i="5"/>
  <c r="GR41" i="5"/>
  <c r="GQ41" i="5"/>
  <c r="GP41" i="5"/>
  <c r="GG41" i="5"/>
  <c r="GF41" i="5"/>
  <c r="GE41" i="5"/>
  <c r="GD41" i="5"/>
  <c r="GC41" i="5"/>
  <c r="GB41" i="5"/>
  <c r="FZ41" i="5"/>
  <c r="FY41" i="5"/>
  <c r="FX41" i="5"/>
  <c r="FW41" i="5"/>
  <c r="FV41" i="5"/>
  <c r="FU41" i="5"/>
  <c r="FS41" i="5"/>
  <c r="FR41" i="5"/>
  <c r="FQ41" i="5"/>
  <c r="FP41" i="5"/>
  <c r="FO41" i="5"/>
  <c r="FN41" i="5"/>
  <c r="FE41" i="5"/>
  <c r="FD41" i="5"/>
  <c r="FC41" i="5"/>
  <c r="FB41" i="5"/>
  <c r="FA41" i="5"/>
  <c r="EZ41" i="5"/>
  <c r="EX41" i="5"/>
  <c r="EW41" i="5"/>
  <c r="EV41" i="5"/>
  <c r="EU41" i="5"/>
  <c r="ET41" i="5"/>
  <c r="ES41" i="5"/>
  <c r="EQ41" i="5"/>
  <c r="EP41" i="5"/>
  <c r="EO41" i="5"/>
  <c r="EN41" i="5"/>
  <c r="EM41" i="5"/>
  <c r="EL41" i="5"/>
  <c r="EC41" i="5"/>
  <c r="EB41" i="5"/>
  <c r="EA41" i="5"/>
  <c r="DZ41" i="5"/>
  <c r="DY41" i="5"/>
  <c r="DX41" i="5"/>
  <c r="DV41" i="5"/>
  <c r="DU41" i="5"/>
  <c r="DT41" i="5"/>
  <c r="DS41" i="5"/>
  <c r="DR41" i="5"/>
  <c r="DQ41" i="5"/>
  <c r="DO41" i="5"/>
  <c r="DN41" i="5"/>
  <c r="DM41" i="5"/>
  <c r="DL41" i="5"/>
  <c r="DK41" i="5"/>
  <c r="DJ41" i="5"/>
  <c r="DH41" i="5"/>
  <c r="DG41" i="5"/>
  <c r="DF41" i="5"/>
  <c r="DE41" i="5"/>
  <c r="DD41" i="5"/>
  <c r="DC41" i="5"/>
  <c r="DA41" i="5"/>
  <c r="CZ41" i="5"/>
  <c r="CY41" i="5"/>
  <c r="CX41" i="5"/>
  <c r="CW41" i="5"/>
  <c r="CV41" i="5"/>
  <c r="CT41" i="5"/>
  <c r="CS41" i="5"/>
  <c r="CR41" i="5"/>
  <c r="CQ41" i="5"/>
  <c r="CP41" i="5"/>
  <c r="CO41" i="5"/>
  <c r="CM41" i="5"/>
  <c r="CL41" i="5"/>
  <c r="CK41" i="5"/>
  <c r="CJ41" i="5"/>
  <c r="CI41" i="5"/>
  <c r="CH41" i="5"/>
  <c r="CF41" i="5"/>
  <c r="CE41" i="5"/>
  <c r="CD41" i="5"/>
  <c r="CC41" i="5"/>
  <c r="CB41" i="5"/>
  <c r="CA41" i="5"/>
  <c r="BY41" i="5"/>
  <c r="BX41" i="5"/>
  <c r="BW41" i="5"/>
  <c r="BV41" i="5"/>
  <c r="BU41" i="5"/>
  <c r="BT41" i="5"/>
  <c r="BR41" i="5"/>
  <c r="BQ41" i="5"/>
  <c r="BP41" i="5"/>
  <c r="BO41" i="5"/>
  <c r="BN41" i="5"/>
  <c r="BM41" i="5"/>
  <c r="BK41" i="5"/>
  <c r="BJ41" i="5"/>
  <c r="BI41" i="5"/>
  <c r="BH41" i="5"/>
  <c r="BG41" i="5"/>
  <c r="BF41" i="5"/>
  <c r="BD41" i="5"/>
  <c r="BC41" i="5"/>
  <c r="BB41" i="5"/>
  <c r="BA41" i="5"/>
  <c r="AZ41" i="5"/>
  <c r="AY41" i="5"/>
  <c r="AW41" i="5"/>
  <c r="AV41" i="5"/>
  <c r="AU41" i="5"/>
  <c r="AT41" i="5"/>
  <c r="AS41" i="5"/>
  <c r="AR41" i="5"/>
  <c r="AP41" i="5"/>
  <c r="AO41" i="5"/>
  <c r="AN41" i="5"/>
  <c r="AM41" i="5"/>
  <c r="AL41" i="5"/>
  <c r="AK41" i="5"/>
  <c r="AI41" i="5"/>
  <c r="AH41" i="5"/>
  <c r="AG41" i="5"/>
  <c r="AF41" i="5"/>
  <c r="AE41" i="5"/>
  <c r="AD41" i="5"/>
  <c r="AB41" i="5"/>
  <c r="AA41" i="5"/>
  <c r="Z41" i="5"/>
  <c r="Y41" i="5"/>
  <c r="X41" i="5"/>
  <c r="W41" i="5"/>
  <c r="U41" i="5"/>
  <c r="T41" i="5"/>
  <c r="S41" i="5"/>
  <c r="R41" i="5"/>
  <c r="Q41" i="5"/>
  <c r="P41" i="5"/>
  <c r="N41" i="5"/>
  <c r="M41" i="5"/>
  <c r="L41" i="5"/>
  <c r="K41" i="5"/>
  <c r="J41" i="5"/>
  <c r="I41" i="5"/>
  <c r="G41" i="5"/>
  <c r="F41" i="5"/>
  <c r="E41" i="5"/>
  <c r="D41" i="5"/>
  <c r="C41" i="5"/>
  <c r="B41" i="5"/>
  <c r="HI40" i="5"/>
  <c r="HH40" i="5"/>
  <c r="HG40" i="5"/>
  <c r="HF40" i="5"/>
  <c r="HE40" i="5"/>
  <c r="HD40" i="5"/>
  <c r="HB40" i="5"/>
  <c r="HA40" i="5"/>
  <c r="GZ40" i="5"/>
  <c r="GY40" i="5"/>
  <c r="GX40" i="5"/>
  <c r="GW40" i="5"/>
  <c r="GU40" i="5"/>
  <c r="GT40" i="5"/>
  <c r="GS40" i="5"/>
  <c r="GR40" i="5"/>
  <c r="GQ40" i="5"/>
  <c r="GP40" i="5"/>
  <c r="GG40" i="5"/>
  <c r="GF40" i="5"/>
  <c r="GE40" i="5"/>
  <c r="GD40" i="5"/>
  <c r="GC40" i="5"/>
  <c r="GB40" i="5"/>
  <c r="FZ40" i="5"/>
  <c r="FY40" i="5"/>
  <c r="FX40" i="5"/>
  <c r="FW40" i="5"/>
  <c r="FV40" i="5"/>
  <c r="FU40" i="5"/>
  <c r="FS40" i="5"/>
  <c r="FR40" i="5"/>
  <c r="FQ40" i="5"/>
  <c r="FP40" i="5"/>
  <c r="FO40" i="5"/>
  <c r="FN40" i="5"/>
  <c r="FE40" i="5"/>
  <c r="FD40" i="5"/>
  <c r="FC40" i="5"/>
  <c r="FB40" i="5"/>
  <c r="FA40" i="5"/>
  <c r="EZ40" i="5"/>
  <c r="EX40" i="5"/>
  <c r="EW40" i="5"/>
  <c r="EV40" i="5"/>
  <c r="EU40" i="5"/>
  <c r="ET40" i="5"/>
  <c r="ES40" i="5"/>
  <c r="EQ40" i="5"/>
  <c r="EP40" i="5"/>
  <c r="EO40" i="5"/>
  <c r="EN40" i="5"/>
  <c r="EM40" i="5"/>
  <c r="EL40" i="5"/>
  <c r="EC40" i="5"/>
  <c r="EB40" i="5"/>
  <c r="EA40" i="5"/>
  <c r="DZ40" i="5"/>
  <c r="DY40" i="5"/>
  <c r="DX40" i="5"/>
  <c r="DV40" i="5"/>
  <c r="DU40" i="5"/>
  <c r="DT40" i="5"/>
  <c r="DS40" i="5"/>
  <c r="DR40" i="5"/>
  <c r="DQ40" i="5"/>
  <c r="DO40" i="5"/>
  <c r="DN40" i="5"/>
  <c r="DM40" i="5"/>
  <c r="DL40" i="5"/>
  <c r="DK40" i="5"/>
  <c r="DJ40" i="5"/>
  <c r="DH40" i="5"/>
  <c r="DG40" i="5"/>
  <c r="DF40" i="5"/>
  <c r="DE40" i="5"/>
  <c r="DD40" i="5"/>
  <c r="DC40" i="5"/>
  <c r="DA40" i="5"/>
  <c r="CZ40" i="5"/>
  <c r="CY40" i="5"/>
  <c r="CX40" i="5"/>
  <c r="CW40" i="5"/>
  <c r="CV40" i="5"/>
  <c r="CT40" i="5"/>
  <c r="CS40" i="5"/>
  <c r="CR40" i="5"/>
  <c r="CQ40" i="5"/>
  <c r="CP40" i="5"/>
  <c r="CO40" i="5"/>
  <c r="CM40" i="5"/>
  <c r="CL40" i="5"/>
  <c r="CK40" i="5"/>
  <c r="CJ40" i="5"/>
  <c r="CI40" i="5"/>
  <c r="CH40" i="5"/>
  <c r="CF40" i="5"/>
  <c r="CE40" i="5"/>
  <c r="CD40" i="5"/>
  <c r="CC40" i="5"/>
  <c r="CB40" i="5"/>
  <c r="CA40" i="5"/>
  <c r="BY40" i="5"/>
  <c r="BX40" i="5"/>
  <c r="BW40" i="5"/>
  <c r="BV40" i="5"/>
  <c r="BU40" i="5"/>
  <c r="BT40" i="5"/>
  <c r="BR40" i="5"/>
  <c r="BQ40" i="5"/>
  <c r="BP40" i="5"/>
  <c r="BO40" i="5"/>
  <c r="BN40" i="5"/>
  <c r="BM40" i="5"/>
  <c r="BK40" i="5"/>
  <c r="BJ40" i="5"/>
  <c r="BI40" i="5"/>
  <c r="BH40" i="5"/>
  <c r="BG40" i="5"/>
  <c r="BF40" i="5"/>
  <c r="BD40" i="5"/>
  <c r="BC40" i="5"/>
  <c r="BB40" i="5"/>
  <c r="BA40" i="5"/>
  <c r="AZ40" i="5"/>
  <c r="AY40" i="5"/>
  <c r="AW40" i="5"/>
  <c r="AV40" i="5"/>
  <c r="AU40" i="5"/>
  <c r="AT40" i="5"/>
  <c r="AS40" i="5"/>
  <c r="AR40" i="5"/>
  <c r="AP40" i="5"/>
  <c r="AO40" i="5"/>
  <c r="AN40" i="5"/>
  <c r="AM40" i="5"/>
  <c r="AL40" i="5"/>
  <c r="AK40" i="5"/>
  <c r="AI40" i="5"/>
  <c r="AH40" i="5"/>
  <c r="AG40" i="5"/>
  <c r="AF40" i="5"/>
  <c r="AE40" i="5"/>
  <c r="AD40" i="5"/>
  <c r="AB40" i="5"/>
  <c r="AA40" i="5"/>
  <c r="Z40" i="5"/>
  <c r="Y40" i="5"/>
  <c r="X40" i="5"/>
  <c r="W40" i="5"/>
  <c r="U40" i="5"/>
  <c r="T40" i="5"/>
  <c r="S40" i="5"/>
  <c r="R40" i="5"/>
  <c r="Q40" i="5"/>
  <c r="P40" i="5"/>
  <c r="N40" i="5"/>
  <c r="M40" i="5"/>
  <c r="L40" i="5"/>
  <c r="K40" i="5"/>
  <c r="J40" i="5"/>
  <c r="I40" i="5"/>
  <c r="G40" i="5"/>
  <c r="F40" i="5"/>
  <c r="E40" i="5"/>
  <c r="D40" i="5"/>
  <c r="C40" i="5"/>
  <c r="B40" i="5"/>
  <c r="HI39" i="5"/>
  <c r="HI62" i="5" s="1"/>
  <c r="HI91" i="5" s="1"/>
  <c r="HH39" i="5"/>
  <c r="HG39" i="5"/>
  <c r="HF39" i="5"/>
  <c r="HF62" i="5" s="1"/>
  <c r="HF91" i="5" s="1"/>
  <c r="HE39" i="5"/>
  <c r="HE62" i="5" s="1"/>
  <c r="HE91" i="5" s="1"/>
  <c r="HD39" i="5"/>
  <c r="HB39" i="5"/>
  <c r="HB62" i="5" s="1"/>
  <c r="HB91" i="5" s="1"/>
  <c r="HA39" i="5"/>
  <c r="HA62" i="5" s="1"/>
  <c r="HA91" i="5" s="1"/>
  <c r="GZ39" i="5"/>
  <c r="GZ62" i="5" s="1"/>
  <c r="GZ91" i="5" s="1"/>
  <c r="GY39" i="5"/>
  <c r="GX39" i="5"/>
  <c r="GX62" i="5" s="1"/>
  <c r="GX91" i="5" s="1"/>
  <c r="GW39" i="5"/>
  <c r="GW62" i="5" s="1"/>
  <c r="GW91" i="5" s="1"/>
  <c r="GU39" i="5"/>
  <c r="GU62" i="5" s="1"/>
  <c r="GU91" i="5" s="1"/>
  <c r="GT39" i="5"/>
  <c r="GT62" i="5" s="1"/>
  <c r="GT91" i="5" s="1"/>
  <c r="GS39" i="5"/>
  <c r="GS62" i="5" s="1"/>
  <c r="GS91" i="5" s="1"/>
  <c r="GR39" i="5"/>
  <c r="GR62" i="5" s="1"/>
  <c r="GR91" i="5" s="1"/>
  <c r="GQ39" i="5"/>
  <c r="GP39" i="5"/>
  <c r="GP62" i="5" s="1"/>
  <c r="GP91" i="5" s="1"/>
  <c r="GG39" i="5"/>
  <c r="GG62" i="5" s="1"/>
  <c r="GG91" i="5" s="1"/>
  <c r="GF39" i="5"/>
  <c r="GE39" i="5"/>
  <c r="GE62" i="5" s="1"/>
  <c r="GE91" i="5" s="1"/>
  <c r="GD39" i="5"/>
  <c r="GD62" i="5" s="1"/>
  <c r="GD91" i="5" s="1"/>
  <c r="GC39" i="5"/>
  <c r="GC62" i="5" s="1"/>
  <c r="GC91" i="5" s="1"/>
  <c r="GB39" i="5"/>
  <c r="FZ39" i="5"/>
  <c r="FZ62" i="5" s="1"/>
  <c r="FZ91" i="5" s="1"/>
  <c r="FY39" i="5"/>
  <c r="FY62" i="5" s="1"/>
  <c r="FY91" i="5" s="1"/>
  <c r="FX39" i="5"/>
  <c r="FW39" i="5"/>
  <c r="FW62" i="5" s="1"/>
  <c r="FW91" i="5" s="1"/>
  <c r="FV39" i="5"/>
  <c r="FV62" i="5" s="1"/>
  <c r="FV91" i="5" s="1"/>
  <c r="FU39" i="5"/>
  <c r="FU62" i="5" s="1"/>
  <c r="FU91" i="5" s="1"/>
  <c r="FS39" i="5"/>
  <c r="FS62" i="5" s="1"/>
  <c r="FR39" i="5"/>
  <c r="FR62" i="5" s="1"/>
  <c r="FR91" i="5" s="1"/>
  <c r="FQ39" i="5"/>
  <c r="FQ62" i="5" s="1"/>
  <c r="FQ91" i="5" s="1"/>
  <c r="FP39" i="5"/>
  <c r="FO39" i="5"/>
  <c r="FO62" i="5" s="1"/>
  <c r="FO91" i="5" s="1"/>
  <c r="FN39" i="5"/>
  <c r="FN62" i="5" s="1"/>
  <c r="FN91" i="5" s="1"/>
  <c r="FE39" i="5"/>
  <c r="FD39" i="5"/>
  <c r="FD62" i="5" s="1"/>
  <c r="FD91" i="5" s="1"/>
  <c r="FC39" i="5"/>
  <c r="FC62" i="5" s="1"/>
  <c r="FC91" i="5" s="1"/>
  <c r="FB39" i="5"/>
  <c r="FB62" i="5" s="1"/>
  <c r="FB91" i="5" s="1"/>
  <c r="FA39" i="5"/>
  <c r="EZ39" i="5"/>
  <c r="EZ62" i="5" s="1"/>
  <c r="EZ91" i="5" s="1"/>
  <c r="EX39" i="5"/>
  <c r="EX62" i="5" s="1"/>
  <c r="EX91" i="5" s="1"/>
  <c r="EW39" i="5"/>
  <c r="EW62" i="5" s="1"/>
  <c r="EW91" i="5" s="1"/>
  <c r="EV39" i="5"/>
  <c r="EV62" i="5" s="1"/>
  <c r="EV91" i="5" s="1"/>
  <c r="EU39" i="5"/>
  <c r="EU62" i="5" s="1"/>
  <c r="EU91" i="5" s="1"/>
  <c r="ET39" i="5"/>
  <c r="ET62" i="5" s="1"/>
  <c r="ET91" i="5" s="1"/>
  <c r="ES39" i="5"/>
  <c r="EQ39" i="5"/>
  <c r="EQ62" i="5" s="1"/>
  <c r="EQ91" i="5" s="1"/>
  <c r="EP39" i="5"/>
  <c r="EP62" i="5" s="1"/>
  <c r="EP91" i="5" s="1"/>
  <c r="EO39" i="5"/>
  <c r="EN39" i="5"/>
  <c r="EN62" i="5" s="1"/>
  <c r="EN91" i="5" s="1"/>
  <c r="EM39" i="5"/>
  <c r="EM62" i="5" s="1"/>
  <c r="EM91" i="5" s="1"/>
  <c r="EL39" i="5"/>
  <c r="EL62" i="5" s="1"/>
  <c r="EL91" i="5" s="1"/>
  <c r="EC39" i="5"/>
  <c r="EC62" i="5" s="1"/>
  <c r="EC91" i="5" s="1"/>
  <c r="EB39" i="5"/>
  <c r="EB62" i="5" s="1"/>
  <c r="EB91" i="5" s="1"/>
  <c r="EA39" i="5"/>
  <c r="EA62" i="5" s="1"/>
  <c r="EA91" i="5" s="1"/>
  <c r="DZ39" i="5"/>
  <c r="DY39" i="5"/>
  <c r="DY62" i="5" s="1"/>
  <c r="DY91" i="5" s="1"/>
  <c r="DX39" i="5"/>
  <c r="DX62" i="5" s="1"/>
  <c r="DX91" i="5" s="1"/>
  <c r="DV39" i="5"/>
  <c r="DU39" i="5"/>
  <c r="DU62" i="5" s="1"/>
  <c r="DU91" i="5" s="1"/>
  <c r="DT39" i="5"/>
  <c r="DT62" i="5" s="1"/>
  <c r="DT91" i="5" s="1"/>
  <c r="DS39" i="5"/>
  <c r="DS62" i="5" s="1"/>
  <c r="DS91" i="5" s="1"/>
  <c r="DR39" i="5"/>
  <c r="DQ39" i="5"/>
  <c r="DQ62" i="5" s="1"/>
  <c r="DQ91" i="5" s="1"/>
  <c r="DO39" i="5"/>
  <c r="DO62" i="5" s="1"/>
  <c r="DO91" i="5" s="1"/>
  <c r="DN39" i="5"/>
  <c r="DM39" i="5"/>
  <c r="DM62" i="5" s="1"/>
  <c r="DM91" i="5" s="1"/>
  <c r="DL39" i="5"/>
  <c r="DL62" i="5" s="1"/>
  <c r="DL91" i="5" s="1"/>
  <c r="DK39" i="5"/>
  <c r="DK62" i="5" s="1"/>
  <c r="DK91" i="5" s="1"/>
  <c r="DJ39" i="5"/>
  <c r="DH39" i="5"/>
  <c r="DH62" i="5" s="1"/>
  <c r="DH91" i="5" s="1"/>
  <c r="DG39" i="5"/>
  <c r="DG62" i="5" s="1"/>
  <c r="DG91" i="5" s="1"/>
  <c r="DF39" i="5"/>
  <c r="DF62" i="5" s="1"/>
  <c r="DF91" i="5" s="1"/>
  <c r="DE39" i="5"/>
  <c r="DE62" i="5" s="1"/>
  <c r="DE91" i="5" s="1"/>
  <c r="DD39" i="5"/>
  <c r="DD62" i="5" s="1"/>
  <c r="DD91" i="5" s="1"/>
  <c r="DC39" i="5"/>
  <c r="DC62" i="5" s="1"/>
  <c r="DC91" i="5" s="1"/>
  <c r="DA39" i="5"/>
  <c r="DA62" i="5" s="1"/>
  <c r="DA91" i="5" s="1"/>
  <c r="CZ39" i="5"/>
  <c r="CZ62" i="5" s="1"/>
  <c r="CZ91" i="5" s="1"/>
  <c r="CY39" i="5"/>
  <c r="CY62" i="5" s="1"/>
  <c r="CY91" i="5" s="1"/>
  <c r="CX39" i="5"/>
  <c r="CX62" i="5" s="1"/>
  <c r="CX91" i="5" s="1"/>
  <c r="CW39" i="5"/>
  <c r="CW62" i="5" s="1"/>
  <c r="CW91" i="5" s="1"/>
  <c r="CV39" i="5"/>
  <c r="CV62" i="5" s="1"/>
  <c r="CV91" i="5" s="1"/>
  <c r="CT39" i="5"/>
  <c r="CS39" i="5"/>
  <c r="CS62" i="5" s="1"/>
  <c r="CS91" i="5" s="1"/>
  <c r="CR39" i="5"/>
  <c r="CR62" i="5" s="1"/>
  <c r="CR91" i="5" s="1"/>
  <c r="CQ39" i="5"/>
  <c r="CQ62" i="5" s="1"/>
  <c r="CQ91" i="5" s="1"/>
  <c r="CP39" i="5"/>
  <c r="CO39" i="5"/>
  <c r="CO62" i="5" s="1"/>
  <c r="CO91" i="5" s="1"/>
  <c r="CM39" i="5"/>
  <c r="CM62" i="5" s="1"/>
  <c r="CM91" i="5" s="1"/>
  <c r="CL39" i="5"/>
  <c r="CK39" i="5"/>
  <c r="CK62" i="5" s="1"/>
  <c r="CK91" i="5" s="1"/>
  <c r="CJ39" i="5"/>
  <c r="CJ62" i="5" s="1"/>
  <c r="CJ91" i="5" s="1"/>
  <c r="CI39" i="5"/>
  <c r="CI62" i="5" s="1"/>
  <c r="CI91" i="5" s="1"/>
  <c r="CH39" i="5"/>
  <c r="CF39" i="5"/>
  <c r="CF62" i="5" s="1"/>
  <c r="CF91" i="5" s="1"/>
  <c r="CE39" i="5"/>
  <c r="CE62" i="5" s="1"/>
  <c r="CE91" i="5" s="1"/>
  <c r="CD39" i="5"/>
  <c r="CC39" i="5"/>
  <c r="CC62" i="5" s="1"/>
  <c r="CC91" i="5" s="1"/>
  <c r="CB39" i="5"/>
  <c r="CB62" i="5" s="1"/>
  <c r="CB91" i="5" s="1"/>
  <c r="CA39" i="5"/>
  <c r="BY39" i="5"/>
  <c r="BY62" i="5" s="1"/>
  <c r="BY91" i="5" s="1"/>
  <c r="BX39" i="5"/>
  <c r="BX62" i="5" s="1"/>
  <c r="BX91" i="5" s="1"/>
  <c r="BW39" i="5"/>
  <c r="BW62" i="5" s="1"/>
  <c r="BW91" i="5" s="1"/>
  <c r="BV39" i="5"/>
  <c r="BU39" i="5"/>
  <c r="BU62" i="5" s="1"/>
  <c r="BU91" i="5" s="1"/>
  <c r="BT39" i="5"/>
  <c r="BR39" i="5"/>
  <c r="BR62" i="5" s="1"/>
  <c r="BR91" i="5" s="1"/>
  <c r="BQ39" i="5"/>
  <c r="BQ62" i="5" s="1"/>
  <c r="BQ91" i="5" s="1"/>
  <c r="BP39" i="5"/>
  <c r="BP62" i="5" s="1"/>
  <c r="BP91" i="5" s="1"/>
  <c r="BO39" i="5"/>
  <c r="BO62" i="5" s="1"/>
  <c r="BO91" i="5" s="1"/>
  <c r="BN39" i="5"/>
  <c r="BM39" i="5"/>
  <c r="BM62" i="5" s="1"/>
  <c r="BM91" i="5" s="1"/>
  <c r="BK39" i="5"/>
  <c r="BK62" i="5" s="1"/>
  <c r="BK91" i="5" s="1"/>
  <c r="BJ39" i="5"/>
  <c r="BI39" i="5"/>
  <c r="BI62" i="5" s="1"/>
  <c r="BI91" i="5" s="1"/>
  <c r="BH39" i="5"/>
  <c r="BH62" i="5" s="1"/>
  <c r="BH91" i="5" s="1"/>
  <c r="BG39" i="5"/>
  <c r="BG62" i="5" s="1"/>
  <c r="BG91" i="5" s="1"/>
  <c r="BF39" i="5"/>
  <c r="BD39" i="5"/>
  <c r="BD62" i="5" s="1"/>
  <c r="BD91" i="5" s="1"/>
  <c r="BC39" i="5"/>
  <c r="BC62" i="5" s="1"/>
  <c r="BC91" i="5" s="1"/>
  <c r="BB39" i="5"/>
  <c r="BA39" i="5"/>
  <c r="BA62" i="5" s="1"/>
  <c r="BA91" i="5" s="1"/>
  <c r="AZ39" i="5"/>
  <c r="AZ62" i="5" s="1"/>
  <c r="AZ91" i="5" s="1"/>
  <c r="AY39" i="5"/>
  <c r="AY62" i="5" s="1"/>
  <c r="AY91" i="5" s="1"/>
  <c r="AW39" i="5"/>
  <c r="AW62" i="5" s="1"/>
  <c r="AW91" i="5" s="1"/>
  <c r="AV39" i="5"/>
  <c r="AU39" i="5"/>
  <c r="AU62" i="5" s="1"/>
  <c r="AU91" i="5" s="1"/>
  <c r="AT39" i="5"/>
  <c r="AS39" i="5"/>
  <c r="AS62" i="5" s="1"/>
  <c r="AS91" i="5" s="1"/>
  <c r="AR39" i="5"/>
  <c r="AR62" i="5" s="1"/>
  <c r="AR91" i="5" s="1"/>
  <c r="AP39" i="5"/>
  <c r="AO39" i="5"/>
  <c r="AN39" i="5"/>
  <c r="AN62" i="5" s="1"/>
  <c r="AN91" i="5" s="1"/>
  <c r="AM39" i="5"/>
  <c r="AM62" i="5" s="1"/>
  <c r="AM91" i="5" s="1"/>
  <c r="AL39" i="5"/>
  <c r="AK39" i="5"/>
  <c r="AK62" i="5" s="1"/>
  <c r="AK91" i="5" s="1"/>
  <c r="AI39" i="5"/>
  <c r="AI62" i="5" s="1"/>
  <c r="AI91" i="5" s="1"/>
  <c r="AH39" i="5"/>
  <c r="AG39" i="5"/>
  <c r="AG62" i="5" s="1"/>
  <c r="AG91" i="5" s="1"/>
  <c r="AF39" i="5"/>
  <c r="AF62" i="5" s="1"/>
  <c r="AF91" i="5" s="1"/>
  <c r="AE39" i="5"/>
  <c r="AE62" i="5" s="1"/>
  <c r="AE91" i="5" s="1"/>
  <c r="AD39" i="5"/>
  <c r="AB39" i="5"/>
  <c r="AB62" i="5" s="1"/>
  <c r="AB91" i="5" s="1"/>
  <c r="AA39" i="5"/>
  <c r="AA62" i="5" s="1"/>
  <c r="AA91" i="5" s="1"/>
  <c r="Z39" i="5"/>
  <c r="Y39" i="5"/>
  <c r="Y62" i="5" s="1"/>
  <c r="Y91" i="5" s="1"/>
  <c r="X39" i="5"/>
  <c r="X62" i="5" s="1"/>
  <c r="X91" i="5" s="1"/>
  <c r="W39" i="5"/>
  <c r="W62" i="5" s="1"/>
  <c r="W91" i="5" s="1"/>
  <c r="U39" i="5"/>
  <c r="U62" i="5" s="1"/>
  <c r="U91" i="5" s="1"/>
  <c r="T39" i="5"/>
  <c r="S39" i="5"/>
  <c r="S62" i="5" s="1"/>
  <c r="S91" i="5" s="1"/>
  <c r="R39" i="5"/>
  <c r="Q39" i="5"/>
  <c r="Q62" i="5" s="1"/>
  <c r="Q91" i="5" s="1"/>
  <c r="P39" i="5"/>
  <c r="P62" i="5" s="1"/>
  <c r="P91" i="5" s="1"/>
  <c r="N39" i="5"/>
  <c r="M39" i="5"/>
  <c r="M62" i="5" s="1"/>
  <c r="M91" i="5" s="1"/>
  <c r="L39" i="5"/>
  <c r="L62" i="5" s="1"/>
  <c r="L91" i="5" s="1"/>
  <c r="K39" i="5"/>
  <c r="K62" i="5" s="1"/>
  <c r="K91" i="5" s="1"/>
  <c r="J39" i="5"/>
  <c r="I39" i="5"/>
  <c r="I62" i="5" s="1"/>
  <c r="I91" i="5" s="1"/>
  <c r="G39" i="5"/>
  <c r="F39" i="5"/>
  <c r="E39" i="5"/>
  <c r="E62" i="5" s="1"/>
  <c r="E91" i="5" s="1"/>
  <c r="D39" i="5"/>
  <c r="D62" i="5" s="1"/>
  <c r="D91" i="5" s="1"/>
  <c r="C39" i="5"/>
  <c r="C62" i="5" s="1"/>
  <c r="C91" i="5" s="1"/>
  <c r="B39" i="5"/>
  <c r="HI38" i="5"/>
  <c r="HH38" i="5"/>
  <c r="HG38" i="5"/>
  <c r="HF38" i="5"/>
  <c r="HE38" i="5"/>
  <c r="HD38" i="5"/>
  <c r="HB38" i="5"/>
  <c r="HA38" i="5"/>
  <c r="GZ38" i="5"/>
  <c r="GY38" i="5"/>
  <c r="GX38" i="5"/>
  <c r="GW38" i="5"/>
  <c r="GU38" i="5"/>
  <c r="GT38" i="5"/>
  <c r="GS38" i="5"/>
  <c r="GR38" i="5"/>
  <c r="GQ38" i="5"/>
  <c r="GP38" i="5"/>
  <c r="GG38" i="5"/>
  <c r="GF38" i="5"/>
  <c r="GE38" i="5"/>
  <c r="GD38" i="5"/>
  <c r="GC38" i="5"/>
  <c r="GB38" i="5"/>
  <c r="FZ38" i="5"/>
  <c r="FY38" i="5"/>
  <c r="FX38" i="5"/>
  <c r="FW38" i="5"/>
  <c r="FV38" i="5"/>
  <c r="FU38" i="5"/>
  <c r="FS38" i="5"/>
  <c r="FR38" i="5"/>
  <c r="FQ38" i="5"/>
  <c r="FP38" i="5"/>
  <c r="FO38" i="5"/>
  <c r="FN38" i="5"/>
  <c r="FE38" i="5"/>
  <c r="FD38" i="5"/>
  <c r="FC38" i="5"/>
  <c r="FB38" i="5"/>
  <c r="FA38" i="5"/>
  <c r="EZ38" i="5"/>
  <c r="EX38" i="5"/>
  <c r="EW38" i="5"/>
  <c r="EV38" i="5"/>
  <c r="EU38" i="5"/>
  <c r="ET38" i="5"/>
  <c r="ES38" i="5"/>
  <c r="EQ38" i="5"/>
  <c r="EP38" i="5"/>
  <c r="EO38" i="5"/>
  <c r="EN38" i="5"/>
  <c r="EM38" i="5"/>
  <c r="EL38" i="5"/>
  <c r="EC38" i="5"/>
  <c r="EB38" i="5"/>
  <c r="EA38" i="5"/>
  <c r="DZ38" i="5"/>
  <c r="DY38" i="5"/>
  <c r="DX38" i="5"/>
  <c r="DV38" i="5"/>
  <c r="DU38" i="5"/>
  <c r="DT38" i="5"/>
  <c r="DS38" i="5"/>
  <c r="DR38" i="5"/>
  <c r="DQ38" i="5"/>
  <c r="DO38" i="5"/>
  <c r="DN38" i="5"/>
  <c r="DM38" i="5"/>
  <c r="DL38" i="5"/>
  <c r="DK38" i="5"/>
  <c r="DJ38" i="5"/>
  <c r="DH38" i="5"/>
  <c r="DG38" i="5"/>
  <c r="DF38" i="5"/>
  <c r="DE38" i="5"/>
  <c r="DD38" i="5"/>
  <c r="DC38" i="5"/>
  <c r="DA38" i="5"/>
  <c r="CZ38" i="5"/>
  <c r="CY38" i="5"/>
  <c r="CX38" i="5"/>
  <c r="CW38" i="5"/>
  <c r="CV38" i="5"/>
  <c r="CT38" i="5"/>
  <c r="CS38" i="5"/>
  <c r="CR38" i="5"/>
  <c r="CQ38" i="5"/>
  <c r="CP38" i="5"/>
  <c r="CO38" i="5"/>
  <c r="CM38" i="5"/>
  <c r="CL38" i="5"/>
  <c r="CK38" i="5"/>
  <c r="CJ38" i="5"/>
  <c r="CI38" i="5"/>
  <c r="CH38" i="5"/>
  <c r="CF38" i="5"/>
  <c r="CE38" i="5"/>
  <c r="CD38" i="5"/>
  <c r="CC38" i="5"/>
  <c r="CB38" i="5"/>
  <c r="CA38" i="5"/>
  <c r="BY38" i="5"/>
  <c r="BX38" i="5"/>
  <c r="BW38" i="5"/>
  <c r="BV38" i="5"/>
  <c r="BU38" i="5"/>
  <c r="BT38" i="5"/>
  <c r="BR38" i="5"/>
  <c r="BQ38" i="5"/>
  <c r="BP38" i="5"/>
  <c r="BO38" i="5"/>
  <c r="BN38" i="5"/>
  <c r="BM38" i="5"/>
  <c r="BK38" i="5"/>
  <c r="BJ38" i="5"/>
  <c r="BI38" i="5"/>
  <c r="BH38" i="5"/>
  <c r="BG38" i="5"/>
  <c r="BF38" i="5"/>
  <c r="BD38" i="5"/>
  <c r="BC38" i="5"/>
  <c r="BB38" i="5"/>
  <c r="BA38" i="5"/>
  <c r="AZ38" i="5"/>
  <c r="AY38" i="5"/>
  <c r="AW38" i="5"/>
  <c r="AV38" i="5"/>
  <c r="AU38" i="5"/>
  <c r="AT38" i="5"/>
  <c r="AS38" i="5"/>
  <c r="AR38" i="5"/>
  <c r="AP38" i="5"/>
  <c r="AO38" i="5"/>
  <c r="AN38" i="5"/>
  <c r="AM38" i="5"/>
  <c r="AL38" i="5"/>
  <c r="AK38" i="5"/>
  <c r="AI38" i="5"/>
  <c r="AH38" i="5"/>
  <c r="AG38" i="5"/>
  <c r="AF38" i="5"/>
  <c r="AE38" i="5"/>
  <c r="AD38" i="5"/>
  <c r="AB38" i="5"/>
  <c r="AA38" i="5"/>
  <c r="Z38" i="5"/>
  <c r="Y38" i="5"/>
  <c r="X38" i="5"/>
  <c r="W38" i="5"/>
  <c r="U38" i="5"/>
  <c r="T38" i="5"/>
  <c r="S38" i="5"/>
  <c r="R38" i="5"/>
  <c r="Q38" i="5"/>
  <c r="P38" i="5"/>
  <c r="N38" i="5"/>
  <c r="M38" i="5"/>
  <c r="L38" i="5"/>
  <c r="K38" i="5"/>
  <c r="J38" i="5"/>
  <c r="I38" i="5"/>
  <c r="G38" i="5"/>
  <c r="F38" i="5"/>
  <c r="E38" i="5"/>
  <c r="D38" i="5"/>
  <c r="C38" i="5"/>
  <c r="B38" i="5"/>
  <c r="HI37" i="5"/>
  <c r="HH37" i="5"/>
  <c r="HG37" i="5"/>
  <c r="HF37" i="5"/>
  <c r="HE37" i="5"/>
  <c r="HD37" i="5"/>
  <c r="HB37" i="5"/>
  <c r="HA37" i="5"/>
  <c r="GZ37" i="5"/>
  <c r="GY37" i="5"/>
  <c r="GX37" i="5"/>
  <c r="GW37" i="5"/>
  <c r="GU37" i="5"/>
  <c r="GT37" i="5"/>
  <c r="GS37" i="5"/>
  <c r="GR37" i="5"/>
  <c r="GQ37" i="5"/>
  <c r="GP37" i="5"/>
  <c r="GG37" i="5"/>
  <c r="GF37" i="5"/>
  <c r="GE37" i="5"/>
  <c r="GD37" i="5"/>
  <c r="GC37" i="5"/>
  <c r="GB37" i="5"/>
  <c r="FZ37" i="5"/>
  <c r="FY37" i="5"/>
  <c r="FX37" i="5"/>
  <c r="FW37" i="5"/>
  <c r="FV37" i="5"/>
  <c r="FU37" i="5"/>
  <c r="FS37" i="5"/>
  <c r="FR37" i="5"/>
  <c r="FQ37" i="5"/>
  <c r="FP37" i="5"/>
  <c r="FO37" i="5"/>
  <c r="FN37" i="5"/>
  <c r="FE37" i="5"/>
  <c r="FD37" i="5"/>
  <c r="FC37" i="5"/>
  <c r="FB37" i="5"/>
  <c r="FA37" i="5"/>
  <c r="EZ37" i="5"/>
  <c r="EX37" i="5"/>
  <c r="EW37" i="5"/>
  <c r="EV37" i="5"/>
  <c r="EU37" i="5"/>
  <c r="ET37" i="5"/>
  <c r="ES37" i="5"/>
  <c r="EQ37" i="5"/>
  <c r="EP37" i="5"/>
  <c r="EO37" i="5"/>
  <c r="EN37" i="5"/>
  <c r="EM37" i="5"/>
  <c r="EL37" i="5"/>
  <c r="EC37" i="5"/>
  <c r="EB37" i="5"/>
  <c r="EA37" i="5"/>
  <c r="DZ37" i="5"/>
  <c r="DY37" i="5"/>
  <c r="DX37" i="5"/>
  <c r="DV37" i="5"/>
  <c r="DU37" i="5"/>
  <c r="DT37" i="5"/>
  <c r="DS37" i="5"/>
  <c r="DR37" i="5"/>
  <c r="DQ37" i="5"/>
  <c r="DO37" i="5"/>
  <c r="DN37" i="5"/>
  <c r="DM37" i="5"/>
  <c r="DL37" i="5"/>
  <c r="DK37" i="5"/>
  <c r="DJ37" i="5"/>
  <c r="DH37" i="5"/>
  <c r="DG37" i="5"/>
  <c r="DF37" i="5"/>
  <c r="DE37" i="5"/>
  <c r="DD37" i="5"/>
  <c r="DC37" i="5"/>
  <c r="DA37" i="5"/>
  <c r="CZ37" i="5"/>
  <c r="CY37" i="5"/>
  <c r="CX37" i="5"/>
  <c r="CW37" i="5"/>
  <c r="CV37" i="5"/>
  <c r="CT37" i="5"/>
  <c r="CS37" i="5"/>
  <c r="CR37" i="5"/>
  <c r="CQ37" i="5"/>
  <c r="CP37" i="5"/>
  <c r="CO37" i="5"/>
  <c r="CM37" i="5"/>
  <c r="CL37" i="5"/>
  <c r="CK37" i="5"/>
  <c r="CJ37" i="5"/>
  <c r="CI37" i="5"/>
  <c r="CH37" i="5"/>
  <c r="CF37" i="5"/>
  <c r="CE37" i="5"/>
  <c r="CD37" i="5"/>
  <c r="CC37" i="5"/>
  <c r="CB37" i="5"/>
  <c r="CA37" i="5"/>
  <c r="BY37" i="5"/>
  <c r="BX37" i="5"/>
  <c r="BW37" i="5"/>
  <c r="BV37" i="5"/>
  <c r="BU37" i="5"/>
  <c r="BT37" i="5"/>
  <c r="BR37" i="5"/>
  <c r="BQ37" i="5"/>
  <c r="BP37" i="5"/>
  <c r="BO37" i="5"/>
  <c r="BN37" i="5"/>
  <c r="BM37" i="5"/>
  <c r="BK37" i="5"/>
  <c r="BJ37" i="5"/>
  <c r="BI37" i="5"/>
  <c r="BH37" i="5"/>
  <c r="BG37" i="5"/>
  <c r="BF37" i="5"/>
  <c r="BD37" i="5"/>
  <c r="BC37" i="5"/>
  <c r="BB37" i="5"/>
  <c r="BA37" i="5"/>
  <c r="AZ37" i="5"/>
  <c r="AY37" i="5"/>
  <c r="AW37" i="5"/>
  <c r="AV37" i="5"/>
  <c r="AU37" i="5"/>
  <c r="AT37" i="5"/>
  <c r="AS37" i="5"/>
  <c r="AR37" i="5"/>
  <c r="AP37" i="5"/>
  <c r="AO37" i="5"/>
  <c r="AN37" i="5"/>
  <c r="AM37" i="5"/>
  <c r="AL37" i="5"/>
  <c r="AK37" i="5"/>
  <c r="AI37" i="5"/>
  <c r="AH37" i="5"/>
  <c r="AG37" i="5"/>
  <c r="AF37" i="5"/>
  <c r="AE37" i="5"/>
  <c r="AD37" i="5"/>
  <c r="AB37" i="5"/>
  <c r="AA37" i="5"/>
  <c r="Z37" i="5"/>
  <c r="Y37" i="5"/>
  <c r="X37" i="5"/>
  <c r="W37" i="5"/>
  <c r="U37" i="5"/>
  <c r="T37" i="5"/>
  <c r="S37" i="5"/>
  <c r="R37" i="5"/>
  <c r="Q37" i="5"/>
  <c r="P37" i="5"/>
  <c r="N37" i="5"/>
  <c r="M37" i="5"/>
  <c r="L37" i="5"/>
  <c r="K37" i="5"/>
  <c r="J37" i="5"/>
  <c r="I37" i="5"/>
  <c r="G37" i="5"/>
  <c r="F37" i="5"/>
  <c r="E37" i="5"/>
  <c r="D37" i="5"/>
  <c r="C37" i="5"/>
  <c r="B37" i="5"/>
  <c r="HI36" i="5"/>
  <c r="HH36" i="5"/>
  <c r="HG36" i="5"/>
  <c r="HF36" i="5"/>
  <c r="HE36" i="5"/>
  <c r="HD36" i="5"/>
  <c r="HB36" i="5"/>
  <c r="HA36" i="5"/>
  <c r="GZ36" i="5"/>
  <c r="GY36" i="5"/>
  <c r="GX36" i="5"/>
  <c r="GW36" i="5"/>
  <c r="GU36" i="5"/>
  <c r="GT36" i="5"/>
  <c r="GS36" i="5"/>
  <c r="GR36" i="5"/>
  <c r="GQ36" i="5"/>
  <c r="GP36" i="5"/>
  <c r="GG36" i="5"/>
  <c r="GF36" i="5"/>
  <c r="GE36" i="5"/>
  <c r="GD36" i="5"/>
  <c r="GC36" i="5"/>
  <c r="GB36" i="5"/>
  <c r="FZ36" i="5"/>
  <c r="FY36" i="5"/>
  <c r="FX36" i="5"/>
  <c r="FW36" i="5"/>
  <c r="FV36" i="5"/>
  <c r="FU36" i="5"/>
  <c r="FS36" i="5"/>
  <c r="FR36" i="5"/>
  <c r="FQ36" i="5"/>
  <c r="FP36" i="5"/>
  <c r="FO36" i="5"/>
  <c r="FN36" i="5"/>
  <c r="FE36" i="5"/>
  <c r="FD36" i="5"/>
  <c r="FC36" i="5"/>
  <c r="FB36" i="5"/>
  <c r="FA36" i="5"/>
  <c r="EZ36" i="5"/>
  <c r="EX36" i="5"/>
  <c r="EW36" i="5"/>
  <c r="EV36" i="5"/>
  <c r="EU36" i="5"/>
  <c r="ET36" i="5"/>
  <c r="ES36" i="5"/>
  <c r="EQ36" i="5"/>
  <c r="EP36" i="5"/>
  <c r="EO36" i="5"/>
  <c r="EN36" i="5"/>
  <c r="EM36" i="5"/>
  <c r="EL36" i="5"/>
  <c r="EC36" i="5"/>
  <c r="EB36" i="5"/>
  <c r="EA36" i="5"/>
  <c r="DZ36" i="5"/>
  <c r="DY36" i="5"/>
  <c r="DX36" i="5"/>
  <c r="DV36" i="5"/>
  <c r="DU36" i="5"/>
  <c r="DT36" i="5"/>
  <c r="DS36" i="5"/>
  <c r="DR36" i="5"/>
  <c r="DQ36" i="5"/>
  <c r="DO36" i="5"/>
  <c r="DN36" i="5"/>
  <c r="DM36" i="5"/>
  <c r="DL36" i="5"/>
  <c r="DK36" i="5"/>
  <c r="DJ36" i="5"/>
  <c r="DH36" i="5"/>
  <c r="DG36" i="5"/>
  <c r="DF36" i="5"/>
  <c r="DE36" i="5"/>
  <c r="DD36" i="5"/>
  <c r="DC36" i="5"/>
  <c r="DA36" i="5"/>
  <c r="CZ36" i="5"/>
  <c r="CY36" i="5"/>
  <c r="CX36" i="5"/>
  <c r="CW36" i="5"/>
  <c r="CV36" i="5"/>
  <c r="CT36" i="5"/>
  <c r="CS36" i="5"/>
  <c r="CR36" i="5"/>
  <c r="CQ36" i="5"/>
  <c r="CP36" i="5"/>
  <c r="CO36" i="5"/>
  <c r="CM36" i="5"/>
  <c r="CL36" i="5"/>
  <c r="CK36" i="5"/>
  <c r="CJ36" i="5"/>
  <c r="CI36" i="5"/>
  <c r="CH36" i="5"/>
  <c r="CF36" i="5"/>
  <c r="CE36" i="5"/>
  <c r="CD36" i="5"/>
  <c r="CC36" i="5"/>
  <c r="CB36" i="5"/>
  <c r="CA36" i="5"/>
  <c r="BY36" i="5"/>
  <c r="BX36" i="5"/>
  <c r="BW36" i="5"/>
  <c r="BV36" i="5"/>
  <c r="BU36" i="5"/>
  <c r="BT36" i="5"/>
  <c r="BR36" i="5"/>
  <c r="BQ36" i="5"/>
  <c r="BP36" i="5"/>
  <c r="BO36" i="5"/>
  <c r="BN36" i="5"/>
  <c r="BM36" i="5"/>
  <c r="BK36" i="5"/>
  <c r="BJ36" i="5"/>
  <c r="BI36" i="5"/>
  <c r="BH36" i="5"/>
  <c r="BG36" i="5"/>
  <c r="BF36" i="5"/>
  <c r="BD36" i="5"/>
  <c r="BC36" i="5"/>
  <c r="BB36" i="5"/>
  <c r="BA36" i="5"/>
  <c r="AZ36" i="5"/>
  <c r="AY36" i="5"/>
  <c r="AW36" i="5"/>
  <c r="AV36" i="5"/>
  <c r="AU36" i="5"/>
  <c r="AT36" i="5"/>
  <c r="AS36" i="5"/>
  <c r="AR36" i="5"/>
  <c r="AP36" i="5"/>
  <c r="AO36" i="5"/>
  <c r="AN36" i="5"/>
  <c r="AM36" i="5"/>
  <c r="AL36" i="5"/>
  <c r="AK36" i="5"/>
  <c r="AI36" i="5"/>
  <c r="AH36" i="5"/>
  <c r="AG36" i="5"/>
  <c r="AF36" i="5"/>
  <c r="AE36" i="5"/>
  <c r="AD36" i="5"/>
  <c r="AB36" i="5"/>
  <c r="AA36" i="5"/>
  <c r="Z36" i="5"/>
  <c r="Y36" i="5"/>
  <c r="X36" i="5"/>
  <c r="W36" i="5"/>
  <c r="U36" i="5"/>
  <c r="T36" i="5"/>
  <c r="S36" i="5"/>
  <c r="R36" i="5"/>
  <c r="Q36" i="5"/>
  <c r="P36" i="5"/>
  <c r="N36" i="5"/>
  <c r="M36" i="5"/>
  <c r="L36" i="5"/>
  <c r="K36" i="5"/>
  <c r="J36" i="5"/>
  <c r="I36" i="5"/>
  <c r="G36" i="5"/>
  <c r="F36" i="5"/>
  <c r="E36" i="5"/>
  <c r="D36" i="5"/>
  <c r="C36" i="5"/>
  <c r="B36" i="5"/>
  <c r="HI35" i="5"/>
  <c r="HI61" i="5" s="1"/>
  <c r="HI90" i="5" s="1"/>
  <c r="HH35" i="5"/>
  <c r="HH61" i="5" s="1"/>
  <c r="HH90" i="5" s="1"/>
  <c r="HG35" i="5"/>
  <c r="HF35" i="5"/>
  <c r="HF61" i="5" s="1"/>
  <c r="HF90" i="5" s="1"/>
  <c r="HE35" i="5"/>
  <c r="HE61" i="5" s="1"/>
  <c r="HE90" i="5" s="1"/>
  <c r="HD35" i="5"/>
  <c r="HD61" i="5" s="1"/>
  <c r="HD90" i="5" s="1"/>
  <c r="HB35" i="5"/>
  <c r="HB61" i="5" s="1"/>
  <c r="HB90" i="5" s="1"/>
  <c r="HA35" i="5"/>
  <c r="HA61" i="5" s="1"/>
  <c r="HA90" i="5" s="1"/>
  <c r="GZ35" i="5"/>
  <c r="GZ61" i="5" s="1"/>
  <c r="GZ90" i="5" s="1"/>
  <c r="GY35" i="5"/>
  <c r="GX35" i="5"/>
  <c r="GX61" i="5" s="1"/>
  <c r="GX90" i="5" s="1"/>
  <c r="GW35" i="5"/>
  <c r="GW61" i="5" s="1"/>
  <c r="GW90" i="5" s="1"/>
  <c r="GU35" i="5"/>
  <c r="GU61" i="5" s="1"/>
  <c r="GU90" i="5" s="1"/>
  <c r="GT35" i="5"/>
  <c r="GT61" i="5" s="1"/>
  <c r="GT90" i="5" s="1"/>
  <c r="GS35" i="5"/>
  <c r="GS61" i="5" s="1"/>
  <c r="GS90" i="5" s="1"/>
  <c r="GR35" i="5"/>
  <c r="GR61" i="5" s="1"/>
  <c r="GR90" i="5" s="1"/>
  <c r="GQ35" i="5"/>
  <c r="GP35" i="5"/>
  <c r="GP61" i="5" s="1"/>
  <c r="GP90" i="5" s="1"/>
  <c r="GG35" i="5"/>
  <c r="GG61" i="5" s="1"/>
  <c r="GG90" i="5" s="1"/>
  <c r="GF35" i="5"/>
  <c r="GE35" i="5"/>
  <c r="GE61" i="5" s="1"/>
  <c r="GE90" i="5" s="1"/>
  <c r="GD35" i="5"/>
  <c r="GD61" i="5" s="1"/>
  <c r="GD90" i="5" s="1"/>
  <c r="GC35" i="5"/>
  <c r="GC61" i="5" s="1"/>
  <c r="GC90" i="5" s="1"/>
  <c r="GB35" i="5"/>
  <c r="FZ35" i="5"/>
  <c r="FZ61" i="5" s="1"/>
  <c r="FZ90" i="5" s="1"/>
  <c r="FY35" i="5"/>
  <c r="FY61" i="5" s="1"/>
  <c r="FY90" i="5" s="1"/>
  <c r="FX35" i="5"/>
  <c r="FW35" i="5"/>
  <c r="FW61" i="5" s="1"/>
  <c r="FW90" i="5" s="1"/>
  <c r="FV35" i="5"/>
  <c r="FV61" i="5" s="1"/>
  <c r="FV90" i="5" s="1"/>
  <c r="FU35" i="5"/>
  <c r="FU61" i="5" s="1"/>
  <c r="FU90" i="5" s="1"/>
  <c r="FS35" i="5"/>
  <c r="FS61" i="5" s="1"/>
  <c r="FR35" i="5"/>
  <c r="FR61" i="5" s="1"/>
  <c r="FR90" i="5" s="1"/>
  <c r="FQ35" i="5"/>
  <c r="FQ61" i="5" s="1"/>
  <c r="FQ90" i="5" s="1"/>
  <c r="FP35" i="5"/>
  <c r="FO35" i="5"/>
  <c r="FO61" i="5" s="1"/>
  <c r="FO90" i="5" s="1"/>
  <c r="FN35" i="5"/>
  <c r="FN61" i="5" s="1"/>
  <c r="FN90" i="5" s="1"/>
  <c r="FE35" i="5"/>
  <c r="FD35" i="5"/>
  <c r="FD61" i="5" s="1"/>
  <c r="FD90" i="5" s="1"/>
  <c r="FC35" i="5"/>
  <c r="FC61" i="5" s="1"/>
  <c r="FC90" i="5" s="1"/>
  <c r="FB35" i="5"/>
  <c r="FB61" i="5" s="1"/>
  <c r="FB90" i="5" s="1"/>
  <c r="FA35" i="5"/>
  <c r="EZ35" i="5"/>
  <c r="EZ61" i="5" s="1"/>
  <c r="EZ90" i="5" s="1"/>
  <c r="EX35" i="5"/>
  <c r="EX61" i="5" s="1"/>
  <c r="EX90" i="5" s="1"/>
  <c r="EW35" i="5"/>
  <c r="EW61" i="5" s="1"/>
  <c r="EW90" i="5" s="1"/>
  <c r="EV35" i="5"/>
  <c r="EV61" i="5" s="1"/>
  <c r="EV90" i="5" s="1"/>
  <c r="EU35" i="5"/>
  <c r="EU61" i="5" s="1"/>
  <c r="EU90" i="5" s="1"/>
  <c r="ET35" i="5"/>
  <c r="ET61" i="5" s="1"/>
  <c r="ET90" i="5" s="1"/>
  <c r="ES35" i="5"/>
  <c r="EQ35" i="5"/>
  <c r="EQ61" i="5" s="1"/>
  <c r="EQ90" i="5" s="1"/>
  <c r="EP35" i="5"/>
  <c r="EP61" i="5" s="1"/>
  <c r="EP90" i="5" s="1"/>
  <c r="EO35" i="5"/>
  <c r="EN35" i="5"/>
  <c r="EN61" i="5" s="1"/>
  <c r="EN90" i="5" s="1"/>
  <c r="EM35" i="5"/>
  <c r="EM61" i="5" s="1"/>
  <c r="EM90" i="5" s="1"/>
  <c r="EL35" i="5"/>
  <c r="EL61" i="5" s="1"/>
  <c r="EL90" i="5" s="1"/>
  <c r="EC35" i="5"/>
  <c r="EC61" i="5" s="1"/>
  <c r="EC90" i="5" s="1"/>
  <c r="EB35" i="5"/>
  <c r="EB61" i="5" s="1"/>
  <c r="EB90" i="5" s="1"/>
  <c r="EA35" i="5"/>
  <c r="EA61" i="5" s="1"/>
  <c r="EA90" i="5" s="1"/>
  <c r="DZ35" i="5"/>
  <c r="DY35" i="5"/>
  <c r="DY61" i="5" s="1"/>
  <c r="DY90" i="5" s="1"/>
  <c r="DX35" i="5"/>
  <c r="DX61" i="5" s="1"/>
  <c r="DX90" i="5" s="1"/>
  <c r="DV35" i="5"/>
  <c r="DU35" i="5"/>
  <c r="DU61" i="5" s="1"/>
  <c r="DU90" i="5" s="1"/>
  <c r="DT35" i="5"/>
  <c r="DT61" i="5" s="1"/>
  <c r="DT90" i="5" s="1"/>
  <c r="DS35" i="5"/>
  <c r="DS61" i="5" s="1"/>
  <c r="DS90" i="5" s="1"/>
  <c r="DR35" i="5"/>
  <c r="DQ35" i="5"/>
  <c r="DQ61" i="5" s="1"/>
  <c r="DQ90" i="5" s="1"/>
  <c r="DO35" i="5"/>
  <c r="DO61" i="5" s="1"/>
  <c r="DO90" i="5" s="1"/>
  <c r="DN35" i="5"/>
  <c r="DM35" i="5"/>
  <c r="DM61" i="5" s="1"/>
  <c r="DM90" i="5" s="1"/>
  <c r="DL35" i="5"/>
  <c r="DL61" i="5" s="1"/>
  <c r="DL90" i="5" s="1"/>
  <c r="DK35" i="5"/>
  <c r="DK61" i="5" s="1"/>
  <c r="DK90" i="5" s="1"/>
  <c r="DJ35" i="5"/>
  <c r="DH35" i="5"/>
  <c r="DH61" i="5" s="1"/>
  <c r="DH90" i="5" s="1"/>
  <c r="DG35" i="5"/>
  <c r="DG61" i="5" s="1"/>
  <c r="DG90" i="5" s="1"/>
  <c r="DF35" i="5"/>
  <c r="DF61" i="5" s="1"/>
  <c r="DF90" i="5" s="1"/>
  <c r="DE35" i="5"/>
  <c r="DE61" i="5" s="1"/>
  <c r="DE90" i="5" s="1"/>
  <c r="DD35" i="5"/>
  <c r="DD61" i="5" s="1"/>
  <c r="DD90" i="5" s="1"/>
  <c r="DC35" i="5"/>
  <c r="DC61" i="5" s="1"/>
  <c r="DC90" i="5" s="1"/>
  <c r="DA35" i="5"/>
  <c r="DA61" i="5" s="1"/>
  <c r="DA90" i="5" s="1"/>
  <c r="CZ35" i="5"/>
  <c r="CZ61" i="5" s="1"/>
  <c r="CZ90" i="5" s="1"/>
  <c r="CY35" i="5"/>
  <c r="CY61" i="5" s="1"/>
  <c r="CY90" i="5" s="1"/>
  <c r="CX35" i="5"/>
  <c r="CX61" i="5" s="1"/>
  <c r="CX90" i="5" s="1"/>
  <c r="CW35" i="5"/>
  <c r="CW61" i="5" s="1"/>
  <c r="CW90" i="5" s="1"/>
  <c r="CV35" i="5"/>
  <c r="CV61" i="5" s="1"/>
  <c r="CV90" i="5" s="1"/>
  <c r="CT35" i="5"/>
  <c r="CS35" i="5"/>
  <c r="CS61" i="5" s="1"/>
  <c r="CS90" i="5" s="1"/>
  <c r="CR35" i="5"/>
  <c r="CR61" i="5" s="1"/>
  <c r="CR90" i="5" s="1"/>
  <c r="CQ35" i="5"/>
  <c r="CQ61" i="5" s="1"/>
  <c r="CQ90" i="5" s="1"/>
  <c r="CP35" i="5"/>
  <c r="CO35" i="5"/>
  <c r="CO61" i="5" s="1"/>
  <c r="CO90" i="5" s="1"/>
  <c r="CM35" i="5"/>
  <c r="CM61" i="5" s="1"/>
  <c r="CM90" i="5" s="1"/>
  <c r="CL35" i="5"/>
  <c r="CK35" i="5"/>
  <c r="CK61" i="5" s="1"/>
  <c r="CK90" i="5" s="1"/>
  <c r="CJ35" i="5"/>
  <c r="CJ61" i="5" s="1"/>
  <c r="CJ90" i="5" s="1"/>
  <c r="CI35" i="5"/>
  <c r="CI61" i="5" s="1"/>
  <c r="CI90" i="5" s="1"/>
  <c r="CH35" i="5"/>
  <c r="CF35" i="5"/>
  <c r="CF61" i="5" s="1"/>
  <c r="CF90" i="5" s="1"/>
  <c r="CE35" i="5"/>
  <c r="CE61" i="5" s="1"/>
  <c r="CE90" i="5" s="1"/>
  <c r="CD35" i="5"/>
  <c r="CC35" i="5"/>
  <c r="CC61" i="5" s="1"/>
  <c r="CC90" i="5" s="1"/>
  <c r="CB35" i="5"/>
  <c r="CB61" i="5" s="1"/>
  <c r="CB90" i="5" s="1"/>
  <c r="CA35" i="5"/>
  <c r="CA61" i="5" s="1"/>
  <c r="CA90" i="5" s="1"/>
  <c r="BY35" i="5"/>
  <c r="BY61" i="5" s="1"/>
  <c r="BY90" i="5" s="1"/>
  <c r="BX35" i="5"/>
  <c r="BX61" i="5" s="1"/>
  <c r="BX90" i="5" s="1"/>
  <c r="BW35" i="5"/>
  <c r="BW61" i="5" s="1"/>
  <c r="BW90" i="5" s="1"/>
  <c r="BV35" i="5"/>
  <c r="BU35" i="5"/>
  <c r="BU61" i="5" s="1"/>
  <c r="BU90" i="5" s="1"/>
  <c r="BT35" i="5"/>
  <c r="BR35" i="5"/>
  <c r="BR61" i="5" s="1"/>
  <c r="BR90" i="5" s="1"/>
  <c r="BQ35" i="5"/>
  <c r="BQ61" i="5" s="1"/>
  <c r="BQ90" i="5" s="1"/>
  <c r="BP35" i="5"/>
  <c r="BP61" i="5" s="1"/>
  <c r="BP90" i="5" s="1"/>
  <c r="BO35" i="5"/>
  <c r="BO61" i="5" s="1"/>
  <c r="BO90" i="5" s="1"/>
  <c r="BN35" i="5"/>
  <c r="BM35" i="5"/>
  <c r="BM61" i="5" s="1"/>
  <c r="BM90" i="5" s="1"/>
  <c r="BK35" i="5"/>
  <c r="BK61" i="5" s="1"/>
  <c r="BK90" i="5" s="1"/>
  <c r="BJ35" i="5"/>
  <c r="BI35" i="5"/>
  <c r="BI61" i="5" s="1"/>
  <c r="BI90" i="5" s="1"/>
  <c r="BH35" i="5"/>
  <c r="BH61" i="5" s="1"/>
  <c r="BH90" i="5" s="1"/>
  <c r="BG35" i="5"/>
  <c r="BG61" i="5" s="1"/>
  <c r="BG90" i="5" s="1"/>
  <c r="BF35" i="5"/>
  <c r="BD35" i="5"/>
  <c r="BD61" i="5" s="1"/>
  <c r="BD90" i="5" s="1"/>
  <c r="BC35" i="5"/>
  <c r="BC61" i="5" s="1"/>
  <c r="BC90" i="5" s="1"/>
  <c r="BB35" i="5"/>
  <c r="BA35" i="5"/>
  <c r="BA61" i="5" s="1"/>
  <c r="BA90" i="5" s="1"/>
  <c r="AZ35" i="5"/>
  <c r="AZ61" i="5" s="1"/>
  <c r="AZ90" i="5" s="1"/>
  <c r="AY35" i="5"/>
  <c r="AY61" i="5" s="1"/>
  <c r="AY90" i="5" s="1"/>
  <c r="AW35" i="5"/>
  <c r="AW61" i="5" s="1"/>
  <c r="AW90" i="5" s="1"/>
  <c r="AV35" i="5"/>
  <c r="AV61" i="5" s="1"/>
  <c r="AV90" i="5" s="1"/>
  <c r="AU35" i="5"/>
  <c r="AU61" i="5" s="1"/>
  <c r="AU90" i="5" s="1"/>
  <c r="AT35" i="5"/>
  <c r="AS35" i="5"/>
  <c r="AS61" i="5" s="1"/>
  <c r="AS90" i="5" s="1"/>
  <c r="AR35" i="5"/>
  <c r="AR61" i="5" s="1"/>
  <c r="AR90" i="5" s="1"/>
  <c r="AP35" i="5"/>
  <c r="AO35" i="5"/>
  <c r="AO61" i="5" s="1"/>
  <c r="AO90" i="5" s="1"/>
  <c r="AN35" i="5"/>
  <c r="AN61" i="5" s="1"/>
  <c r="AN90" i="5" s="1"/>
  <c r="AM35" i="5"/>
  <c r="AM61" i="5" s="1"/>
  <c r="AM90" i="5" s="1"/>
  <c r="AL35" i="5"/>
  <c r="AK35" i="5"/>
  <c r="AK61" i="5" s="1"/>
  <c r="AK90" i="5" s="1"/>
  <c r="AI35" i="5"/>
  <c r="AI61" i="5" s="1"/>
  <c r="AI90" i="5" s="1"/>
  <c r="AH35" i="5"/>
  <c r="AH61" i="5" s="1"/>
  <c r="AH90" i="5" s="1"/>
  <c r="AG35" i="5"/>
  <c r="AG61" i="5" s="1"/>
  <c r="AG90" i="5" s="1"/>
  <c r="AF35" i="5"/>
  <c r="AE35" i="5"/>
  <c r="AE61" i="5" s="1"/>
  <c r="AE90" i="5" s="1"/>
  <c r="AD35" i="5"/>
  <c r="AB35" i="5"/>
  <c r="AB61" i="5" s="1"/>
  <c r="AB90" i="5" s="1"/>
  <c r="AA35" i="5"/>
  <c r="Z35" i="5"/>
  <c r="Y35" i="5"/>
  <c r="Y61" i="5" s="1"/>
  <c r="Y90" i="5" s="1"/>
  <c r="X35" i="5"/>
  <c r="X61" i="5" s="1"/>
  <c r="X90" i="5" s="1"/>
  <c r="W35" i="5"/>
  <c r="W61" i="5" s="1"/>
  <c r="W90" i="5" s="1"/>
  <c r="U35" i="5"/>
  <c r="U61" i="5" s="1"/>
  <c r="U90" i="5" s="1"/>
  <c r="T35" i="5"/>
  <c r="T61" i="5" s="1"/>
  <c r="T90" i="5" s="1"/>
  <c r="S35" i="5"/>
  <c r="S61" i="5" s="1"/>
  <c r="S90" i="5" s="1"/>
  <c r="R35" i="5"/>
  <c r="Q35" i="5"/>
  <c r="Q61" i="5" s="1"/>
  <c r="Q90" i="5" s="1"/>
  <c r="P35" i="5"/>
  <c r="P61" i="5" s="1"/>
  <c r="P90" i="5" s="1"/>
  <c r="N35" i="5"/>
  <c r="M35" i="5"/>
  <c r="M61" i="5" s="1"/>
  <c r="M90" i="5" s="1"/>
  <c r="L35" i="5"/>
  <c r="L61" i="5" s="1"/>
  <c r="L90" i="5" s="1"/>
  <c r="K35" i="5"/>
  <c r="K61" i="5" s="1"/>
  <c r="K90" i="5" s="1"/>
  <c r="J35" i="5"/>
  <c r="I35" i="5"/>
  <c r="I61" i="5" s="1"/>
  <c r="I90" i="5" s="1"/>
  <c r="G35" i="5"/>
  <c r="G61" i="5" s="1"/>
  <c r="G90" i="5" s="1"/>
  <c r="F35" i="5"/>
  <c r="E35" i="5"/>
  <c r="E61" i="5" s="1"/>
  <c r="E90" i="5" s="1"/>
  <c r="D35" i="5"/>
  <c r="D61" i="5" s="1"/>
  <c r="D90" i="5" s="1"/>
  <c r="C35" i="5"/>
  <c r="C61" i="5" s="1"/>
  <c r="C90" i="5" s="1"/>
  <c r="B35" i="5"/>
  <c r="HI34" i="5"/>
  <c r="HH34" i="5"/>
  <c r="HG34" i="5"/>
  <c r="HF34" i="5"/>
  <c r="HE34" i="5"/>
  <c r="HD34" i="5"/>
  <c r="HB34" i="5"/>
  <c r="HA34" i="5"/>
  <c r="GZ34" i="5"/>
  <c r="GY34" i="5"/>
  <c r="GX34" i="5"/>
  <c r="GW34" i="5"/>
  <c r="GU34" i="5"/>
  <c r="GT34" i="5"/>
  <c r="GS34" i="5"/>
  <c r="GR34" i="5"/>
  <c r="GQ34" i="5"/>
  <c r="GP34" i="5"/>
  <c r="GG34" i="5"/>
  <c r="GF34" i="5"/>
  <c r="GE34" i="5"/>
  <c r="GD34" i="5"/>
  <c r="GC34" i="5"/>
  <c r="GB34" i="5"/>
  <c r="FZ34" i="5"/>
  <c r="FY34" i="5"/>
  <c r="FX34" i="5"/>
  <c r="FW34" i="5"/>
  <c r="FV34" i="5"/>
  <c r="FU34" i="5"/>
  <c r="FS34" i="5"/>
  <c r="FR34" i="5"/>
  <c r="FQ34" i="5"/>
  <c r="FP34" i="5"/>
  <c r="FO34" i="5"/>
  <c r="FN34" i="5"/>
  <c r="FE34" i="5"/>
  <c r="FD34" i="5"/>
  <c r="FC34" i="5"/>
  <c r="FB34" i="5"/>
  <c r="FA34" i="5"/>
  <c r="EZ34" i="5"/>
  <c r="EX34" i="5"/>
  <c r="EW34" i="5"/>
  <c r="EV34" i="5"/>
  <c r="EU34" i="5"/>
  <c r="ET34" i="5"/>
  <c r="ES34" i="5"/>
  <c r="EQ34" i="5"/>
  <c r="EP34" i="5"/>
  <c r="EO34" i="5"/>
  <c r="EN34" i="5"/>
  <c r="EM34" i="5"/>
  <c r="EL34" i="5"/>
  <c r="EC34" i="5"/>
  <c r="EB34" i="5"/>
  <c r="EA34" i="5"/>
  <c r="DZ34" i="5"/>
  <c r="DY34" i="5"/>
  <c r="DX34" i="5"/>
  <c r="DV34" i="5"/>
  <c r="DU34" i="5"/>
  <c r="DT34" i="5"/>
  <c r="DS34" i="5"/>
  <c r="DR34" i="5"/>
  <c r="DQ34" i="5"/>
  <c r="DO34" i="5"/>
  <c r="DN34" i="5"/>
  <c r="DM34" i="5"/>
  <c r="DL34" i="5"/>
  <c r="DK34" i="5"/>
  <c r="DJ34" i="5"/>
  <c r="DH34" i="5"/>
  <c r="DG34" i="5"/>
  <c r="DF34" i="5"/>
  <c r="DE34" i="5"/>
  <c r="DD34" i="5"/>
  <c r="DC34" i="5"/>
  <c r="DA34" i="5"/>
  <c r="CZ34" i="5"/>
  <c r="CY34" i="5"/>
  <c r="CX34" i="5"/>
  <c r="CW34" i="5"/>
  <c r="CV34" i="5"/>
  <c r="CT34" i="5"/>
  <c r="CS34" i="5"/>
  <c r="CR34" i="5"/>
  <c r="CQ34" i="5"/>
  <c r="CP34" i="5"/>
  <c r="CO34" i="5"/>
  <c r="CM34" i="5"/>
  <c r="CL34" i="5"/>
  <c r="CK34" i="5"/>
  <c r="CJ34" i="5"/>
  <c r="CI34" i="5"/>
  <c r="CH34" i="5"/>
  <c r="CF34" i="5"/>
  <c r="CE34" i="5"/>
  <c r="CD34" i="5"/>
  <c r="CC34" i="5"/>
  <c r="CB34" i="5"/>
  <c r="CA34" i="5"/>
  <c r="BY34" i="5"/>
  <c r="BX34" i="5"/>
  <c r="BW34" i="5"/>
  <c r="BV34" i="5"/>
  <c r="BU34" i="5"/>
  <c r="BT34" i="5"/>
  <c r="BR34" i="5"/>
  <c r="BQ34" i="5"/>
  <c r="BP34" i="5"/>
  <c r="BO34" i="5"/>
  <c r="BN34" i="5"/>
  <c r="BM34" i="5"/>
  <c r="BK34" i="5"/>
  <c r="BJ34" i="5"/>
  <c r="BI34" i="5"/>
  <c r="BH34" i="5"/>
  <c r="BG34" i="5"/>
  <c r="BF34" i="5"/>
  <c r="BD34" i="5"/>
  <c r="BC34" i="5"/>
  <c r="BB34" i="5"/>
  <c r="BA34" i="5"/>
  <c r="AZ34" i="5"/>
  <c r="AY34" i="5"/>
  <c r="AW34" i="5"/>
  <c r="AV34" i="5"/>
  <c r="AU34" i="5"/>
  <c r="AT34" i="5"/>
  <c r="AS34" i="5"/>
  <c r="AR34" i="5"/>
  <c r="AP34" i="5"/>
  <c r="AO34" i="5"/>
  <c r="AN34" i="5"/>
  <c r="AM34" i="5"/>
  <c r="AL34" i="5"/>
  <c r="AK34" i="5"/>
  <c r="AI34" i="5"/>
  <c r="AH34" i="5"/>
  <c r="AG34" i="5"/>
  <c r="AF34" i="5"/>
  <c r="AE34" i="5"/>
  <c r="AD34" i="5"/>
  <c r="AB34" i="5"/>
  <c r="AA34" i="5"/>
  <c r="Z34" i="5"/>
  <c r="Y34" i="5"/>
  <c r="X34" i="5"/>
  <c r="W34" i="5"/>
  <c r="U34" i="5"/>
  <c r="T34" i="5"/>
  <c r="S34" i="5"/>
  <c r="R34" i="5"/>
  <c r="Q34" i="5"/>
  <c r="P34" i="5"/>
  <c r="N34" i="5"/>
  <c r="M34" i="5"/>
  <c r="L34" i="5"/>
  <c r="K34" i="5"/>
  <c r="J34" i="5"/>
  <c r="I34" i="5"/>
  <c r="G34" i="5"/>
  <c r="F34" i="5"/>
  <c r="E34" i="5"/>
  <c r="D34" i="5"/>
  <c r="C34" i="5"/>
  <c r="B34" i="5"/>
  <c r="HI33" i="5"/>
  <c r="HH33" i="5"/>
  <c r="HG33" i="5"/>
  <c r="HF33" i="5"/>
  <c r="HE33" i="5"/>
  <c r="HD33" i="5"/>
  <c r="HB33" i="5"/>
  <c r="HA33" i="5"/>
  <c r="GZ33" i="5"/>
  <c r="GY33" i="5"/>
  <c r="GX33" i="5"/>
  <c r="GW33" i="5"/>
  <c r="GU33" i="5"/>
  <c r="GT33" i="5"/>
  <c r="GS33" i="5"/>
  <c r="GR33" i="5"/>
  <c r="GQ33" i="5"/>
  <c r="GP33" i="5"/>
  <c r="GG33" i="5"/>
  <c r="GF33" i="5"/>
  <c r="GE33" i="5"/>
  <c r="GD33" i="5"/>
  <c r="GC33" i="5"/>
  <c r="GB33" i="5"/>
  <c r="FZ33" i="5"/>
  <c r="FY33" i="5"/>
  <c r="FX33" i="5"/>
  <c r="FW33" i="5"/>
  <c r="FV33" i="5"/>
  <c r="FU33" i="5"/>
  <c r="FS33" i="5"/>
  <c r="FR33" i="5"/>
  <c r="FQ33" i="5"/>
  <c r="FP33" i="5"/>
  <c r="FO33" i="5"/>
  <c r="FN33" i="5"/>
  <c r="FE33" i="5"/>
  <c r="FD33" i="5"/>
  <c r="FC33" i="5"/>
  <c r="FB33" i="5"/>
  <c r="FA33" i="5"/>
  <c r="EZ33" i="5"/>
  <c r="EX33" i="5"/>
  <c r="EW33" i="5"/>
  <c r="EV33" i="5"/>
  <c r="EU33" i="5"/>
  <c r="ET33" i="5"/>
  <c r="ES33" i="5"/>
  <c r="EQ33" i="5"/>
  <c r="EP33" i="5"/>
  <c r="EO33" i="5"/>
  <c r="EN33" i="5"/>
  <c r="EM33" i="5"/>
  <c r="EL33" i="5"/>
  <c r="EC33" i="5"/>
  <c r="EB33" i="5"/>
  <c r="EA33" i="5"/>
  <c r="DZ33" i="5"/>
  <c r="DY33" i="5"/>
  <c r="DX33" i="5"/>
  <c r="DV33" i="5"/>
  <c r="DU33" i="5"/>
  <c r="DT33" i="5"/>
  <c r="DS33" i="5"/>
  <c r="DR33" i="5"/>
  <c r="DQ33" i="5"/>
  <c r="DO33" i="5"/>
  <c r="DN33" i="5"/>
  <c r="DM33" i="5"/>
  <c r="DL33" i="5"/>
  <c r="DK33" i="5"/>
  <c r="DJ33" i="5"/>
  <c r="DH33" i="5"/>
  <c r="DG33" i="5"/>
  <c r="DF33" i="5"/>
  <c r="DE33" i="5"/>
  <c r="DD33" i="5"/>
  <c r="DC33" i="5"/>
  <c r="DA33" i="5"/>
  <c r="CZ33" i="5"/>
  <c r="CY33" i="5"/>
  <c r="CX33" i="5"/>
  <c r="CW33" i="5"/>
  <c r="CV33" i="5"/>
  <c r="CT33" i="5"/>
  <c r="CS33" i="5"/>
  <c r="CR33" i="5"/>
  <c r="CQ33" i="5"/>
  <c r="CP33" i="5"/>
  <c r="CO33" i="5"/>
  <c r="CM33" i="5"/>
  <c r="CL33" i="5"/>
  <c r="CK33" i="5"/>
  <c r="CJ33" i="5"/>
  <c r="CI33" i="5"/>
  <c r="CH33" i="5"/>
  <c r="CF33" i="5"/>
  <c r="CE33" i="5"/>
  <c r="CD33" i="5"/>
  <c r="CC33" i="5"/>
  <c r="CB33" i="5"/>
  <c r="CA33" i="5"/>
  <c r="BY33" i="5"/>
  <c r="BX33" i="5"/>
  <c r="BW33" i="5"/>
  <c r="BV33" i="5"/>
  <c r="BU33" i="5"/>
  <c r="BT33" i="5"/>
  <c r="BR33" i="5"/>
  <c r="BQ33" i="5"/>
  <c r="BP33" i="5"/>
  <c r="BO33" i="5"/>
  <c r="BN33" i="5"/>
  <c r="BM33" i="5"/>
  <c r="BK33" i="5"/>
  <c r="BJ33" i="5"/>
  <c r="BI33" i="5"/>
  <c r="BH33" i="5"/>
  <c r="BG33" i="5"/>
  <c r="BF33" i="5"/>
  <c r="BD33" i="5"/>
  <c r="BC33" i="5"/>
  <c r="BB33" i="5"/>
  <c r="BA33" i="5"/>
  <c r="AZ33" i="5"/>
  <c r="AY33" i="5"/>
  <c r="AW33" i="5"/>
  <c r="AV33" i="5"/>
  <c r="AU33" i="5"/>
  <c r="AT33" i="5"/>
  <c r="AS33" i="5"/>
  <c r="AR33" i="5"/>
  <c r="AP33" i="5"/>
  <c r="AO33" i="5"/>
  <c r="AN33" i="5"/>
  <c r="AM33" i="5"/>
  <c r="AL33" i="5"/>
  <c r="AK33" i="5"/>
  <c r="AI33" i="5"/>
  <c r="AH33" i="5"/>
  <c r="AG33" i="5"/>
  <c r="AF33" i="5"/>
  <c r="AE33" i="5"/>
  <c r="AD33" i="5"/>
  <c r="AB33" i="5"/>
  <c r="AA33" i="5"/>
  <c r="Z33" i="5"/>
  <c r="Y33" i="5"/>
  <c r="X33" i="5"/>
  <c r="W33" i="5"/>
  <c r="U33" i="5"/>
  <c r="T33" i="5"/>
  <c r="S33" i="5"/>
  <c r="R33" i="5"/>
  <c r="Q33" i="5"/>
  <c r="P33" i="5"/>
  <c r="N33" i="5"/>
  <c r="M33" i="5"/>
  <c r="L33" i="5"/>
  <c r="K33" i="5"/>
  <c r="J33" i="5"/>
  <c r="I33" i="5"/>
  <c r="G33" i="5"/>
  <c r="F33" i="5"/>
  <c r="E33" i="5"/>
  <c r="D33" i="5"/>
  <c r="C33" i="5"/>
  <c r="B33" i="5"/>
  <c r="HI32" i="5"/>
  <c r="HH32" i="5"/>
  <c r="HG32" i="5"/>
  <c r="HF32" i="5"/>
  <c r="HE32" i="5"/>
  <c r="HD32" i="5"/>
  <c r="HB32" i="5"/>
  <c r="HA32" i="5"/>
  <c r="GZ32" i="5"/>
  <c r="GY32" i="5"/>
  <c r="GX32" i="5"/>
  <c r="GW32" i="5"/>
  <c r="GU32" i="5"/>
  <c r="GT32" i="5"/>
  <c r="GS32" i="5"/>
  <c r="GR32" i="5"/>
  <c r="GQ32" i="5"/>
  <c r="GP32" i="5"/>
  <c r="GG32" i="5"/>
  <c r="GF32" i="5"/>
  <c r="GE32" i="5"/>
  <c r="GD32" i="5"/>
  <c r="GC32" i="5"/>
  <c r="GB32" i="5"/>
  <c r="FZ32" i="5"/>
  <c r="FY32" i="5"/>
  <c r="FX32" i="5"/>
  <c r="FW32" i="5"/>
  <c r="FV32" i="5"/>
  <c r="FU32" i="5"/>
  <c r="FS32" i="5"/>
  <c r="FR32" i="5"/>
  <c r="FQ32" i="5"/>
  <c r="FP32" i="5"/>
  <c r="FO32" i="5"/>
  <c r="FN32" i="5"/>
  <c r="FE32" i="5"/>
  <c r="FD32" i="5"/>
  <c r="FC32" i="5"/>
  <c r="FB32" i="5"/>
  <c r="FA32" i="5"/>
  <c r="EZ32" i="5"/>
  <c r="EX32" i="5"/>
  <c r="EW32" i="5"/>
  <c r="EV32" i="5"/>
  <c r="EU32" i="5"/>
  <c r="ET32" i="5"/>
  <c r="ES32" i="5"/>
  <c r="EQ32" i="5"/>
  <c r="EP32" i="5"/>
  <c r="EO32" i="5"/>
  <c r="EN32" i="5"/>
  <c r="EM32" i="5"/>
  <c r="EL32" i="5"/>
  <c r="EC32" i="5"/>
  <c r="EB32" i="5"/>
  <c r="EA32" i="5"/>
  <c r="DZ32" i="5"/>
  <c r="DY32" i="5"/>
  <c r="DX32" i="5"/>
  <c r="DV32" i="5"/>
  <c r="DU32" i="5"/>
  <c r="DT32" i="5"/>
  <c r="DS32" i="5"/>
  <c r="DR32" i="5"/>
  <c r="DQ32" i="5"/>
  <c r="DO32" i="5"/>
  <c r="DN32" i="5"/>
  <c r="DM32" i="5"/>
  <c r="DL32" i="5"/>
  <c r="DK32" i="5"/>
  <c r="DJ32" i="5"/>
  <c r="DH32" i="5"/>
  <c r="DG32" i="5"/>
  <c r="DF32" i="5"/>
  <c r="DE32" i="5"/>
  <c r="DD32" i="5"/>
  <c r="DC32" i="5"/>
  <c r="DA32" i="5"/>
  <c r="CZ32" i="5"/>
  <c r="CY32" i="5"/>
  <c r="CX32" i="5"/>
  <c r="CW32" i="5"/>
  <c r="CV32" i="5"/>
  <c r="CT32" i="5"/>
  <c r="CS32" i="5"/>
  <c r="CR32" i="5"/>
  <c r="CQ32" i="5"/>
  <c r="CP32" i="5"/>
  <c r="CO32" i="5"/>
  <c r="CM32" i="5"/>
  <c r="CL32" i="5"/>
  <c r="CK32" i="5"/>
  <c r="CJ32" i="5"/>
  <c r="CI32" i="5"/>
  <c r="CH32" i="5"/>
  <c r="CF32" i="5"/>
  <c r="CE32" i="5"/>
  <c r="CD32" i="5"/>
  <c r="CC32" i="5"/>
  <c r="CB32" i="5"/>
  <c r="CA32" i="5"/>
  <c r="BY32" i="5"/>
  <c r="BX32" i="5"/>
  <c r="BW32" i="5"/>
  <c r="BV32" i="5"/>
  <c r="BU32" i="5"/>
  <c r="BT32" i="5"/>
  <c r="BR32" i="5"/>
  <c r="BQ32" i="5"/>
  <c r="BP32" i="5"/>
  <c r="BO32" i="5"/>
  <c r="BN32" i="5"/>
  <c r="BM32" i="5"/>
  <c r="BK32" i="5"/>
  <c r="BJ32" i="5"/>
  <c r="BI32" i="5"/>
  <c r="BH32" i="5"/>
  <c r="BG32" i="5"/>
  <c r="BF32" i="5"/>
  <c r="BD32" i="5"/>
  <c r="BC32" i="5"/>
  <c r="BB32" i="5"/>
  <c r="BA32" i="5"/>
  <c r="AZ32" i="5"/>
  <c r="AY32" i="5"/>
  <c r="AW32" i="5"/>
  <c r="AV32" i="5"/>
  <c r="AU32" i="5"/>
  <c r="AT32" i="5"/>
  <c r="AS32" i="5"/>
  <c r="AR32" i="5"/>
  <c r="AP32" i="5"/>
  <c r="AO32" i="5"/>
  <c r="AN32" i="5"/>
  <c r="AM32" i="5"/>
  <c r="AL32" i="5"/>
  <c r="AK32" i="5"/>
  <c r="AI32" i="5"/>
  <c r="AH32" i="5"/>
  <c r="AG32" i="5"/>
  <c r="AF32" i="5"/>
  <c r="AE32" i="5"/>
  <c r="AD32" i="5"/>
  <c r="AB32" i="5"/>
  <c r="AA32" i="5"/>
  <c r="Z32" i="5"/>
  <c r="Y32" i="5"/>
  <c r="X32" i="5"/>
  <c r="W32" i="5"/>
  <c r="U32" i="5"/>
  <c r="T32" i="5"/>
  <c r="S32" i="5"/>
  <c r="R32" i="5"/>
  <c r="Q32" i="5"/>
  <c r="P32" i="5"/>
  <c r="N32" i="5"/>
  <c r="M32" i="5"/>
  <c r="L32" i="5"/>
  <c r="K32" i="5"/>
  <c r="J32" i="5"/>
  <c r="I32" i="5"/>
  <c r="G32" i="5"/>
  <c r="F32" i="5"/>
  <c r="E32" i="5"/>
  <c r="D32" i="5"/>
  <c r="C32" i="5"/>
  <c r="B32" i="5"/>
  <c r="HI31" i="5"/>
  <c r="HI60" i="5" s="1"/>
  <c r="HI89" i="5" s="1"/>
  <c r="HH31" i="5"/>
  <c r="HH60" i="5" s="1"/>
  <c r="HH89" i="5" s="1"/>
  <c r="HG31" i="5"/>
  <c r="HF31" i="5"/>
  <c r="HF60" i="5" s="1"/>
  <c r="HF89" i="5" s="1"/>
  <c r="HE31" i="5"/>
  <c r="HE60" i="5" s="1"/>
  <c r="HE89" i="5" s="1"/>
  <c r="HD31" i="5"/>
  <c r="HD60" i="5" s="1"/>
  <c r="HD89" i="5" s="1"/>
  <c r="HB31" i="5"/>
  <c r="HB60" i="5" s="1"/>
  <c r="HB89" i="5" s="1"/>
  <c r="HA31" i="5"/>
  <c r="HA60" i="5" s="1"/>
  <c r="HA89" i="5" s="1"/>
  <c r="GZ31" i="5"/>
  <c r="GZ60" i="5" s="1"/>
  <c r="GZ89" i="5" s="1"/>
  <c r="GY31" i="5"/>
  <c r="GX31" i="5"/>
  <c r="GX60" i="5" s="1"/>
  <c r="GX89" i="5" s="1"/>
  <c r="GW31" i="5"/>
  <c r="GW60" i="5" s="1"/>
  <c r="GW89" i="5" s="1"/>
  <c r="GU31" i="5"/>
  <c r="GU60" i="5" s="1"/>
  <c r="GU89" i="5" s="1"/>
  <c r="GT31" i="5"/>
  <c r="GT60" i="5" s="1"/>
  <c r="GT89" i="5" s="1"/>
  <c r="GS31" i="5"/>
  <c r="GS60" i="5" s="1"/>
  <c r="GS89" i="5" s="1"/>
  <c r="GR31" i="5"/>
  <c r="GR60" i="5" s="1"/>
  <c r="GR89" i="5" s="1"/>
  <c r="GQ31" i="5"/>
  <c r="GP31" i="5"/>
  <c r="GP60" i="5" s="1"/>
  <c r="GP89" i="5" s="1"/>
  <c r="GG31" i="5"/>
  <c r="GG60" i="5" s="1"/>
  <c r="GG89" i="5" s="1"/>
  <c r="GF31" i="5"/>
  <c r="GE31" i="5"/>
  <c r="GE60" i="5" s="1"/>
  <c r="GE89" i="5" s="1"/>
  <c r="GD31" i="5"/>
  <c r="GD60" i="5" s="1"/>
  <c r="GD89" i="5" s="1"/>
  <c r="GC31" i="5"/>
  <c r="GC60" i="5" s="1"/>
  <c r="GC89" i="5" s="1"/>
  <c r="GB31" i="5"/>
  <c r="FZ31" i="5"/>
  <c r="FZ60" i="5" s="1"/>
  <c r="FZ89" i="5" s="1"/>
  <c r="FY31" i="5"/>
  <c r="FY60" i="5" s="1"/>
  <c r="FY89" i="5" s="1"/>
  <c r="FX31" i="5"/>
  <c r="FW31" i="5"/>
  <c r="FW60" i="5" s="1"/>
  <c r="FW89" i="5" s="1"/>
  <c r="FV31" i="5"/>
  <c r="FV60" i="5" s="1"/>
  <c r="FV89" i="5" s="1"/>
  <c r="FU31" i="5"/>
  <c r="FU60" i="5" s="1"/>
  <c r="FU89" i="5" s="1"/>
  <c r="FS31" i="5"/>
  <c r="FS60" i="5" s="1"/>
  <c r="FR31" i="5"/>
  <c r="FR60" i="5" s="1"/>
  <c r="FR89" i="5" s="1"/>
  <c r="FQ31" i="5"/>
  <c r="FQ60" i="5" s="1"/>
  <c r="FQ89" i="5" s="1"/>
  <c r="FP31" i="5"/>
  <c r="FO31" i="5"/>
  <c r="FO60" i="5" s="1"/>
  <c r="FO89" i="5" s="1"/>
  <c r="FN31" i="5"/>
  <c r="FN60" i="5" s="1"/>
  <c r="FN89" i="5" s="1"/>
  <c r="FE31" i="5"/>
  <c r="FD31" i="5"/>
  <c r="FD60" i="5" s="1"/>
  <c r="FD89" i="5" s="1"/>
  <c r="FC31" i="5"/>
  <c r="FC60" i="5" s="1"/>
  <c r="FC89" i="5" s="1"/>
  <c r="FB31" i="5"/>
  <c r="FB60" i="5" s="1"/>
  <c r="FB89" i="5" s="1"/>
  <c r="FA31" i="5"/>
  <c r="EZ31" i="5"/>
  <c r="EZ60" i="5" s="1"/>
  <c r="EZ89" i="5" s="1"/>
  <c r="EX31" i="5"/>
  <c r="EX60" i="5" s="1"/>
  <c r="EX89" i="5" s="1"/>
  <c r="EW31" i="5"/>
  <c r="EW60" i="5" s="1"/>
  <c r="EW89" i="5" s="1"/>
  <c r="EV31" i="5"/>
  <c r="EV60" i="5" s="1"/>
  <c r="EV89" i="5" s="1"/>
  <c r="EU31" i="5"/>
  <c r="EU60" i="5" s="1"/>
  <c r="EU89" i="5" s="1"/>
  <c r="ET31" i="5"/>
  <c r="ET60" i="5" s="1"/>
  <c r="ET89" i="5" s="1"/>
  <c r="ES31" i="5"/>
  <c r="EQ31" i="5"/>
  <c r="EQ60" i="5" s="1"/>
  <c r="EQ89" i="5" s="1"/>
  <c r="EP31" i="5"/>
  <c r="EP60" i="5" s="1"/>
  <c r="EP89" i="5" s="1"/>
  <c r="EO31" i="5"/>
  <c r="EN31" i="5"/>
  <c r="EN60" i="5" s="1"/>
  <c r="EN89" i="5" s="1"/>
  <c r="EM31" i="5"/>
  <c r="EM60" i="5" s="1"/>
  <c r="EM89" i="5" s="1"/>
  <c r="EL31" i="5"/>
  <c r="EL60" i="5" s="1"/>
  <c r="EL89" i="5" s="1"/>
  <c r="EC31" i="5"/>
  <c r="EC60" i="5" s="1"/>
  <c r="EC89" i="5" s="1"/>
  <c r="EB31" i="5"/>
  <c r="EB60" i="5" s="1"/>
  <c r="EB89" i="5" s="1"/>
  <c r="EA31" i="5"/>
  <c r="EA60" i="5" s="1"/>
  <c r="EA89" i="5" s="1"/>
  <c r="DZ31" i="5"/>
  <c r="DY31" i="5"/>
  <c r="DY60" i="5" s="1"/>
  <c r="DY89" i="5" s="1"/>
  <c r="DX31" i="5"/>
  <c r="DX60" i="5" s="1"/>
  <c r="DX89" i="5" s="1"/>
  <c r="DV31" i="5"/>
  <c r="DU31" i="5"/>
  <c r="DT31" i="5"/>
  <c r="DT60" i="5" s="1"/>
  <c r="DT89" i="5" s="1"/>
  <c r="DS31" i="5"/>
  <c r="DS60" i="5" s="1"/>
  <c r="DS89" i="5" s="1"/>
  <c r="DR31" i="5"/>
  <c r="DQ31" i="5"/>
  <c r="DQ60" i="5" s="1"/>
  <c r="DQ89" i="5" s="1"/>
  <c r="DO31" i="5"/>
  <c r="DO60" i="5" s="1"/>
  <c r="DO89" i="5" s="1"/>
  <c r="DN31" i="5"/>
  <c r="DM31" i="5"/>
  <c r="DM60" i="5" s="1"/>
  <c r="DM89" i="5" s="1"/>
  <c r="DL31" i="5"/>
  <c r="DL60" i="5" s="1"/>
  <c r="DL89" i="5" s="1"/>
  <c r="DK31" i="5"/>
  <c r="DK60" i="5" s="1"/>
  <c r="DK89" i="5" s="1"/>
  <c r="DJ31" i="5"/>
  <c r="DH31" i="5"/>
  <c r="DH60" i="5" s="1"/>
  <c r="DH89" i="5" s="1"/>
  <c r="DG31" i="5"/>
  <c r="DG60" i="5" s="1"/>
  <c r="DG89" i="5" s="1"/>
  <c r="DF31" i="5"/>
  <c r="DF60" i="5" s="1"/>
  <c r="DF89" i="5" s="1"/>
  <c r="DE31" i="5"/>
  <c r="DE60" i="5" s="1"/>
  <c r="DE89" i="5" s="1"/>
  <c r="DD31" i="5"/>
  <c r="DD60" i="5" s="1"/>
  <c r="DD89" i="5" s="1"/>
  <c r="DC31" i="5"/>
  <c r="DC60" i="5" s="1"/>
  <c r="DC89" i="5" s="1"/>
  <c r="DA31" i="5"/>
  <c r="DA60" i="5" s="1"/>
  <c r="DA89" i="5" s="1"/>
  <c r="CZ31" i="5"/>
  <c r="CZ60" i="5" s="1"/>
  <c r="CZ89" i="5" s="1"/>
  <c r="CY31" i="5"/>
  <c r="CY60" i="5" s="1"/>
  <c r="CY89" i="5" s="1"/>
  <c r="CX31" i="5"/>
  <c r="CX60" i="5" s="1"/>
  <c r="CX89" i="5" s="1"/>
  <c r="CW31" i="5"/>
  <c r="CW60" i="5" s="1"/>
  <c r="CW89" i="5" s="1"/>
  <c r="CV31" i="5"/>
  <c r="CV60" i="5" s="1"/>
  <c r="CV89" i="5" s="1"/>
  <c r="CT31" i="5"/>
  <c r="CS31" i="5"/>
  <c r="CS60" i="5" s="1"/>
  <c r="CS89" i="5" s="1"/>
  <c r="CR31" i="5"/>
  <c r="CR60" i="5" s="1"/>
  <c r="CR89" i="5" s="1"/>
  <c r="CQ31" i="5"/>
  <c r="CQ60" i="5" s="1"/>
  <c r="CQ89" i="5" s="1"/>
  <c r="CP31" i="5"/>
  <c r="CO31" i="5"/>
  <c r="CO60" i="5" s="1"/>
  <c r="CO89" i="5" s="1"/>
  <c r="CM31" i="5"/>
  <c r="CM60" i="5" s="1"/>
  <c r="CM89" i="5" s="1"/>
  <c r="CL31" i="5"/>
  <c r="CK31" i="5"/>
  <c r="CK60" i="5" s="1"/>
  <c r="CK89" i="5" s="1"/>
  <c r="CJ31" i="5"/>
  <c r="CJ60" i="5" s="1"/>
  <c r="CJ89" i="5" s="1"/>
  <c r="CI31" i="5"/>
  <c r="CI60" i="5" s="1"/>
  <c r="CI89" i="5" s="1"/>
  <c r="CH31" i="5"/>
  <c r="CF31" i="5"/>
  <c r="CF60" i="5" s="1"/>
  <c r="CF89" i="5" s="1"/>
  <c r="CE31" i="5"/>
  <c r="CE60" i="5" s="1"/>
  <c r="CE89" i="5" s="1"/>
  <c r="CD31" i="5"/>
  <c r="CC31" i="5"/>
  <c r="CC60" i="5" s="1"/>
  <c r="CC89" i="5" s="1"/>
  <c r="CB31" i="5"/>
  <c r="CB60" i="5" s="1"/>
  <c r="CB89" i="5" s="1"/>
  <c r="CA31" i="5"/>
  <c r="BY31" i="5"/>
  <c r="BY60" i="5" s="1"/>
  <c r="BY89" i="5" s="1"/>
  <c r="BX31" i="5"/>
  <c r="BX60" i="5" s="1"/>
  <c r="BX89" i="5" s="1"/>
  <c r="BW31" i="5"/>
  <c r="BW60" i="5" s="1"/>
  <c r="BW89" i="5" s="1"/>
  <c r="BV31" i="5"/>
  <c r="BU31" i="5"/>
  <c r="BU60" i="5" s="1"/>
  <c r="BU89" i="5" s="1"/>
  <c r="BT31" i="5"/>
  <c r="BR31" i="5"/>
  <c r="BR60" i="5" s="1"/>
  <c r="BR89" i="5" s="1"/>
  <c r="BQ31" i="5"/>
  <c r="BQ60" i="5" s="1"/>
  <c r="BQ89" i="5" s="1"/>
  <c r="BP31" i="5"/>
  <c r="BP60" i="5" s="1"/>
  <c r="BP89" i="5" s="1"/>
  <c r="BO31" i="5"/>
  <c r="BO60" i="5" s="1"/>
  <c r="BO89" i="5" s="1"/>
  <c r="BN31" i="5"/>
  <c r="BM31" i="5"/>
  <c r="BM60" i="5" s="1"/>
  <c r="BM89" i="5" s="1"/>
  <c r="BK31" i="5"/>
  <c r="BK60" i="5" s="1"/>
  <c r="BK89" i="5" s="1"/>
  <c r="BJ31" i="5"/>
  <c r="BJ60" i="5" s="1"/>
  <c r="BJ89" i="5" s="1"/>
  <c r="BI31" i="5"/>
  <c r="BI60" i="5" s="1"/>
  <c r="BI89" i="5" s="1"/>
  <c r="BH31" i="5"/>
  <c r="BH60" i="5" s="1"/>
  <c r="BH89" i="5" s="1"/>
  <c r="BG31" i="5"/>
  <c r="BG60" i="5" s="1"/>
  <c r="BG89" i="5" s="1"/>
  <c r="BF31" i="5"/>
  <c r="BD31" i="5"/>
  <c r="BD60" i="5" s="1"/>
  <c r="BD89" i="5" s="1"/>
  <c r="BC31" i="5"/>
  <c r="BC60" i="5" s="1"/>
  <c r="BC89" i="5" s="1"/>
  <c r="BB31" i="5"/>
  <c r="BB60" i="5" s="1"/>
  <c r="BB89" i="5" s="1"/>
  <c r="BA31" i="5"/>
  <c r="BA60" i="5" s="1"/>
  <c r="BA89" i="5" s="1"/>
  <c r="AZ31" i="5"/>
  <c r="AZ60" i="5" s="1"/>
  <c r="AZ89" i="5" s="1"/>
  <c r="AY31" i="5"/>
  <c r="AW31" i="5"/>
  <c r="AW60" i="5" s="1"/>
  <c r="AW89" i="5" s="1"/>
  <c r="AV31" i="5"/>
  <c r="AV60" i="5" s="1"/>
  <c r="AV89" i="5" s="1"/>
  <c r="AU31" i="5"/>
  <c r="AU60" i="5" s="1"/>
  <c r="AU89" i="5" s="1"/>
  <c r="AT31" i="5"/>
  <c r="AS31" i="5"/>
  <c r="AS60" i="5" s="1"/>
  <c r="AS89" i="5" s="1"/>
  <c r="AR31" i="5"/>
  <c r="AR60" i="5" s="1"/>
  <c r="AR89" i="5" s="1"/>
  <c r="AP31" i="5"/>
  <c r="AO31" i="5"/>
  <c r="AO60" i="5" s="1"/>
  <c r="AO89" i="5" s="1"/>
  <c r="AN31" i="5"/>
  <c r="AN60" i="5" s="1"/>
  <c r="AN89" i="5" s="1"/>
  <c r="AM31" i="5"/>
  <c r="AM60" i="5" s="1"/>
  <c r="AM89" i="5" s="1"/>
  <c r="AL31" i="5"/>
  <c r="AK31" i="5"/>
  <c r="AK60" i="5" s="1"/>
  <c r="AK89" i="5" s="1"/>
  <c r="AI31" i="5"/>
  <c r="AI60" i="5" s="1"/>
  <c r="AI89" i="5" s="1"/>
  <c r="AH31" i="5"/>
  <c r="AG31" i="5"/>
  <c r="AG60" i="5" s="1"/>
  <c r="AG89" i="5" s="1"/>
  <c r="AF31" i="5"/>
  <c r="AF60" i="5" s="1"/>
  <c r="AF89" i="5" s="1"/>
  <c r="AE31" i="5"/>
  <c r="AE60" i="5" s="1"/>
  <c r="AE89" i="5" s="1"/>
  <c r="AD31" i="5"/>
  <c r="AB31" i="5"/>
  <c r="AB60" i="5" s="1"/>
  <c r="AB89" i="5" s="1"/>
  <c r="AA31" i="5"/>
  <c r="AA60" i="5" s="1"/>
  <c r="AA89" i="5" s="1"/>
  <c r="Z31" i="5"/>
  <c r="Y31" i="5"/>
  <c r="Y60" i="5" s="1"/>
  <c r="Y89" i="5" s="1"/>
  <c r="X31" i="5"/>
  <c r="X60" i="5" s="1"/>
  <c r="X89" i="5" s="1"/>
  <c r="W31" i="5"/>
  <c r="U31" i="5"/>
  <c r="U60" i="5" s="1"/>
  <c r="U89" i="5" s="1"/>
  <c r="T31" i="5"/>
  <c r="T60" i="5" s="1"/>
  <c r="T89" i="5" s="1"/>
  <c r="S31" i="5"/>
  <c r="S60" i="5" s="1"/>
  <c r="S89" i="5" s="1"/>
  <c r="R31" i="5"/>
  <c r="R60" i="5" s="1"/>
  <c r="R89" i="5" s="1"/>
  <c r="Q31" i="5"/>
  <c r="Q60" i="5" s="1"/>
  <c r="Q89" i="5" s="1"/>
  <c r="P31" i="5"/>
  <c r="P60" i="5" s="1"/>
  <c r="P89" i="5" s="1"/>
  <c r="N31" i="5"/>
  <c r="N60" i="5" s="1"/>
  <c r="N89" i="5" s="1"/>
  <c r="M31" i="5"/>
  <c r="M60" i="5" s="1"/>
  <c r="M89" i="5" s="1"/>
  <c r="L31" i="5"/>
  <c r="L60" i="5" s="1"/>
  <c r="L89" i="5" s="1"/>
  <c r="K31" i="5"/>
  <c r="K60" i="5" s="1"/>
  <c r="K89" i="5" s="1"/>
  <c r="J31" i="5"/>
  <c r="I31" i="5"/>
  <c r="I60" i="5" s="1"/>
  <c r="I89" i="5" s="1"/>
  <c r="G31" i="5"/>
  <c r="G60" i="5" s="1"/>
  <c r="G89" i="5" s="1"/>
  <c r="F31" i="5"/>
  <c r="E31" i="5"/>
  <c r="E60" i="5" s="1"/>
  <c r="E89" i="5" s="1"/>
  <c r="D31" i="5"/>
  <c r="D60" i="5" s="1"/>
  <c r="D89" i="5" s="1"/>
  <c r="C31" i="5"/>
  <c r="C60" i="5" s="1"/>
  <c r="C89" i="5" s="1"/>
  <c r="B31" i="5"/>
  <c r="HI30" i="5"/>
  <c r="HH30" i="5"/>
  <c r="HG30" i="5"/>
  <c r="HF30" i="5"/>
  <c r="HE30" i="5"/>
  <c r="HD30" i="5"/>
  <c r="HB30" i="5"/>
  <c r="HA30" i="5"/>
  <c r="GZ30" i="5"/>
  <c r="GY30" i="5"/>
  <c r="GX30" i="5"/>
  <c r="GW30" i="5"/>
  <c r="GU30" i="5"/>
  <c r="GT30" i="5"/>
  <c r="GS30" i="5"/>
  <c r="GR30" i="5"/>
  <c r="GQ30" i="5"/>
  <c r="GP30" i="5"/>
  <c r="GG30" i="5"/>
  <c r="GF30" i="5"/>
  <c r="GE30" i="5"/>
  <c r="GD30" i="5"/>
  <c r="GC30" i="5"/>
  <c r="GB30" i="5"/>
  <c r="FZ30" i="5"/>
  <c r="FY30" i="5"/>
  <c r="FX30" i="5"/>
  <c r="FW30" i="5"/>
  <c r="FV30" i="5"/>
  <c r="FU30" i="5"/>
  <c r="FS30" i="5"/>
  <c r="FR30" i="5"/>
  <c r="FQ30" i="5"/>
  <c r="FP30" i="5"/>
  <c r="FO30" i="5"/>
  <c r="FN30" i="5"/>
  <c r="FE30" i="5"/>
  <c r="FD30" i="5"/>
  <c r="FC30" i="5"/>
  <c r="FB30" i="5"/>
  <c r="FA30" i="5"/>
  <c r="EZ30" i="5"/>
  <c r="EX30" i="5"/>
  <c r="EW30" i="5"/>
  <c r="EV30" i="5"/>
  <c r="EU30" i="5"/>
  <c r="ET30" i="5"/>
  <c r="ES30" i="5"/>
  <c r="EQ30" i="5"/>
  <c r="EP30" i="5"/>
  <c r="EO30" i="5"/>
  <c r="EN30" i="5"/>
  <c r="EM30" i="5"/>
  <c r="EL30" i="5"/>
  <c r="EC30" i="5"/>
  <c r="EB30" i="5"/>
  <c r="EA30" i="5"/>
  <c r="DZ30" i="5"/>
  <c r="DY30" i="5"/>
  <c r="DX30" i="5"/>
  <c r="DV30" i="5"/>
  <c r="DU30" i="5"/>
  <c r="DT30" i="5"/>
  <c r="DS30" i="5"/>
  <c r="DR30" i="5"/>
  <c r="DQ30" i="5"/>
  <c r="DO30" i="5"/>
  <c r="DN30" i="5"/>
  <c r="DM30" i="5"/>
  <c r="DL30" i="5"/>
  <c r="DK30" i="5"/>
  <c r="DJ30" i="5"/>
  <c r="DH30" i="5"/>
  <c r="DG30" i="5"/>
  <c r="DF30" i="5"/>
  <c r="DE30" i="5"/>
  <c r="DD30" i="5"/>
  <c r="DC30" i="5"/>
  <c r="DA30" i="5"/>
  <c r="CZ30" i="5"/>
  <c r="CY30" i="5"/>
  <c r="CX30" i="5"/>
  <c r="CW30" i="5"/>
  <c r="CV30" i="5"/>
  <c r="CT30" i="5"/>
  <c r="CS30" i="5"/>
  <c r="CR30" i="5"/>
  <c r="CQ30" i="5"/>
  <c r="CP30" i="5"/>
  <c r="CO30" i="5"/>
  <c r="CM30" i="5"/>
  <c r="CL30" i="5"/>
  <c r="CK30" i="5"/>
  <c r="CJ30" i="5"/>
  <c r="CI30" i="5"/>
  <c r="CH30" i="5"/>
  <c r="CF30" i="5"/>
  <c r="CE30" i="5"/>
  <c r="CD30" i="5"/>
  <c r="CC30" i="5"/>
  <c r="CB30" i="5"/>
  <c r="CA30" i="5"/>
  <c r="BY30" i="5"/>
  <c r="BX30" i="5"/>
  <c r="BW30" i="5"/>
  <c r="BV30" i="5"/>
  <c r="BU30" i="5"/>
  <c r="BT30" i="5"/>
  <c r="BR30" i="5"/>
  <c r="BQ30" i="5"/>
  <c r="BP30" i="5"/>
  <c r="BO30" i="5"/>
  <c r="BN30" i="5"/>
  <c r="BM30" i="5"/>
  <c r="BK30" i="5"/>
  <c r="BJ30" i="5"/>
  <c r="BI30" i="5"/>
  <c r="BH30" i="5"/>
  <c r="BG30" i="5"/>
  <c r="BF30" i="5"/>
  <c r="BD30" i="5"/>
  <c r="BC30" i="5"/>
  <c r="BB30" i="5"/>
  <c r="BA30" i="5"/>
  <c r="AZ30" i="5"/>
  <c r="AY30" i="5"/>
  <c r="AW30" i="5"/>
  <c r="AV30" i="5"/>
  <c r="AU30" i="5"/>
  <c r="AT30" i="5"/>
  <c r="AS30" i="5"/>
  <c r="AR30" i="5"/>
  <c r="AP30" i="5"/>
  <c r="AO30" i="5"/>
  <c r="AN30" i="5"/>
  <c r="AM30" i="5"/>
  <c r="AL30" i="5"/>
  <c r="AK30" i="5"/>
  <c r="AI30" i="5"/>
  <c r="AH30" i="5"/>
  <c r="AG30" i="5"/>
  <c r="AF30" i="5"/>
  <c r="AE30" i="5"/>
  <c r="AD30" i="5"/>
  <c r="AB30" i="5"/>
  <c r="AA30" i="5"/>
  <c r="Z30" i="5"/>
  <c r="Y30" i="5"/>
  <c r="X30" i="5"/>
  <c r="W30" i="5"/>
  <c r="U30" i="5"/>
  <c r="T30" i="5"/>
  <c r="S30" i="5"/>
  <c r="R30" i="5"/>
  <c r="Q30" i="5"/>
  <c r="P30" i="5"/>
  <c r="N30" i="5"/>
  <c r="M30" i="5"/>
  <c r="L30" i="5"/>
  <c r="K30" i="5"/>
  <c r="J30" i="5"/>
  <c r="I30" i="5"/>
  <c r="G30" i="5"/>
  <c r="F30" i="5"/>
  <c r="E30" i="5"/>
  <c r="D30" i="5"/>
  <c r="C30" i="5"/>
  <c r="B30" i="5"/>
  <c r="HI29" i="5"/>
  <c r="HH29" i="5"/>
  <c r="HG29" i="5"/>
  <c r="HF29" i="5"/>
  <c r="HE29" i="5"/>
  <c r="HD29" i="5"/>
  <c r="HB29" i="5"/>
  <c r="HA29" i="5"/>
  <c r="GZ29" i="5"/>
  <c r="GY29" i="5"/>
  <c r="GX29" i="5"/>
  <c r="GW29" i="5"/>
  <c r="GU29" i="5"/>
  <c r="GT29" i="5"/>
  <c r="GS29" i="5"/>
  <c r="GR29" i="5"/>
  <c r="GQ29" i="5"/>
  <c r="GP29" i="5"/>
  <c r="GG29" i="5"/>
  <c r="GF29" i="5"/>
  <c r="GE29" i="5"/>
  <c r="GD29" i="5"/>
  <c r="GC29" i="5"/>
  <c r="GB29" i="5"/>
  <c r="FZ29" i="5"/>
  <c r="FY29" i="5"/>
  <c r="FX29" i="5"/>
  <c r="FW29" i="5"/>
  <c r="FV29" i="5"/>
  <c r="FU29" i="5"/>
  <c r="FS29" i="5"/>
  <c r="FR29" i="5"/>
  <c r="FQ29" i="5"/>
  <c r="FP29" i="5"/>
  <c r="FO29" i="5"/>
  <c r="FN29" i="5"/>
  <c r="FE29" i="5"/>
  <c r="FD29" i="5"/>
  <c r="FC29" i="5"/>
  <c r="FB29" i="5"/>
  <c r="FA29" i="5"/>
  <c r="EZ29" i="5"/>
  <c r="EX29" i="5"/>
  <c r="EW29" i="5"/>
  <c r="EV29" i="5"/>
  <c r="EU29" i="5"/>
  <c r="ET29" i="5"/>
  <c r="ES29" i="5"/>
  <c r="EQ29" i="5"/>
  <c r="EP29" i="5"/>
  <c r="EO29" i="5"/>
  <c r="EN29" i="5"/>
  <c r="EM29" i="5"/>
  <c r="EL29" i="5"/>
  <c r="EC29" i="5"/>
  <c r="EB29" i="5"/>
  <c r="EA29" i="5"/>
  <c r="DZ29" i="5"/>
  <c r="DY29" i="5"/>
  <c r="DX29" i="5"/>
  <c r="DV29" i="5"/>
  <c r="DU29" i="5"/>
  <c r="DT29" i="5"/>
  <c r="DS29" i="5"/>
  <c r="DR29" i="5"/>
  <c r="DQ29" i="5"/>
  <c r="DO29" i="5"/>
  <c r="DN29" i="5"/>
  <c r="DM29" i="5"/>
  <c r="DL29" i="5"/>
  <c r="DK29" i="5"/>
  <c r="DJ29" i="5"/>
  <c r="DH29" i="5"/>
  <c r="DG29" i="5"/>
  <c r="DF29" i="5"/>
  <c r="DE29" i="5"/>
  <c r="DD29" i="5"/>
  <c r="DC29" i="5"/>
  <c r="DA29" i="5"/>
  <c r="CZ29" i="5"/>
  <c r="CY29" i="5"/>
  <c r="CX29" i="5"/>
  <c r="CW29" i="5"/>
  <c r="CV29" i="5"/>
  <c r="CT29" i="5"/>
  <c r="CS29" i="5"/>
  <c r="CR29" i="5"/>
  <c r="CQ29" i="5"/>
  <c r="CP29" i="5"/>
  <c r="CO29" i="5"/>
  <c r="CM29" i="5"/>
  <c r="CL29" i="5"/>
  <c r="CK29" i="5"/>
  <c r="CJ29" i="5"/>
  <c r="CI29" i="5"/>
  <c r="CH29" i="5"/>
  <c r="CF29" i="5"/>
  <c r="CE29" i="5"/>
  <c r="CD29" i="5"/>
  <c r="CC29" i="5"/>
  <c r="CB29" i="5"/>
  <c r="CA29" i="5"/>
  <c r="BY29" i="5"/>
  <c r="BX29" i="5"/>
  <c r="BW29" i="5"/>
  <c r="BV29" i="5"/>
  <c r="BU29" i="5"/>
  <c r="BT29" i="5"/>
  <c r="BR29" i="5"/>
  <c r="BQ29" i="5"/>
  <c r="BP29" i="5"/>
  <c r="BO29" i="5"/>
  <c r="BN29" i="5"/>
  <c r="BM29" i="5"/>
  <c r="BK29" i="5"/>
  <c r="BJ29" i="5"/>
  <c r="BI29" i="5"/>
  <c r="BH29" i="5"/>
  <c r="BG29" i="5"/>
  <c r="BF29" i="5"/>
  <c r="BD29" i="5"/>
  <c r="BC29" i="5"/>
  <c r="BB29" i="5"/>
  <c r="BA29" i="5"/>
  <c r="AZ29" i="5"/>
  <c r="AY29" i="5"/>
  <c r="AW29" i="5"/>
  <c r="AV29" i="5"/>
  <c r="AU29" i="5"/>
  <c r="AT29" i="5"/>
  <c r="AS29" i="5"/>
  <c r="AR29" i="5"/>
  <c r="AP29" i="5"/>
  <c r="AO29" i="5"/>
  <c r="AN29" i="5"/>
  <c r="AM29" i="5"/>
  <c r="AL29" i="5"/>
  <c r="AK29" i="5"/>
  <c r="AI29" i="5"/>
  <c r="AH29" i="5"/>
  <c r="AG29" i="5"/>
  <c r="AF29" i="5"/>
  <c r="AE29" i="5"/>
  <c r="AD29" i="5"/>
  <c r="AB29" i="5"/>
  <c r="AA29" i="5"/>
  <c r="Z29" i="5"/>
  <c r="Y29" i="5"/>
  <c r="X29" i="5"/>
  <c r="W29" i="5"/>
  <c r="U29" i="5"/>
  <c r="T29" i="5"/>
  <c r="S29" i="5"/>
  <c r="R29" i="5"/>
  <c r="Q29" i="5"/>
  <c r="P29" i="5"/>
  <c r="N29" i="5"/>
  <c r="M29" i="5"/>
  <c r="L29" i="5"/>
  <c r="K29" i="5"/>
  <c r="J29" i="5"/>
  <c r="I29" i="5"/>
  <c r="G29" i="5"/>
  <c r="F29" i="5"/>
  <c r="E29" i="5"/>
  <c r="D29" i="5"/>
  <c r="C29" i="5"/>
  <c r="B29" i="5"/>
  <c r="HI28" i="5"/>
  <c r="HH28" i="5"/>
  <c r="HG28" i="5"/>
  <c r="HF28" i="5"/>
  <c r="HE28" i="5"/>
  <c r="HD28" i="5"/>
  <c r="HB28" i="5"/>
  <c r="HA28" i="5"/>
  <c r="GZ28" i="5"/>
  <c r="GY28" i="5"/>
  <c r="GX28" i="5"/>
  <c r="GW28" i="5"/>
  <c r="GU28" i="5"/>
  <c r="GT28" i="5"/>
  <c r="GS28" i="5"/>
  <c r="GR28" i="5"/>
  <c r="GQ28" i="5"/>
  <c r="GP28" i="5"/>
  <c r="GG28" i="5"/>
  <c r="GF28" i="5"/>
  <c r="GE28" i="5"/>
  <c r="GD28" i="5"/>
  <c r="GC28" i="5"/>
  <c r="GB28" i="5"/>
  <c r="FZ28" i="5"/>
  <c r="FY28" i="5"/>
  <c r="FX28" i="5"/>
  <c r="FW28" i="5"/>
  <c r="FV28" i="5"/>
  <c r="FU28" i="5"/>
  <c r="FS28" i="5"/>
  <c r="FR28" i="5"/>
  <c r="FQ28" i="5"/>
  <c r="FP28" i="5"/>
  <c r="FO28" i="5"/>
  <c r="FN28" i="5"/>
  <c r="FE28" i="5"/>
  <c r="FD28" i="5"/>
  <c r="FC28" i="5"/>
  <c r="FB28" i="5"/>
  <c r="FA28" i="5"/>
  <c r="EZ28" i="5"/>
  <c r="EX28" i="5"/>
  <c r="EW28" i="5"/>
  <c r="EV28" i="5"/>
  <c r="EU28" i="5"/>
  <c r="ET28" i="5"/>
  <c r="ES28" i="5"/>
  <c r="EQ28" i="5"/>
  <c r="EP28" i="5"/>
  <c r="EO28" i="5"/>
  <c r="EN28" i="5"/>
  <c r="EM28" i="5"/>
  <c r="EL28" i="5"/>
  <c r="EC28" i="5"/>
  <c r="EB28" i="5"/>
  <c r="EA28" i="5"/>
  <c r="DZ28" i="5"/>
  <c r="DY28" i="5"/>
  <c r="DX28" i="5"/>
  <c r="DV28" i="5"/>
  <c r="DU28" i="5"/>
  <c r="DT28" i="5"/>
  <c r="DS28" i="5"/>
  <c r="DR28" i="5"/>
  <c r="DQ28" i="5"/>
  <c r="DO28" i="5"/>
  <c r="DN28" i="5"/>
  <c r="DM28" i="5"/>
  <c r="DL28" i="5"/>
  <c r="DK28" i="5"/>
  <c r="DJ28" i="5"/>
  <c r="DH28" i="5"/>
  <c r="DG28" i="5"/>
  <c r="DF28" i="5"/>
  <c r="DE28" i="5"/>
  <c r="DD28" i="5"/>
  <c r="DC28" i="5"/>
  <c r="DA28" i="5"/>
  <c r="CZ28" i="5"/>
  <c r="CY28" i="5"/>
  <c r="CX28" i="5"/>
  <c r="CW28" i="5"/>
  <c r="CV28" i="5"/>
  <c r="CT28" i="5"/>
  <c r="CS28" i="5"/>
  <c r="CR28" i="5"/>
  <c r="CQ28" i="5"/>
  <c r="CP28" i="5"/>
  <c r="CO28" i="5"/>
  <c r="CM28" i="5"/>
  <c r="CL28" i="5"/>
  <c r="CK28" i="5"/>
  <c r="CJ28" i="5"/>
  <c r="CI28" i="5"/>
  <c r="CH28" i="5"/>
  <c r="CF28" i="5"/>
  <c r="CE28" i="5"/>
  <c r="CD28" i="5"/>
  <c r="CC28" i="5"/>
  <c r="CB28" i="5"/>
  <c r="CA28" i="5"/>
  <c r="BY28" i="5"/>
  <c r="BX28" i="5"/>
  <c r="BW28" i="5"/>
  <c r="BV28" i="5"/>
  <c r="BU28" i="5"/>
  <c r="BT28" i="5"/>
  <c r="BR28" i="5"/>
  <c r="BQ28" i="5"/>
  <c r="BP28" i="5"/>
  <c r="BO28" i="5"/>
  <c r="BN28" i="5"/>
  <c r="BM28" i="5"/>
  <c r="BK28" i="5"/>
  <c r="BJ28" i="5"/>
  <c r="BI28" i="5"/>
  <c r="BH28" i="5"/>
  <c r="BG28" i="5"/>
  <c r="BF28" i="5"/>
  <c r="BD28" i="5"/>
  <c r="BC28" i="5"/>
  <c r="BB28" i="5"/>
  <c r="BA28" i="5"/>
  <c r="AZ28" i="5"/>
  <c r="AY28" i="5"/>
  <c r="AW28" i="5"/>
  <c r="AV28" i="5"/>
  <c r="AU28" i="5"/>
  <c r="AT28" i="5"/>
  <c r="AS28" i="5"/>
  <c r="AR28" i="5"/>
  <c r="AP28" i="5"/>
  <c r="AO28" i="5"/>
  <c r="AN28" i="5"/>
  <c r="AM28" i="5"/>
  <c r="AL28" i="5"/>
  <c r="AK28" i="5"/>
  <c r="AI28" i="5"/>
  <c r="AH28" i="5"/>
  <c r="AG28" i="5"/>
  <c r="AF28" i="5"/>
  <c r="AE28" i="5"/>
  <c r="AD28" i="5"/>
  <c r="AB28" i="5"/>
  <c r="AA28" i="5"/>
  <c r="Z28" i="5"/>
  <c r="Y28" i="5"/>
  <c r="X28" i="5"/>
  <c r="W28" i="5"/>
  <c r="U28" i="5"/>
  <c r="T28" i="5"/>
  <c r="S28" i="5"/>
  <c r="R28" i="5"/>
  <c r="Q28" i="5"/>
  <c r="P28" i="5"/>
  <c r="N28" i="5"/>
  <c r="M28" i="5"/>
  <c r="L28" i="5"/>
  <c r="K28" i="5"/>
  <c r="J28" i="5"/>
  <c r="I28" i="5"/>
  <c r="G28" i="5"/>
  <c r="F28" i="5"/>
  <c r="E28" i="5"/>
  <c r="D28" i="5"/>
  <c r="C28" i="5"/>
  <c r="B28" i="5"/>
  <c r="HI27" i="5"/>
  <c r="HI59" i="5" s="1"/>
  <c r="HI88" i="5" s="1"/>
  <c r="HH27" i="5"/>
  <c r="HH59" i="5" s="1"/>
  <c r="HH88" i="5" s="1"/>
  <c r="HG27" i="5"/>
  <c r="HF27" i="5"/>
  <c r="HF59" i="5" s="1"/>
  <c r="HF88" i="5" s="1"/>
  <c r="HE27" i="5"/>
  <c r="HE59" i="5" s="1"/>
  <c r="HE88" i="5" s="1"/>
  <c r="HD27" i="5"/>
  <c r="HB27" i="5"/>
  <c r="HB59" i="5" s="1"/>
  <c r="HB88" i="5" s="1"/>
  <c r="HA27" i="5"/>
  <c r="HA59" i="5" s="1"/>
  <c r="HA88" i="5" s="1"/>
  <c r="GZ27" i="5"/>
  <c r="GZ59" i="5" s="1"/>
  <c r="GZ88" i="5" s="1"/>
  <c r="GY27" i="5"/>
  <c r="GX27" i="5"/>
  <c r="GX59" i="5" s="1"/>
  <c r="GX88" i="5" s="1"/>
  <c r="GW27" i="5"/>
  <c r="GW59" i="5" s="1"/>
  <c r="GW88" i="5" s="1"/>
  <c r="GU27" i="5"/>
  <c r="GU59" i="5" s="1"/>
  <c r="GU88" i="5" s="1"/>
  <c r="GT27" i="5"/>
  <c r="GT59" i="5" s="1"/>
  <c r="GT88" i="5" s="1"/>
  <c r="GS27" i="5"/>
  <c r="GS59" i="5" s="1"/>
  <c r="GS88" i="5" s="1"/>
  <c r="GR27" i="5"/>
  <c r="GR59" i="5" s="1"/>
  <c r="GR88" i="5" s="1"/>
  <c r="GQ27" i="5"/>
  <c r="GP27" i="5"/>
  <c r="GP59" i="5" s="1"/>
  <c r="GP88" i="5" s="1"/>
  <c r="GG27" i="5"/>
  <c r="GG59" i="5" s="1"/>
  <c r="GG88" i="5" s="1"/>
  <c r="GF27" i="5"/>
  <c r="GE27" i="5"/>
  <c r="GE59" i="5" s="1"/>
  <c r="GE88" i="5" s="1"/>
  <c r="GD27" i="5"/>
  <c r="GD59" i="5" s="1"/>
  <c r="GD88" i="5" s="1"/>
  <c r="GC27" i="5"/>
  <c r="GC59" i="5" s="1"/>
  <c r="GC88" i="5" s="1"/>
  <c r="GB27" i="5"/>
  <c r="FZ27" i="5"/>
  <c r="FZ59" i="5" s="1"/>
  <c r="FZ88" i="5" s="1"/>
  <c r="FY27" i="5"/>
  <c r="FY59" i="5" s="1"/>
  <c r="FY88" i="5" s="1"/>
  <c r="FX27" i="5"/>
  <c r="FX59" i="5" s="1"/>
  <c r="FX88" i="5" s="1"/>
  <c r="FW27" i="5"/>
  <c r="FW59" i="5" s="1"/>
  <c r="FW88" i="5" s="1"/>
  <c r="FV27" i="5"/>
  <c r="FV59" i="5" s="1"/>
  <c r="FV88" i="5" s="1"/>
  <c r="FU27" i="5"/>
  <c r="FS27" i="5"/>
  <c r="FS59" i="5" s="1"/>
  <c r="FR27" i="5"/>
  <c r="FR59" i="5" s="1"/>
  <c r="FR88" i="5" s="1"/>
  <c r="FQ27" i="5"/>
  <c r="FQ59" i="5" s="1"/>
  <c r="FQ88" i="5" s="1"/>
  <c r="FP27" i="5"/>
  <c r="FO27" i="5"/>
  <c r="FO59" i="5" s="1"/>
  <c r="FO88" i="5" s="1"/>
  <c r="FN27" i="5"/>
  <c r="FN59" i="5" s="1"/>
  <c r="FN88" i="5" s="1"/>
  <c r="FE27" i="5"/>
  <c r="FE59" i="5" s="1"/>
  <c r="FE88" i="5" s="1"/>
  <c r="FD27" i="5"/>
  <c r="FD59" i="5" s="1"/>
  <c r="FD88" i="5" s="1"/>
  <c r="FC27" i="5"/>
  <c r="FC59" i="5" s="1"/>
  <c r="FC88" i="5" s="1"/>
  <c r="FB27" i="5"/>
  <c r="FB59" i="5" s="1"/>
  <c r="FB88" i="5" s="1"/>
  <c r="FA27" i="5"/>
  <c r="FA59" i="5" s="1"/>
  <c r="FA88" i="5" s="1"/>
  <c r="EZ27" i="5"/>
  <c r="EZ59" i="5" s="1"/>
  <c r="EZ88" i="5" s="1"/>
  <c r="EX27" i="5"/>
  <c r="EX59" i="5" s="1"/>
  <c r="EX88" i="5" s="1"/>
  <c r="EW27" i="5"/>
  <c r="EW59" i="5" s="1"/>
  <c r="EW88" i="5" s="1"/>
  <c r="EV27" i="5"/>
  <c r="EV59" i="5" s="1"/>
  <c r="EV88" i="5" s="1"/>
  <c r="EU27" i="5"/>
  <c r="EU59" i="5" s="1"/>
  <c r="EU88" i="5" s="1"/>
  <c r="ET27" i="5"/>
  <c r="ET59" i="5" s="1"/>
  <c r="ET88" i="5" s="1"/>
  <c r="ES27" i="5"/>
  <c r="EQ27" i="5"/>
  <c r="EQ59" i="5" s="1"/>
  <c r="EQ88" i="5" s="1"/>
  <c r="EP27" i="5"/>
  <c r="EP59" i="5" s="1"/>
  <c r="EP88" i="5" s="1"/>
  <c r="EO27" i="5"/>
  <c r="EN27" i="5"/>
  <c r="EN59" i="5" s="1"/>
  <c r="EN88" i="5" s="1"/>
  <c r="EM27" i="5"/>
  <c r="EM59" i="5" s="1"/>
  <c r="EM88" i="5" s="1"/>
  <c r="EL27" i="5"/>
  <c r="EC27" i="5"/>
  <c r="EC59" i="5" s="1"/>
  <c r="EC88" i="5" s="1"/>
  <c r="EB27" i="5"/>
  <c r="EB59" i="5" s="1"/>
  <c r="EB88" i="5" s="1"/>
  <c r="EA27" i="5"/>
  <c r="EA59" i="5" s="1"/>
  <c r="EA88" i="5" s="1"/>
  <c r="DZ27" i="5"/>
  <c r="DY27" i="5"/>
  <c r="DY59" i="5" s="1"/>
  <c r="DY88" i="5" s="1"/>
  <c r="DX27" i="5"/>
  <c r="DX59" i="5" s="1"/>
  <c r="DX88" i="5" s="1"/>
  <c r="DV27" i="5"/>
  <c r="DU27" i="5"/>
  <c r="DU59" i="5" s="1"/>
  <c r="DU88" i="5" s="1"/>
  <c r="DT27" i="5"/>
  <c r="DT59" i="5" s="1"/>
  <c r="DT88" i="5" s="1"/>
  <c r="DS27" i="5"/>
  <c r="DS59" i="5" s="1"/>
  <c r="DS88" i="5" s="1"/>
  <c r="DR27" i="5"/>
  <c r="DR59" i="5" s="1"/>
  <c r="DR88" i="5" s="1"/>
  <c r="DQ27" i="5"/>
  <c r="DQ59" i="5" s="1"/>
  <c r="DQ88" i="5" s="1"/>
  <c r="DO27" i="5"/>
  <c r="DO59" i="5" s="1"/>
  <c r="DO88" i="5" s="1"/>
  <c r="DN27" i="5"/>
  <c r="DN59" i="5" s="1"/>
  <c r="DN88" i="5" s="1"/>
  <c r="DM27" i="5"/>
  <c r="DM59" i="5" s="1"/>
  <c r="DM88" i="5" s="1"/>
  <c r="DL27" i="5"/>
  <c r="DL59" i="5" s="1"/>
  <c r="DL88" i="5" s="1"/>
  <c r="DK27" i="5"/>
  <c r="DK59" i="5" s="1"/>
  <c r="DK88" i="5" s="1"/>
  <c r="DJ27" i="5"/>
  <c r="DH27" i="5"/>
  <c r="DH59" i="5" s="1"/>
  <c r="DH88" i="5" s="1"/>
  <c r="DG27" i="5"/>
  <c r="DG59" i="5" s="1"/>
  <c r="DG88" i="5" s="1"/>
  <c r="DF27" i="5"/>
  <c r="DF59" i="5" s="1"/>
  <c r="DF88" i="5" s="1"/>
  <c r="DE27" i="5"/>
  <c r="DE59" i="5" s="1"/>
  <c r="DE88" i="5" s="1"/>
  <c r="DD27" i="5"/>
  <c r="DD59" i="5" s="1"/>
  <c r="DD88" i="5" s="1"/>
  <c r="DC27" i="5"/>
  <c r="DA27" i="5"/>
  <c r="DA59" i="5" s="1"/>
  <c r="DA88" i="5" s="1"/>
  <c r="CZ27" i="5"/>
  <c r="CZ59" i="5" s="1"/>
  <c r="CZ88" i="5" s="1"/>
  <c r="CY27" i="5"/>
  <c r="CY59" i="5" s="1"/>
  <c r="CY88" i="5" s="1"/>
  <c r="CX27" i="5"/>
  <c r="CX59" i="5" s="1"/>
  <c r="CX88" i="5" s="1"/>
  <c r="CW27" i="5"/>
  <c r="CW59" i="5" s="1"/>
  <c r="CW88" i="5" s="1"/>
  <c r="CV27" i="5"/>
  <c r="CV59" i="5" s="1"/>
  <c r="CV88" i="5" s="1"/>
  <c r="CT27" i="5"/>
  <c r="CT59" i="5" s="1"/>
  <c r="CT88" i="5" s="1"/>
  <c r="CS27" i="5"/>
  <c r="CS59" i="5" s="1"/>
  <c r="CS88" i="5" s="1"/>
  <c r="CR27" i="5"/>
  <c r="CR59" i="5" s="1"/>
  <c r="CR88" i="5" s="1"/>
  <c r="CQ27" i="5"/>
  <c r="CP27" i="5"/>
  <c r="CO27" i="5"/>
  <c r="CO59" i="5" s="1"/>
  <c r="CO88" i="5" s="1"/>
  <c r="CM27" i="5"/>
  <c r="CM59" i="5" s="1"/>
  <c r="CM88" i="5" s="1"/>
  <c r="CL27" i="5"/>
  <c r="CK27" i="5"/>
  <c r="CK59" i="5" s="1"/>
  <c r="CK88" i="5" s="1"/>
  <c r="CJ27" i="5"/>
  <c r="CJ59" i="5" s="1"/>
  <c r="CJ88" i="5" s="1"/>
  <c r="CI27" i="5"/>
  <c r="CI59" i="5" s="1"/>
  <c r="CI88" i="5" s="1"/>
  <c r="CH27" i="5"/>
  <c r="CF27" i="5"/>
  <c r="CF59" i="5" s="1"/>
  <c r="CF88" i="5" s="1"/>
  <c r="CE27" i="5"/>
  <c r="CE59" i="5" s="1"/>
  <c r="CE88" i="5" s="1"/>
  <c r="CD27" i="5"/>
  <c r="CD59" i="5" s="1"/>
  <c r="CD88" i="5" s="1"/>
  <c r="CC27" i="5"/>
  <c r="CC59" i="5" s="1"/>
  <c r="CC88" i="5" s="1"/>
  <c r="CB27" i="5"/>
  <c r="CB59" i="5" s="1"/>
  <c r="CB88" i="5" s="1"/>
  <c r="CA27" i="5"/>
  <c r="BY27" i="5"/>
  <c r="BY59" i="5" s="1"/>
  <c r="BY88" i="5" s="1"/>
  <c r="BX27" i="5"/>
  <c r="BX59" i="5" s="1"/>
  <c r="BX88" i="5" s="1"/>
  <c r="BW27" i="5"/>
  <c r="BW59" i="5" s="1"/>
  <c r="BW88" i="5" s="1"/>
  <c r="BV27" i="5"/>
  <c r="BV59" i="5" s="1"/>
  <c r="BV88" i="5" s="1"/>
  <c r="BU27" i="5"/>
  <c r="BU59" i="5" s="1"/>
  <c r="BU88" i="5" s="1"/>
  <c r="BT27" i="5"/>
  <c r="BT59" i="5" s="1"/>
  <c r="BT88" i="5" s="1"/>
  <c r="BR27" i="5"/>
  <c r="BR59" i="5" s="1"/>
  <c r="BR88" i="5" s="1"/>
  <c r="BQ27" i="5"/>
  <c r="BQ59" i="5" s="1"/>
  <c r="BQ88" i="5" s="1"/>
  <c r="BP27" i="5"/>
  <c r="BP59" i="5" s="1"/>
  <c r="BP88" i="5" s="1"/>
  <c r="BO27" i="5"/>
  <c r="BO59" i="5" s="1"/>
  <c r="BO88" i="5" s="1"/>
  <c r="BN27" i="5"/>
  <c r="BN59" i="5" s="1"/>
  <c r="BN88" i="5" s="1"/>
  <c r="BM27" i="5"/>
  <c r="BM59" i="5" s="1"/>
  <c r="BM88" i="5" s="1"/>
  <c r="BK27" i="5"/>
  <c r="BK59" i="5" s="1"/>
  <c r="BK88" i="5" s="1"/>
  <c r="BJ27" i="5"/>
  <c r="BI27" i="5"/>
  <c r="BI59" i="5" s="1"/>
  <c r="BI88" i="5" s="1"/>
  <c r="BH27" i="5"/>
  <c r="BH59" i="5" s="1"/>
  <c r="BH88" i="5" s="1"/>
  <c r="BG27" i="5"/>
  <c r="BG59" i="5" s="1"/>
  <c r="BG88" i="5" s="1"/>
  <c r="BF27" i="5"/>
  <c r="BD27" i="5"/>
  <c r="BD59" i="5" s="1"/>
  <c r="BD88" i="5" s="1"/>
  <c r="BC27" i="5"/>
  <c r="BC59" i="5" s="1"/>
  <c r="BC88" i="5" s="1"/>
  <c r="BB27" i="5"/>
  <c r="BB59" i="5" s="1"/>
  <c r="BB88" i="5" s="1"/>
  <c r="BA27" i="5"/>
  <c r="BA59" i="5" s="1"/>
  <c r="BA88" i="5" s="1"/>
  <c r="AZ27" i="5"/>
  <c r="AZ59" i="5" s="1"/>
  <c r="AZ88" i="5" s="1"/>
  <c r="AY27" i="5"/>
  <c r="AW27" i="5"/>
  <c r="AW59" i="5" s="1"/>
  <c r="AW88" i="5" s="1"/>
  <c r="AV27" i="5"/>
  <c r="AV59" i="5" s="1"/>
  <c r="AV88" i="5" s="1"/>
  <c r="AU27" i="5"/>
  <c r="AU59" i="5" s="1"/>
  <c r="AU88" i="5" s="1"/>
  <c r="AT27" i="5"/>
  <c r="AS27" i="5"/>
  <c r="AS59" i="5" s="1"/>
  <c r="AS88" i="5" s="1"/>
  <c r="AR27" i="5"/>
  <c r="AR59" i="5" s="1"/>
  <c r="AR88" i="5" s="1"/>
  <c r="AP27" i="5"/>
  <c r="AO27" i="5"/>
  <c r="AO59" i="5" s="1"/>
  <c r="AO88" i="5" s="1"/>
  <c r="AN27" i="5"/>
  <c r="AN59" i="5" s="1"/>
  <c r="AN88" i="5" s="1"/>
  <c r="AM27" i="5"/>
  <c r="AM59" i="5" s="1"/>
  <c r="AM88" i="5" s="1"/>
  <c r="AL27" i="5"/>
  <c r="AK27" i="5"/>
  <c r="AK59" i="5" s="1"/>
  <c r="AK88" i="5" s="1"/>
  <c r="AI27" i="5"/>
  <c r="AI59" i="5" s="1"/>
  <c r="AI88" i="5" s="1"/>
  <c r="AH27" i="5"/>
  <c r="AH59" i="5" s="1"/>
  <c r="AH88" i="5" s="1"/>
  <c r="AG27" i="5"/>
  <c r="AG59" i="5" s="1"/>
  <c r="AG88" i="5" s="1"/>
  <c r="AF27" i="5"/>
  <c r="AF59" i="5" s="1"/>
  <c r="AF88" i="5" s="1"/>
  <c r="AE27" i="5"/>
  <c r="AE59" i="5" s="1"/>
  <c r="AE88" i="5" s="1"/>
  <c r="AD27" i="5"/>
  <c r="AB27" i="5"/>
  <c r="AB59" i="5" s="1"/>
  <c r="AB88" i="5" s="1"/>
  <c r="AA27" i="5"/>
  <c r="AA59" i="5" s="1"/>
  <c r="AA88" i="5" s="1"/>
  <c r="Z27" i="5"/>
  <c r="Z59" i="5" s="1"/>
  <c r="Z88" i="5" s="1"/>
  <c r="Y27" i="5"/>
  <c r="Y59" i="5" s="1"/>
  <c r="Y88" i="5" s="1"/>
  <c r="X27" i="5"/>
  <c r="X59" i="5" s="1"/>
  <c r="X88" i="5" s="1"/>
  <c r="W27" i="5"/>
  <c r="U27" i="5"/>
  <c r="T27" i="5"/>
  <c r="T59" i="5" s="1"/>
  <c r="T88" i="5" s="1"/>
  <c r="S27" i="5"/>
  <c r="S59" i="5" s="1"/>
  <c r="S88" i="5" s="1"/>
  <c r="R27" i="5"/>
  <c r="Q27" i="5"/>
  <c r="Q59" i="5" s="1"/>
  <c r="Q88" i="5" s="1"/>
  <c r="P27" i="5"/>
  <c r="P59" i="5" s="1"/>
  <c r="P88" i="5" s="1"/>
  <c r="N27" i="5"/>
  <c r="M27" i="5"/>
  <c r="M59" i="5" s="1"/>
  <c r="M88" i="5" s="1"/>
  <c r="L27" i="5"/>
  <c r="L59" i="5" s="1"/>
  <c r="L88" i="5" s="1"/>
  <c r="K27" i="5"/>
  <c r="K59" i="5" s="1"/>
  <c r="K88" i="5" s="1"/>
  <c r="J27" i="5"/>
  <c r="J59" i="5" s="1"/>
  <c r="J88" i="5" s="1"/>
  <c r="I27" i="5"/>
  <c r="I59" i="5" s="1"/>
  <c r="I88" i="5" s="1"/>
  <c r="G27" i="5"/>
  <c r="G59" i="5" s="1"/>
  <c r="G88" i="5" s="1"/>
  <c r="F27" i="5"/>
  <c r="E27" i="5"/>
  <c r="E59" i="5" s="1"/>
  <c r="E88" i="5" s="1"/>
  <c r="D27" i="5"/>
  <c r="D59" i="5" s="1"/>
  <c r="D88" i="5" s="1"/>
  <c r="C27" i="5"/>
  <c r="C59" i="5" s="1"/>
  <c r="C88" i="5" s="1"/>
  <c r="B27" i="5"/>
  <c r="HI26" i="5"/>
  <c r="HH26" i="5"/>
  <c r="HG26" i="5"/>
  <c r="HF26" i="5"/>
  <c r="HE26" i="5"/>
  <c r="HD26" i="5"/>
  <c r="HB26" i="5"/>
  <c r="HA26" i="5"/>
  <c r="GZ26" i="5"/>
  <c r="GY26" i="5"/>
  <c r="GX26" i="5"/>
  <c r="GW26" i="5"/>
  <c r="GU26" i="5"/>
  <c r="GT26" i="5"/>
  <c r="GS26" i="5"/>
  <c r="GR26" i="5"/>
  <c r="GQ26" i="5"/>
  <c r="GP26" i="5"/>
  <c r="GG26" i="5"/>
  <c r="GF26" i="5"/>
  <c r="GE26" i="5"/>
  <c r="GD26" i="5"/>
  <c r="GC26" i="5"/>
  <c r="GB26" i="5"/>
  <c r="FZ26" i="5"/>
  <c r="FY26" i="5"/>
  <c r="FX26" i="5"/>
  <c r="FW26" i="5"/>
  <c r="FV26" i="5"/>
  <c r="FU26" i="5"/>
  <c r="FS26" i="5"/>
  <c r="FR26" i="5"/>
  <c r="FQ26" i="5"/>
  <c r="FP26" i="5"/>
  <c r="FO26" i="5"/>
  <c r="FN26" i="5"/>
  <c r="FE26" i="5"/>
  <c r="FD26" i="5"/>
  <c r="FC26" i="5"/>
  <c r="FB26" i="5"/>
  <c r="FA26" i="5"/>
  <c r="EZ26" i="5"/>
  <c r="EX26" i="5"/>
  <c r="EW26" i="5"/>
  <c r="EV26" i="5"/>
  <c r="EU26" i="5"/>
  <c r="ET26" i="5"/>
  <c r="ES26" i="5"/>
  <c r="EQ26" i="5"/>
  <c r="EP26" i="5"/>
  <c r="EO26" i="5"/>
  <c r="EN26" i="5"/>
  <c r="EM26" i="5"/>
  <c r="EL26" i="5"/>
  <c r="EC26" i="5"/>
  <c r="EB26" i="5"/>
  <c r="EA26" i="5"/>
  <c r="DZ26" i="5"/>
  <c r="DY26" i="5"/>
  <c r="DX26" i="5"/>
  <c r="DV26" i="5"/>
  <c r="DU26" i="5"/>
  <c r="DT26" i="5"/>
  <c r="DS26" i="5"/>
  <c r="DR26" i="5"/>
  <c r="DQ26" i="5"/>
  <c r="DO26" i="5"/>
  <c r="DN26" i="5"/>
  <c r="DM26" i="5"/>
  <c r="DL26" i="5"/>
  <c r="DK26" i="5"/>
  <c r="DJ26" i="5"/>
  <c r="DH26" i="5"/>
  <c r="DG26" i="5"/>
  <c r="DF26" i="5"/>
  <c r="DE26" i="5"/>
  <c r="DD26" i="5"/>
  <c r="DC26" i="5"/>
  <c r="DA26" i="5"/>
  <c r="CZ26" i="5"/>
  <c r="CY26" i="5"/>
  <c r="CX26" i="5"/>
  <c r="CW26" i="5"/>
  <c r="CV26" i="5"/>
  <c r="CT26" i="5"/>
  <c r="CS26" i="5"/>
  <c r="CR26" i="5"/>
  <c r="CQ26" i="5"/>
  <c r="CP26" i="5"/>
  <c r="CO26" i="5"/>
  <c r="CM26" i="5"/>
  <c r="CL26" i="5"/>
  <c r="CK26" i="5"/>
  <c r="CJ26" i="5"/>
  <c r="CI26" i="5"/>
  <c r="CH26" i="5"/>
  <c r="CF26" i="5"/>
  <c r="CE26" i="5"/>
  <c r="CD26" i="5"/>
  <c r="CC26" i="5"/>
  <c r="CB26" i="5"/>
  <c r="CA26" i="5"/>
  <c r="BY26" i="5"/>
  <c r="BX26" i="5"/>
  <c r="BW26" i="5"/>
  <c r="BV26" i="5"/>
  <c r="BU26" i="5"/>
  <c r="BT26" i="5"/>
  <c r="BR26" i="5"/>
  <c r="BQ26" i="5"/>
  <c r="BP26" i="5"/>
  <c r="BO26" i="5"/>
  <c r="BN26" i="5"/>
  <c r="BM26" i="5"/>
  <c r="BK26" i="5"/>
  <c r="BJ26" i="5"/>
  <c r="BI26" i="5"/>
  <c r="BH26" i="5"/>
  <c r="BG26" i="5"/>
  <c r="BF26" i="5"/>
  <c r="BD26" i="5"/>
  <c r="BC26" i="5"/>
  <c r="BB26" i="5"/>
  <c r="BA26" i="5"/>
  <c r="AZ26" i="5"/>
  <c r="AY26" i="5"/>
  <c r="AW26" i="5"/>
  <c r="AV26" i="5"/>
  <c r="AU26" i="5"/>
  <c r="AT26" i="5"/>
  <c r="AS26" i="5"/>
  <c r="AR26" i="5"/>
  <c r="AP26" i="5"/>
  <c r="AO26" i="5"/>
  <c r="AN26" i="5"/>
  <c r="AM26" i="5"/>
  <c r="AL26" i="5"/>
  <c r="AK26" i="5"/>
  <c r="AI26" i="5"/>
  <c r="AH26" i="5"/>
  <c r="AG26" i="5"/>
  <c r="AF26" i="5"/>
  <c r="AE26" i="5"/>
  <c r="AD26" i="5"/>
  <c r="AB26" i="5"/>
  <c r="AA26" i="5"/>
  <c r="Z26" i="5"/>
  <c r="Y26" i="5"/>
  <c r="X26" i="5"/>
  <c r="W26" i="5"/>
  <c r="U26" i="5"/>
  <c r="T26" i="5"/>
  <c r="S26" i="5"/>
  <c r="R26" i="5"/>
  <c r="Q26" i="5"/>
  <c r="P26" i="5"/>
  <c r="N26" i="5"/>
  <c r="M26" i="5"/>
  <c r="L26" i="5"/>
  <c r="K26" i="5"/>
  <c r="J26" i="5"/>
  <c r="I26" i="5"/>
  <c r="G26" i="5"/>
  <c r="F26" i="5"/>
  <c r="E26" i="5"/>
  <c r="D26" i="5"/>
  <c r="C26" i="5"/>
  <c r="B26" i="5"/>
  <c r="HI25" i="5"/>
  <c r="HH25" i="5"/>
  <c r="HG25" i="5"/>
  <c r="HF25" i="5"/>
  <c r="HE25" i="5"/>
  <c r="HD25" i="5"/>
  <c r="HB25" i="5"/>
  <c r="HA25" i="5"/>
  <c r="GZ25" i="5"/>
  <c r="GY25" i="5"/>
  <c r="GX25" i="5"/>
  <c r="GW25" i="5"/>
  <c r="GU25" i="5"/>
  <c r="GT25" i="5"/>
  <c r="GS25" i="5"/>
  <c r="GR25" i="5"/>
  <c r="GQ25" i="5"/>
  <c r="GP25" i="5"/>
  <c r="GG25" i="5"/>
  <c r="GF25" i="5"/>
  <c r="GE25" i="5"/>
  <c r="GD25" i="5"/>
  <c r="GC25" i="5"/>
  <c r="GB25" i="5"/>
  <c r="FZ25" i="5"/>
  <c r="FY25" i="5"/>
  <c r="FX25" i="5"/>
  <c r="FW25" i="5"/>
  <c r="FV25" i="5"/>
  <c r="FU25" i="5"/>
  <c r="FS25" i="5"/>
  <c r="FR25" i="5"/>
  <c r="FQ25" i="5"/>
  <c r="FP25" i="5"/>
  <c r="FO25" i="5"/>
  <c r="FN25" i="5"/>
  <c r="FE25" i="5"/>
  <c r="FD25" i="5"/>
  <c r="FC25" i="5"/>
  <c r="FB25" i="5"/>
  <c r="FA25" i="5"/>
  <c r="EZ25" i="5"/>
  <c r="EX25" i="5"/>
  <c r="EW25" i="5"/>
  <c r="EV25" i="5"/>
  <c r="EU25" i="5"/>
  <c r="ET25" i="5"/>
  <c r="ES25" i="5"/>
  <c r="EQ25" i="5"/>
  <c r="EP25" i="5"/>
  <c r="EO25" i="5"/>
  <c r="EN25" i="5"/>
  <c r="EM25" i="5"/>
  <c r="EL25" i="5"/>
  <c r="EC25" i="5"/>
  <c r="EB25" i="5"/>
  <c r="EA25" i="5"/>
  <c r="DZ25" i="5"/>
  <c r="DY25" i="5"/>
  <c r="DX25" i="5"/>
  <c r="DV25" i="5"/>
  <c r="DU25" i="5"/>
  <c r="DT25" i="5"/>
  <c r="DS25" i="5"/>
  <c r="DR25" i="5"/>
  <c r="DQ25" i="5"/>
  <c r="DO25" i="5"/>
  <c r="DN25" i="5"/>
  <c r="DM25" i="5"/>
  <c r="DL25" i="5"/>
  <c r="DK25" i="5"/>
  <c r="DJ25" i="5"/>
  <c r="DH25" i="5"/>
  <c r="DG25" i="5"/>
  <c r="DF25" i="5"/>
  <c r="DE25" i="5"/>
  <c r="DD25" i="5"/>
  <c r="DC25" i="5"/>
  <c r="DA25" i="5"/>
  <c r="CZ25" i="5"/>
  <c r="CY25" i="5"/>
  <c r="CX25" i="5"/>
  <c r="CW25" i="5"/>
  <c r="CV25" i="5"/>
  <c r="CT25" i="5"/>
  <c r="CS25" i="5"/>
  <c r="CR25" i="5"/>
  <c r="CQ25" i="5"/>
  <c r="CP25" i="5"/>
  <c r="CO25" i="5"/>
  <c r="CM25" i="5"/>
  <c r="CL25" i="5"/>
  <c r="CK25" i="5"/>
  <c r="CJ25" i="5"/>
  <c r="CI25" i="5"/>
  <c r="CH25" i="5"/>
  <c r="CF25" i="5"/>
  <c r="CE25" i="5"/>
  <c r="CD25" i="5"/>
  <c r="CC25" i="5"/>
  <c r="CB25" i="5"/>
  <c r="CA25" i="5"/>
  <c r="BY25" i="5"/>
  <c r="BX25" i="5"/>
  <c r="BW25" i="5"/>
  <c r="BV25" i="5"/>
  <c r="BU25" i="5"/>
  <c r="BT25" i="5"/>
  <c r="BR25" i="5"/>
  <c r="BQ25" i="5"/>
  <c r="BP25" i="5"/>
  <c r="BO25" i="5"/>
  <c r="BN25" i="5"/>
  <c r="BM25" i="5"/>
  <c r="BK25" i="5"/>
  <c r="BJ25" i="5"/>
  <c r="BI25" i="5"/>
  <c r="BH25" i="5"/>
  <c r="BG25" i="5"/>
  <c r="BF25" i="5"/>
  <c r="BD25" i="5"/>
  <c r="BC25" i="5"/>
  <c r="BB25" i="5"/>
  <c r="BA25" i="5"/>
  <c r="AZ25" i="5"/>
  <c r="AY25" i="5"/>
  <c r="AW25" i="5"/>
  <c r="AV25" i="5"/>
  <c r="AU25" i="5"/>
  <c r="AT25" i="5"/>
  <c r="AS25" i="5"/>
  <c r="AR25" i="5"/>
  <c r="AP25" i="5"/>
  <c r="AO25" i="5"/>
  <c r="AN25" i="5"/>
  <c r="AM25" i="5"/>
  <c r="AL25" i="5"/>
  <c r="AK25" i="5"/>
  <c r="AI25" i="5"/>
  <c r="AH25" i="5"/>
  <c r="AG25" i="5"/>
  <c r="AF25" i="5"/>
  <c r="AE25" i="5"/>
  <c r="AD25" i="5"/>
  <c r="AB25" i="5"/>
  <c r="AA25" i="5"/>
  <c r="Z25" i="5"/>
  <c r="Y25" i="5"/>
  <c r="X25" i="5"/>
  <c r="W25" i="5"/>
  <c r="U25" i="5"/>
  <c r="T25" i="5"/>
  <c r="S25" i="5"/>
  <c r="R25" i="5"/>
  <c r="Q25" i="5"/>
  <c r="P25" i="5"/>
  <c r="N25" i="5"/>
  <c r="M25" i="5"/>
  <c r="L25" i="5"/>
  <c r="K25" i="5"/>
  <c r="J25" i="5"/>
  <c r="I25" i="5"/>
  <c r="G25" i="5"/>
  <c r="F25" i="5"/>
  <c r="E25" i="5"/>
  <c r="D25" i="5"/>
  <c r="C25" i="5"/>
  <c r="B25" i="5"/>
  <c r="HI24" i="5"/>
  <c r="HH24" i="5"/>
  <c r="HG24" i="5"/>
  <c r="HF24" i="5"/>
  <c r="HE24" i="5"/>
  <c r="HD24" i="5"/>
  <c r="HB24" i="5"/>
  <c r="HA24" i="5"/>
  <c r="GZ24" i="5"/>
  <c r="GY24" i="5"/>
  <c r="GX24" i="5"/>
  <c r="GW24" i="5"/>
  <c r="GU24" i="5"/>
  <c r="GT24" i="5"/>
  <c r="GS24" i="5"/>
  <c r="GR24" i="5"/>
  <c r="GQ24" i="5"/>
  <c r="GP24" i="5"/>
  <c r="GG24" i="5"/>
  <c r="GF24" i="5"/>
  <c r="GE24" i="5"/>
  <c r="GD24" i="5"/>
  <c r="GC24" i="5"/>
  <c r="GB24" i="5"/>
  <c r="FZ24" i="5"/>
  <c r="FY24" i="5"/>
  <c r="FX24" i="5"/>
  <c r="FW24" i="5"/>
  <c r="FV24" i="5"/>
  <c r="FU24" i="5"/>
  <c r="FS24" i="5"/>
  <c r="FR24" i="5"/>
  <c r="FQ24" i="5"/>
  <c r="FP24" i="5"/>
  <c r="FO24" i="5"/>
  <c r="FN24" i="5"/>
  <c r="FE24" i="5"/>
  <c r="FD24" i="5"/>
  <c r="FC24" i="5"/>
  <c r="FB24" i="5"/>
  <c r="FA24" i="5"/>
  <c r="EZ24" i="5"/>
  <c r="EX24" i="5"/>
  <c r="EW24" i="5"/>
  <c r="EV24" i="5"/>
  <c r="EU24" i="5"/>
  <c r="ET24" i="5"/>
  <c r="ES24" i="5"/>
  <c r="EQ24" i="5"/>
  <c r="EP24" i="5"/>
  <c r="EO24" i="5"/>
  <c r="EN24" i="5"/>
  <c r="EM24" i="5"/>
  <c r="EL24" i="5"/>
  <c r="EC24" i="5"/>
  <c r="EB24" i="5"/>
  <c r="EA24" i="5"/>
  <c r="DZ24" i="5"/>
  <c r="DY24" i="5"/>
  <c r="DX24" i="5"/>
  <c r="DV24" i="5"/>
  <c r="DU24" i="5"/>
  <c r="DT24" i="5"/>
  <c r="DS24" i="5"/>
  <c r="DR24" i="5"/>
  <c r="DQ24" i="5"/>
  <c r="DO24" i="5"/>
  <c r="DN24" i="5"/>
  <c r="DM24" i="5"/>
  <c r="DL24" i="5"/>
  <c r="DK24" i="5"/>
  <c r="DJ24" i="5"/>
  <c r="DH24" i="5"/>
  <c r="DG24" i="5"/>
  <c r="DF24" i="5"/>
  <c r="DE24" i="5"/>
  <c r="DD24" i="5"/>
  <c r="DC24" i="5"/>
  <c r="DA24" i="5"/>
  <c r="CZ24" i="5"/>
  <c r="CY24" i="5"/>
  <c r="CX24" i="5"/>
  <c r="CW24" i="5"/>
  <c r="CV24" i="5"/>
  <c r="CT24" i="5"/>
  <c r="CS24" i="5"/>
  <c r="CR24" i="5"/>
  <c r="CQ24" i="5"/>
  <c r="CP24" i="5"/>
  <c r="CO24" i="5"/>
  <c r="CM24" i="5"/>
  <c r="CL24" i="5"/>
  <c r="CK24" i="5"/>
  <c r="CJ24" i="5"/>
  <c r="CI24" i="5"/>
  <c r="CH24" i="5"/>
  <c r="CF24" i="5"/>
  <c r="CE24" i="5"/>
  <c r="CD24" i="5"/>
  <c r="CC24" i="5"/>
  <c r="CB24" i="5"/>
  <c r="CA24" i="5"/>
  <c r="BY24" i="5"/>
  <c r="BX24" i="5"/>
  <c r="BW24" i="5"/>
  <c r="BV24" i="5"/>
  <c r="BU24" i="5"/>
  <c r="BT24" i="5"/>
  <c r="BR24" i="5"/>
  <c r="BQ24" i="5"/>
  <c r="BP24" i="5"/>
  <c r="BO24" i="5"/>
  <c r="BN24" i="5"/>
  <c r="BM24" i="5"/>
  <c r="BK24" i="5"/>
  <c r="BJ24" i="5"/>
  <c r="BI24" i="5"/>
  <c r="BH24" i="5"/>
  <c r="BG24" i="5"/>
  <c r="BF24" i="5"/>
  <c r="BD24" i="5"/>
  <c r="BC24" i="5"/>
  <c r="BB24" i="5"/>
  <c r="BA24" i="5"/>
  <c r="AZ24" i="5"/>
  <c r="AY24" i="5"/>
  <c r="AW24" i="5"/>
  <c r="AV24" i="5"/>
  <c r="AU24" i="5"/>
  <c r="AT24" i="5"/>
  <c r="AS24" i="5"/>
  <c r="AR24" i="5"/>
  <c r="AP24" i="5"/>
  <c r="AO24" i="5"/>
  <c r="AN24" i="5"/>
  <c r="AM24" i="5"/>
  <c r="AL24" i="5"/>
  <c r="AK24" i="5"/>
  <c r="AI24" i="5"/>
  <c r="AH24" i="5"/>
  <c r="AG24" i="5"/>
  <c r="AF24" i="5"/>
  <c r="AE24" i="5"/>
  <c r="AD24" i="5"/>
  <c r="AB24" i="5"/>
  <c r="AA24" i="5"/>
  <c r="Z24" i="5"/>
  <c r="Y24" i="5"/>
  <c r="X24" i="5"/>
  <c r="W24" i="5"/>
  <c r="U24" i="5"/>
  <c r="T24" i="5"/>
  <c r="S24" i="5"/>
  <c r="R24" i="5"/>
  <c r="Q24" i="5"/>
  <c r="P24" i="5"/>
  <c r="N24" i="5"/>
  <c r="M24" i="5"/>
  <c r="L24" i="5"/>
  <c r="K24" i="5"/>
  <c r="J24" i="5"/>
  <c r="I24" i="5"/>
  <c r="G24" i="5"/>
  <c r="F24" i="5"/>
  <c r="E24" i="5"/>
  <c r="D24" i="5"/>
  <c r="C24" i="5"/>
  <c r="B24" i="5"/>
  <c r="HI23" i="5"/>
  <c r="HI58" i="5" s="1"/>
  <c r="HI87" i="5" s="1"/>
  <c r="HH23" i="5"/>
  <c r="HH58" i="5" s="1"/>
  <c r="HH87" i="5" s="1"/>
  <c r="HG23" i="5"/>
  <c r="HF23" i="5"/>
  <c r="HF58" i="5" s="1"/>
  <c r="HF87" i="5" s="1"/>
  <c r="HE23" i="5"/>
  <c r="HE58" i="5" s="1"/>
  <c r="HE87" i="5" s="1"/>
  <c r="HD23" i="5"/>
  <c r="HB23" i="5"/>
  <c r="HB58" i="5" s="1"/>
  <c r="HB87" i="5" s="1"/>
  <c r="HA23" i="5"/>
  <c r="HA58" i="5" s="1"/>
  <c r="HA87" i="5" s="1"/>
  <c r="GZ23" i="5"/>
  <c r="GZ58" i="5" s="1"/>
  <c r="GZ87" i="5" s="1"/>
  <c r="GY23" i="5"/>
  <c r="GX23" i="5"/>
  <c r="GX58" i="5" s="1"/>
  <c r="GX87" i="5" s="1"/>
  <c r="GW23" i="5"/>
  <c r="GW58" i="5" s="1"/>
  <c r="GW87" i="5" s="1"/>
  <c r="GU23" i="5"/>
  <c r="GU58" i="5" s="1"/>
  <c r="GU87" i="5" s="1"/>
  <c r="GT23" i="5"/>
  <c r="GT58" i="5" s="1"/>
  <c r="GT87" i="5" s="1"/>
  <c r="GS23" i="5"/>
  <c r="GS58" i="5" s="1"/>
  <c r="GS87" i="5" s="1"/>
  <c r="GR23" i="5"/>
  <c r="GR58" i="5" s="1"/>
  <c r="GR87" i="5" s="1"/>
  <c r="GQ23" i="5"/>
  <c r="GP23" i="5"/>
  <c r="GP58" i="5" s="1"/>
  <c r="GP87" i="5" s="1"/>
  <c r="GG23" i="5"/>
  <c r="GG58" i="5" s="1"/>
  <c r="GG87" i="5" s="1"/>
  <c r="GF23" i="5"/>
  <c r="GE23" i="5"/>
  <c r="GE58" i="5" s="1"/>
  <c r="GE87" i="5" s="1"/>
  <c r="GD23" i="5"/>
  <c r="GD58" i="5" s="1"/>
  <c r="GD87" i="5" s="1"/>
  <c r="GC23" i="5"/>
  <c r="GC58" i="5" s="1"/>
  <c r="GC87" i="5" s="1"/>
  <c r="GB23" i="5"/>
  <c r="FZ23" i="5"/>
  <c r="FZ58" i="5" s="1"/>
  <c r="FZ87" i="5" s="1"/>
  <c r="FY23" i="5"/>
  <c r="FY58" i="5" s="1"/>
  <c r="FY87" i="5" s="1"/>
  <c r="FX23" i="5"/>
  <c r="FW23" i="5"/>
  <c r="FW58" i="5" s="1"/>
  <c r="FW87" i="5" s="1"/>
  <c r="FV23" i="5"/>
  <c r="FV58" i="5" s="1"/>
  <c r="FV87" i="5" s="1"/>
  <c r="FU23" i="5"/>
  <c r="FS23" i="5"/>
  <c r="FS58" i="5" s="1"/>
  <c r="FR23" i="5"/>
  <c r="FR58" i="5" s="1"/>
  <c r="FR87" i="5" s="1"/>
  <c r="FQ23" i="5"/>
  <c r="FQ58" i="5" s="1"/>
  <c r="FQ87" i="5" s="1"/>
  <c r="FP23" i="5"/>
  <c r="FP58" i="5" s="1"/>
  <c r="FP87" i="5" s="1"/>
  <c r="FO23" i="5"/>
  <c r="FO58" i="5" s="1"/>
  <c r="FO87" i="5" s="1"/>
  <c r="FN23" i="5"/>
  <c r="FN58" i="5" s="1"/>
  <c r="FN87" i="5" s="1"/>
  <c r="FE23" i="5"/>
  <c r="FE58" i="5" s="1"/>
  <c r="FE87" i="5" s="1"/>
  <c r="FD23" i="5"/>
  <c r="FD58" i="5" s="1"/>
  <c r="FD87" i="5" s="1"/>
  <c r="FC23" i="5"/>
  <c r="FC58" i="5" s="1"/>
  <c r="FC87" i="5" s="1"/>
  <c r="FB23" i="5"/>
  <c r="FB58" i="5" s="1"/>
  <c r="FB87" i="5" s="1"/>
  <c r="FA23" i="5"/>
  <c r="EZ23" i="5"/>
  <c r="EZ58" i="5" s="1"/>
  <c r="EZ87" i="5" s="1"/>
  <c r="EX23" i="5"/>
  <c r="EX58" i="5" s="1"/>
  <c r="EX87" i="5" s="1"/>
  <c r="EW23" i="5"/>
  <c r="EW58" i="5" s="1"/>
  <c r="EW87" i="5" s="1"/>
  <c r="EV23" i="5"/>
  <c r="EV58" i="5" s="1"/>
  <c r="EV87" i="5" s="1"/>
  <c r="EU23" i="5"/>
  <c r="EU58" i="5" s="1"/>
  <c r="EU87" i="5" s="1"/>
  <c r="ET23" i="5"/>
  <c r="ET58" i="5" s="1"/>
  <c r="ET87" i="5" s="1"/>
  <c r="ES23" i="5"/>
  <c r="EQ23" i="5"/>
  <c r="EQ58" i="5" s="1"/>
  <c r="EQ87" i="5" s="1"/>
  <c r="EP23" i="5"/>
  <c r="EP58" i="5" s="1"/>
  <c r="EP87" i="5" s="1"/>
  <c r="EO23" i="5"/>
  <c r="EO58" i="5" s="1"/>
  <c r="EO87" i="5" s="1"/>
  <c r="EN23" i="5"/>
  <c r="EN58" i="5" s="1"/>
  <c r="EN87" i="5" s="1"/>
  <c r="EM23" i="5"/>
  <c r="EM58" i="5" s="1"/>
  <c r="EM87" i="5" s="1"/>
  <c r="EL23" i="5"/>
  <c r="EC23" i="5"/>
  <c r="EC58" i="5" s="1"/>
  <c r="EC87" i="5" s="1"/>
  <c r="EB23" i="5"/>
  <c r="EB58" i="5" s="1"/>
  <c r="EB87" i="5" s="1"/>
  <c r="EA23" i="5"/>
  <c r="EA58" i="5" s="1"/>
  <c r="EA87" i="5" s="1"/>
  <c r="DZ23" i="5"/>
  <c r="DY23" i="5"/>
  <c r="DY58" i="5" s="1"/>
  <c r="DY87" i="5" s="1"/>
  <c r="DX23" i="5"/>
  <c r="DX58" i="5" s="1"/>
  <c r="DX87" i="5" s="1"/>
  <c r="DV23" i="5"/>
  <c r="DU23" i="5"/>
  <c r="DU58" i="5" s="1"/>
  <c r="DU87" i="5" s="1"/>
  <c r="DT23" i="5"/>
  <c r="DT58" i="5" s="1"/>
  <c r="DT87" i="5" s="1"/>
  <c r="DS23" i="5"/>
  <c r="DS58" i="5" s="1"/>
  <c r="DS87" i="5" s="1"/>
  <c r="DR23" i="5"/>
  <c r="DQ23" i="5"/>
  <c r="DQ58" i="5" s="1"/>
  <c r="DQ87" i="5" s="1"/>
  <c r="DO23" i="5"/>
  <c r="DO58" i="5" s="1"/>
  <c r="DO87" i="5" s="1"/>
  <c r="DN23" i="5"/>
  <c r="DN58" i="5" s="1"/>
  <c r="DN87" i="5" s="1"/>
  <c r="DM23" i="5"/>
  <c r="DM58" i="5" s="1"/>
  <c r="DM87" i="5" s="1"/>
  <c r="DL23" i="5"/>
  <c r="DL58" i="5" s="1"/>
  <c r="DL87" i="5" s="1"/>
  <c r="DK23" i="5"/>
  <c r="DK58" i="5" s="1"/>
  <c r="DK87" i="5" s="1"/>
  <c r="DJ23" i="5"/>
  <c r="DH23" i="5"/>
  <c r="DH58" i="5" s="1"/>
  <c r="DH87" i="5" s="1"/>
  <c r="DG23" i="5"/>
  <c r="DF23" i="5"/>
  <c r="DF58" i="5" s="1"/>
  <c r="DF87" i="5" s="1"/>
  <c r="DE23" i="5"/>
  <c r="DE58" i="5" s="1"/>
  <c r="DE87" i="5" s="1"/>
  <c r="DD23" i="5"/>
  <c r="DD58" i="5" s="1"/>
  <c r="DD87" i="5" s="1"/>
  <c r="DC23" i="5"/>
  <c r="DA23" i="5"/>
  <c r="DA58" i="5" s="1"/>
  <c r="DA87" i="5" s="1"/>
  <c r="CZ23" i="5"/>
  <c r="CZ58" i="5" s="1"/>
  <c r="CZ87" i="5" s="1"/>
  <c r="CY23" i="5"/>
  <c r="CY58" i="5" s="1"/>
  <c r="CY87" i="5" s="1"/>
  <c r="CX23" i="5"/>
  <c r="CX58" i="5" s="1"/>
  <c r="CX87" i="5" s="1"/>
  <c r="CW23" i="5"/>
  <c r="CW58" i="5" s="1"/>
  <c r="CW87" i="5" s="1"/>
  <c r="CV23" i="5"/>
  <c r="CT23" i="5"/>
  <c r="CS23" i="5"/>
  <c r="CS58" i="5" s="1"/>
  <c r="CS87" i="5" s="1"/>
  <c r="CR23" i="5"/>
  <c r="CR58" i="5" s="1"/>
  <c r="CR87" i="5" s="1"/>
  <c r="CQ23" i="5"/>
  <c r="CQ58" i="5" s="1"/>
  <c r="CQ87" i="5" s="1"/>
  <c r="CP23" i="5"/>
  <c r="CO23" i="5"/>
  <c r="CO58" i="5" s="1"/>
  <c r="CO87" i="5" s="1"/>
  <c r="CM23" i="5"/>
  <c r="CM58" i="5" s="1"/>
  <c r="CM87" i="5" s="1"/>
  <c r="CL23" i="5"/>
  <c r="CL58" i="5" s="1"/>
  <c r="CL87" i="5" s="1"/>
  <c r="CK23" i="5"/>
  <c r="CK58" i="5" s="1"/>
  <c r="CK87" i="5" s="1"/>
  <c r="CJ23" i="5"/>
  <c r="CI23" i="5"/>
  <c r="CI58" i="5" s="1"/>
  <c r="CI87" i="5" s="1"/>
  <c r="CH23" i="5"/>
  <c r="CF23" i="5"/>
  <c r="CF58" i="5" s="1"/>
  <c r="CF87" i="5" s="1"/>
  <c r="CE23" i="5"/>
  <c r="CE58" i="5" s="1"/>
  <c r="CE87" i="5" s="1"/>
  <c r="CD23" i="5"/>
  <c r="CC23" i="5"/>
  <c r="CC58" i="5" s="1"/>
  <c r="CC87" i="5" s="1"/>
  <c r="CB23" i="5"/>
  <c r="CB58" i="5" s="1"/>
  <c r="CB87" i="5" s="1"/>
  <c r="CA23" i="5"/>
  <c r="BY23" i="5"/>
  <c r="BY58" i="5" s="1"/>
  <c r="BY87" i="5" s="1"/>
  <c r="BX23" i="5"/>
  <c r="BX58" i="5" s="1"/>
  <c r="BX87" i="5" s="1"/>
  <c r="BW23" i="5"/>
  <c r="BW58" i="5" s="1"/>
  <c r="BW87" i="5" s="1"/>
  <c r="BV23" i="5"/>
  <c r="BU23" i="5"/>
  <c r="BU58" i="5" s="1"/>
  <c r="BU87" i="5" s="1"/>
  <c r="BT23" i="5"/>
  <c r="BT58" i="5" s="1"/>
  <c r="BT87" i="5" s="1"/>
  <c r="BR23" i="5"/>
  <c r="BR58" i="5" s="1"/>
  <c r="BR87" i="5" s="1"/>
  <c r="BQ23" i="5"/>
  <c r="BQ58" i="5" s="1"/>
  <c r="BQ87" i="5" s="1"/>
  <c r="BP23" i="5"/>
  <c r="BP58" i="5" s="1"/>
  <c r="BP87" i="5" s="1"/>
  <c r="BO23" i="5"/>
  <c r="BO58" i="5" s="1"/>
  <c r="BO87" i="5" s="1"/>
  <c r="BN23" i="5"/>
  <c r="BM23" i="5"/>
  <c r="BM58" i="5" s="1"/>
  <c r="BM87" i="5" s="1"/>
  <c r="BK23" i="5"/>
  <c r="BK58" i="5" s="1"/>
  <c r="BK87" i="5" s="1"/>
  <c r="BJ23" i="5"/>
  <c r="BJ58" i="5" s="1"/>
  <c r="BJ87" i="5" s="1"/>
  <c r="BI23" i="5"/>
  <c r="BI58" i="5" s="1"/>
  <c r="BI87" i="5" s="1"/>
  <c r="BH23" i="5"/>
  <c r="BG23" i="5"/>
  <c r="BG58" i="5" s="1"/>
  <c r="BG87" i="5" s="1"/>
  <c r="BF23" i="5"/>
  <c r="BD23" i="5"/>
  <c r="BD58" i="5" s="1"/>
  <c r="BD87" i="5" s="1"/>
  <c r="BC23" i="5"/>
  <c r="BC58" i="5" s="1"/>
  <c r="BC87" i="5" s="1"/>
  <c r="BB23" i="5"/>
  <c r="BB58" i="5" s="1"/>
  <c r="BB87" i="5" s="1"/>
  <c r="BA23" i="5"/>
  <c r="BA58" i="5" s="1"/>
  <c r="BA87" i="5" s="1"/>
  <c r="AZ23" i="5"/>
  <c r="AZ58" i="5" s="1"/>
  <c r="AZ87" i="5" s="1"/>
  <c r="AY23" i="5"/>
  <c r="AW23" i="5"/>
  <c r="AW58" i="5" s="1"/>
  <c r="AW87" i="5" s="1"/>
  <c r="AV23" i="5"/>
  <c r="AV58" i="5" s="1"/>
  <c r="AV87" i="5" s="1"/>
  <c r="AU23" i="5"/>
  <c r="AU58" i="5" s="1"/>
  <c r="AU87" i="5" s="1"/>
  <c r="AT23" i="5"/>
  <c r="AT58" i="5" s="1"/>
  <c r="AT87" i="5" s="1"/>
  <c r="AS23" i="5"/>
  <c r="AS58" i="5" s="1"/>
  <c r="AS87" i="5" s="1"/>
  <c r="AR23" i="5"/>
  <c r="AR58" i="5" s="1"/>
  <c r="AR87" i="5" s="1"/>
  <c r="AP23" i="5"/>
  <c r="AP58" i="5" s="1"/>
  <c r="AP87" i="5" s="1"/>
  <c r="AO23" i="5"/>
  <c r="AO58" i="5" s="1"/>
  <c r="AO87" i="5" s="1"/>
  <c r="AN23" i="5"/>
  <c r="AN58" i="5" s="1"/>
  <c r="AN87" i="5" s="1"/>
  <c r="AM23" i="5"/>
  <c r="AM58" i="5" s="1"/>
  <c r="AM87" i="5" s="1"/>
  <c r="AL23" i="5"/>
  <c r="AK23" i="5"/>
  <c r="AK58" i="5" s="1"/>
  <c r="AK87" i="5" s="1"/>
  <c r="AI23" i="5"/>
  <c r="AI58" i="5" s="1"/>
  <c r="AI87" i="5" s="1"/>
  <c r="AH23" i="5"/>
  <c r="AH58" i="5" s="1"/>
  <c r="AH87" i="5" s="1"/>
  <c r="AG23" i="5"/>
  <c r="AG58" i="5" s="1"/>
  <c r="AG87" i="5" s="1"/>
  <c r="AF23" i="5"/>
  <c r="AF58" i="5" s="1"/>
  <c r="AF87" i="5" s="1"/>
  <c r="AE23" i="5"/>
  <c r="AE58" i="5" s="1"/>
  <c r="AE87" i="5" s="1"/>
  <c r="AD23" i="5"/>
  <c r="AB23" i="5"/>
  <c r="AB58" i="5" s="1"/>
  <c r="AB87" i="5" s="1"/>
  <c r="AA23" i="5"/>
  <c r="AA58" i="5" s="1"/>
  <c r="AA87" i="5" s="1"/>
  <c r="Z23" i="5"/>
  <c r="Y23" i="5"/>
  <c r="X23" i="5"/>
  <c r="X58" i="5" s="1"/>
  <c r="X87" i="5" s="1"/>
  <c r="W23" i="5"/>
  <c r="U23" i="5"/>
  <c r="U58" i="5" s="1"/>
  <c r="U87" i="5" s="1"/>
  <c r="T23" i="5"/>
  <c r="T58" i="5" s="1"/>
  <c r="T87" i="5" s="1"/>
  <c r="S23" i="5"/>
  <c r="S58" i="5" s="1"/>
  <c r="S87" i="5" s="1"/>
  <c r="R23" i="5"/>
  <c r="Q23" i="5"/>
  <c r="Q58" i="5" s="1"/>
  <c r="Q87" i="5" s="1"/>
  <c r="P23" i="5"/>
  <c r="P58" i="5" s="1"/>
  <c r="P87" i="5" s="1"/>
  <c r="N23" i="5"/>
  <c r="N58" i="5" s="1"/>
  <c r="N87" i="5" s="1"/>
  <c r="M23" i="5"/>
  <c r="M58" i="5" s="1"/>
  <c r="M87" i="5" s="1"/>
  <c r="L23" i="5"/>
  <c r="L58" i="5" s="1"/>
  <c r="L87" i="5" s="1"/>
  <c r="K23" i="5"/>
  <c r="K58" i="5" s="1"/>
  <c r="K87" i="5" s="1"/>
  <c r="J23" i="5"/>
  <c r="I23" i="5"/>
  <c r="I58" i="5" s="1"/>
  <c r="I87" i="5" s="1"/>
  <c r="G23" i="5"/>
  <c r="G58" i="5" s="1"/>
  <c r="G87" i="5" s="1"/>
  <c r="F23" i="5"/>
  <c r="F58" i="5" s="1"/>
  <c r="F87" i="5" s="1"/>
  <c r="E23" i="5"/>
  <c r="E58" i="5" s="1"/>
  <c r="E87" i="5" s="1"/>
  <c r="D23" i="5"/>
  <c r="D58" i="5" s="1"/>
  <c r="D87" i="5" s="1"/>
  <c r="C23" i="5"/>
  <c r="C58" i="5" s="1"/>
  <c r="C87" i="5" s="1"/>
  <c r="B23" i="5"/>
  <c r="HI22" i="5"/>
  <c r="HH22" i="5"/>
  <c r="HG22" i="5"/>
  <c r="HF22" i="5"/>
  <c r="HE22" i="5"/>
  <c r="HD22" i="5"/>
  <c r="HB22" i="5"/>
  <c r="HA22" i="5"/>
  <c r="GZ22" i="5"/>
  <c r="GY22" i="5"/>
  <c r="GX22" i="5"/>
  <c r="GW22" i="5"/>
  <c r="GU22" i="5"/>
  <c r="GT22" i="5"/>
  <c r="GS22" i="5"/>
  <c r="GR22" i="5"/>
  <c r="GQ22" i="5"/>
  <c r="GP22" i="5"/>
  <c r="GG22" i="5"/>
  <c r="GF22" i="5"/>
  <c r="GE22" i="5"/>
  <c r="GD22" i="5"/>
  <c r="GC22" i="5"/>
  <c r="GB22" i="5"/>
  <c r="FZ22" i="5"/>
  <c r="FY22" i="5"/>
  <c r="FX22" i="5"/>
  <c r="FW22" i="5"/>
  <c r="FV22" i="5"/>
  <c r="FU22" i="5"/>
  <c r="FS22" i="5"/>
  <c r="FR22" i="5"/>
  <c r="FQ22" i="5"/>
  <c r="FP22" i="5"/>
  <c r="FO22" i="5"/>
  <c r="FN22" i="5"/>
  <c r="FE22" i="5"/>
  <c r="FD22" i="5"/>
  <c r="FC22" i="5"/>
  <c r="FB22" i="5"/>
  <c r="FA22" i="5"/>
  <c r="EZ22" i="5"/>
  <c r="EX22" i="5"/>
  <c r="EW22" i="5"/>
  <c r="EV22" i="5"/>
  <c r="EU22" i="5"/>
  <c r="ET22" i="5"/>
  <c r="ES22" i="5"/>
  <c r="EQ22" i="5"/>
  <c r="EP22" i="5"/>
  <c r="EO22" i="5"/>
  <c r="EN22" i="5"/>
  <c r="EM22" i="5"/>
  <c r="EL22" i="5"/>
  <c r="EC22" i="5"/>
  <c r="EB22" i="5"/>
  <c r="EA22" i="5"/>
  <c r="DZ22" i="5"/>
  <c r="DY22" i="5"/>
  <c r="DX22" i="5"/>
  <c r="DV22" i="5"/>
  <c r="DU22" i="5"/>
  <c r="DT22" i="5"/>
  <c r="DS22" i="5"/>
  <c r="DR22" i="5"/>
  <c r="DQ22" i="5"/>
  <c r="DO22" i="5"/>
  <c r="DN22" i="5"/>
  <c r="DM22" i="5"/>
  <c r="DL22" i="5"/>
  <c r="DK22" i="5"/>
  <c r="DJ22" i="5"/>
  <c r="DH22" i="5"/>
  <c r="DG22" i="5"/>
  <c r="DF22" i="5"/>
  <c r="DE22" i="5"/>
  <c r="DD22" i="5"/>
  <c r="DC22" i="5"/>
  <c r="DA22" i="5"/>
  <c r="CZ22" i="5"/>
  <c r="CY22" i="5"/>
  <c r="CX22" i="5"/>
  <c r="CW22" i="5"/>
  <c r="CV22" i="5"/>
  <c r="CT22" i="5"/>
  <c r="CS22" i="5"/>
  <c r="CR22" i="5"/>
  <c r="CQ22" i="5"/>
  <c r="CP22" i="5"/>
  <c r="CO22" i="5"/>
  <c r="CM22" i="5"/>
  <c r="CL22" i="5"/>
  <c r="CK22" i="5"/>
  <c r="CJ22" i="5"/>
  <c r="CI22" i="5"/>
  <c r="CH22" i="5"/>
  <c r="CF22" i="5"/>
  <c r="CE22" i="5"/>
  <c r="CD22" i="5"/>
  <c r="CC22" i="5"/>
  <c r="CB22" i="5"/>
  <c r="CA22" i="5"/>
  <c r="BY22" i="5"/>
  <c r="BX22" i="5"/>
  <c r="BW22" i="5"/>
  <c r="BV22" i="5"/>
  <c r="BU22" i="5"/>
  <c r="BT22" i="5"/>
  <c r="BR22" i="5"/>
  <c r="BQ22" i="5"/>
  <c r="BP22" i="5"/>
  <c r="BO22" i="5"/>
  <c r="BN22" i="5"/>
  <c r="BM22" i="5"/>
  <c r="BK22" i="5"/>
  <c r="BJ22" i="5"/>
  <c r="BI22" i="5"/>
  <c r="BH22" i="5"/>
  <c r="BG22" i="5"/>
  <c r="BF22" i="5"/>
  <c r="BD22" i="5"/>
  <c r="BC22" i="5"/>
  <c r="BB22" i="5"/>
  <c r="BA22" i="5"/>
  <c r="AZ22" i="5"/>
  <c r="AY22" i="5"/>
  <c r="AW22" i="5"/>
  <c r="AV22" i="5"/>
  <c r="AU22" i="5"/>
  <c r="AT22" i="5"/>
  <c r="AS22" i="5"/>
  <c r="AR22" i="5"/>
  <c r="AP22" i="5"/>
  <c r="AO22" i="5"/>
  <c r="AN22" i="5"/>
  <c r="AM22" i="5"/>
  <c r="AL22" i="5"/>
  <c r="AK22" i="5"/>
  <c r="AI22" i="5"/>
  <c r="AH22" i="5"/>
  <c r="AG22" i="5"/>
  <c r="AF22" i="5"/>
  <c r="AE22" i="5"/>
  <c r="AD22" i="5"/>
  <c r="AB22" i="5"/>
  <c r="AA22" i="5"/>
  <c r="Z22" i="5"/>
  <c r="Y22" i="5"/>
  <c r="X22" i="5"/>
  <c r="W22" i="5"/>
  <c r="U22" i="5"/>
  <c r="T22" i="5"/>
  <c r="S22" i="5"/>
  <c r="R22" i="5"/>
  <c r="Q22" i="5"/>
  <c r="P22" i="5"/>
  <c r="N22" i="5"/>
  <c r="M22" i="5"/>
  <c r="L22" i="5"/>
  <c r="K22" i="5"/>
  <c r="J22" i="5"/>
  <c r="I22" i="5"/>
  <c r="G22" i="5"/>
  <c r="F22" i="5"/>
  <c r="E22" i="5"/>
  <c r="D22" i="5"/>
  <c r="C22" i="5"/>
  <c r="B22" i="5"/>
  <c r="HI21" i="5"/>
  <c r="HH21" i="5"/>
  <c r="HG21" i="5"/>
  <c r="HF21" i="5"/>
  <c r="HE21" i="5"/>
  <c r="HD21" i="5"/>
  <c r="HB21" i="5"/>
  <c r="HA21" i="5"/>
  <c r="GZ21" i="5"/>
  <c r="GY21" i="5"/>
  <c r="GX21" i="5"/>
  <c r="GW21" i="5"/>
  <c r="GU21" i="5"/>
  <c r="GT21" i="5"/>
  <c r="GS21" i="5"/>
  <c r="GR21" i="5"/>
  <c r="GQ21" i="5"/>
  <c r="GP21" i="5"/>
  <c r="GG21" i="5"/>
  <c r="GF21" i="5"/>
  <c r="GE21" i="5"/>
  <c r="GD21" i="5"/>
  <c r="GC21" i="5"/>
  <c r="GB21" i="5"/>
  <c r="FZ21" i="5"/>
  <c r="FY21" i="5"/>
  <c r="FX21" i="5"/>
  <c r="FW21" i="5"/>
  <c r="FV21" i="5"/>
  <c r="FU21" i="5"/>
  <c r="FS21" i="5"/>
  <c r="FR21" i="5"/>
  <c r="FQ21" i="5"/>
  <c r="FP21" i="5"/>
  <c r="FO21" i="5"/>
  <c r="FN21" i="5"/>
  <c r="FE21" i="5"/>
  <c r="FD21" i="5"/>
  <c r="FC21" i="5"/>
  <c r="FB21" i="5"/>
  <c r="FA21" i="5"/>
  <c r="EZ21" i="5"/>
  <c r="EX21" i="5"/>
  <c r="EW21" i="5"/>
  <c r="EV21" i="5"/>
  <c r="EU21" i="5"/>
  <c r="ET21" i="5"/>
  <c r="ES21" i="5"/>
  <c r="EQ21" i="5"/>
  <c r="EP21" i="5"/>
  <c r="EO21" i="5"/>
  <c r="EN21" i="5"/>
  <c r="EM21" i="5"/>
  <c r="EL21" i="5"/>
  <c r="EC21" i="5"/>
  <c r="EB21" i="5"/>
  <c r="EA21" i="5"/>
  <c r="DZ21" i="5"/>
  <c r="DY21" i="5"/>
  <c r="DX21" i="5"/>
  <c r="DV21" i="5"/>
  <c r="DU21" i="5"/>
  <c r="DT21" i="5"/>
  <c r="DS21" i="5"/>
  <c r="DR21" i="5"/>
  <c r="DQ21" i="5"/>
  <c r="DO21" i="5"/>
  <c r="DN21" i="5"/>
  <c r="DM21" i="5"/>
  <c r="DL21" i="5"/>
  <c r="DK21" i="5"/>
  <c r="DJ21" i="5"/>
  <c r="DH21" i="5"/>
  <c r="DG21" i="5"/>
  <c r="DF21" i="5"/>
  <c r="DE21" i="5"/>
  <c r="DD21" i="5"/>
  <c r="DC21" i="5"/>
  <c r="DA21" i="5"/>
  <c r="CZ21" i="5"/>
  <c r="CY21" i="5"/>
  <c r="CX21" i="5"/>
  <c r="CW21" i="5"/>
  <c r="CV21" i="5"/>
  <c r="CT21" i="5"/>
  <c r="CS21" i="5"/>
  <c r="CR21" i="5"/>
  <c r="CQ21" i="5"/>
  <c r="CP21" i="5"/>
  <c r="CO21" i="5"/>
  <c r="CM21" i="5"/>
  <c r="CL21" i="5"/>
  <c r="CK21" i="5"/>
  <c r="CJ21" i="5"/>
  <c r="CI21" i="5"/>
  <c r="CH21" i="5"/>
  <c r="CF21" i="5"/>
  <c r="CE21" i="5"/>
  <c r="CD21" i="5"/>
  <c r="CC21" i="5"/>
  <c r="CB21" i="5"/>
  <c r="CA21" i="5"/>
  <c r="BY21" i="5"/>
  <c r="BX21" i="5"/>
  <c r="BW21" i="5"/>
  <c r="BV21" i="5"/>
  <c r="BU21" i="5"/>
  <c r="BT21" i="5"/>
  <c r="BR21" i="5"/>
  <c r="BQ21" i="5"/>
  <c r="BP21" i="5"/>
  <c r="BO21" i="5"/>
  <c r="BN21" i="5"/>
  <c r="BM21" i="5"/>
  <c r="BK21" i="5"/>
  <c r="BJ21" i="5"/>
  <c r="BI21" i="5"/>
  <c r="BH21" i="5"/>
  <c r="BG21" i="5"/>
  <c r="BF21" i="5"/>
  <c r="BD21" i="5"/>
  <c r="BC21" i="5"/>
  <c r="BB21" i="5"/>
  <c r="BA21" i="5"/>
  <c r="AZ21" i="5"/>
  <c r="AY21" i="5"/>
  <c r="AW21" i="5"/>
  <c r="AV21" i="5"/>
  <c r="AU21" i="5"/>
  <c r="AT21" i="5"/>
  <c r="AS21" i="5"/>
  <c r="AR21" i="5"/>
  <c r="AP21" i="5"/>
  <c r="AO21" i="5"/>
  <c r="AN21" i="5"/>
  <c r="AM21" i="5"/>
  <c r="AL21" i="5"/>
  <c r="AK21" i="5"/>
  <c r="AI21" i="5"/>
  <c r="AH21" i="5"/>
  <c r="AG21" i="5"/>
  <c r="AF21" i="5"/>
  <c r="AE21" i="5"/>
  <c r="AD21" i="5"/>
  <c r="AB21" i="5"/>
  <c r="AA21" i="5"/>
  <c r="Z21" i="5"/>
  <c r="Y21" i="5"/>
  <c r="X21" i="5"/>
  <c r="W21" i="5"/>
  <c r="U21" i="5"/>
  <c r="T21" i="5"/>
  <c r="S21" i="5"/>
  <c r="R21" i="5"/>
  <c r="Q21" i="5"/>
  <c r="P21" i="5"/>
  <c r="N21" i="5"/>
  <c r="M21" i="5"/>
  <c r="L21" i="5"/>
  <c r="K21" i="5"/>
  <c r="J21" i="5"/>
  <c r="I21" i="5"/>
  <c r="G21" i="5"/>
  <c r="F21" i="5"/>
  <c r="E21" i="5"/>
  <c r="D21" i="5"/>
  <c r="C21" i="5"/>
  <c r="B21" i="5"/>
  <c r="HI20" i="5"/>
  <c r="HH20" i="5"/>
  <c r="HG20" i="5"/>
  <c r="HF20" i="5"/>
  <c r="HE20" i="5"/>
  <c r="HD20" i="5"/>
  <c r="HB20" i="5"/>
  <c r="HA20" i="5"/>
  <c r="GZ20" i="5"/>
  <c r="GY20" i="5"/>
  <c r="GX20" i="5"/>
  <c r="GW20" i="5"/>
  <c r="GU20" i="5"/>
  <c r="GT20" i="5"/>
  <c r="GS20" i="5"/>
  <c r="GR20" i="5"/>
  <c r="GQ20" i="5"/>
  <c r="GP20" i="5"/>
  <c r="GG20" i="5"/>
  <c r="GF20" i="5"/>
  <c r="GE20" i="5"/>
  <c r="GD20" i="5"/>
  <c r="GC20" i="5"/>
  <c r="GB20" i="5"/>
  <c r="FZ20" i="5"/>
  <c r="FY20" i="5"/>
  <c r="FX20" i="5"/>
  <c r="FW20" i="5"/>
  <c r="FV20" i="5"/>
  <c r="FU20" i="5"/>
  <c r="FS20" i="5"/>
  <c r="FR20" i="5"/>
  <c r="FQ20" i="5"/>
  <c r="FP20" i="5"/>
  <c r="FO20" i="5"/>
  <c r="FN20" i="5"/>
  <c r="FE20" i="5"/>
  <c r="FD20" i="5"/>
  <c r="FC20" i="5"/>
  <c r="FB20" i="5"/>
  <c r="FA20" i="5"/>
  <c r="EZ20" i="5"/>
  <c r="EX20" i="5"/>
  <c r="EW20" i="5"/>
  <c r="EV20" i="5"/>
  <c r="EU20" i="5"/>
  <c r="ET20" i="5"/>
  <c r="ES20" i="5"/>
  <c r="EQ20" i="5"/>
  <c r="EP20" i="5"/>
  <c r="EO20" i="5"/>
  <c r="EN20" i="5"/>
  <c r="EM20" i="5"/>
  <c r="EL20" i="5"/>
  <c r="EC20" i="5"/>
  <c r="EB20" i="5"/>
  <c r="EA20" i="5"/>
  <c r="DZ20" i="5"/>
  <c r="DY20" i="5"/>
  <c r="DX20" i="5"/>
  <c r="DV20" i="5"/>
  <c r="DU20" i="5"/>
  <c r="DT20" i="5"/>
  <c r="DS20" i="5"/>
  <c r="DR20" i="5"/>
  <c r="DQ20" i="5"/>
  <c r="DO20" i="5"/>
  <c r="DN20" i="5"/>
  <c r="DM20" i="5"/>
  <c r="DL20" i="5"/>
  <c r="DK20" i="5"/>
  <c r="DJ20" i="5"/>
  <c r="DH20" i="5"/>
  <c r="DG20" i="5"/>
  <c r="DF20" i="5"/>
  <c r="DE20" i="5"/>
  <c r="DD20" i="5"/>
  <c r="DC20" i="5"/>
  <c r="DA20" i="5"/>
  <c r="CZ20" i="5"/>
  <c r="CY20" i="5"/>
  <c r="CX20" i="5"/>
  <c r="CW20" i="5"/>
  <c r="CV20" i="5"/>
  <c r="CT20" i="5"/>
  <c r="CS20" i="5"/>
  <c r="CR20" i="5"/>
  <c r="CQ20" i="5"/>
  <c r="CP20" i="5"/>
  <c r="CO20" i="5"/>
  <c r="CM20" i="5"/>
  <c r="CL20" i="5"/>
  <c r="CK20" i="5"/>
  <c r="CJ20" i="5"/>
  <c r="CI20" i="5"/>
  <c r="CH20" i="5"/>
  <c r="CF20" i="5"/>
  <c r="CE20" i="5"/>
  <c r="CD20" i="5"/>
  <c r="CC20" i="5"/>
  <c r="CB20" i="5"/>
  <c r="CA20" i="5"/>
  <c r="BY20" i="5"/>
  <c r="BX20" i="5"/>
  <c r="BW20" i="5"/>
  <c r="BV20" i="5"/>
  <c r="BU20" i="5"/>
  <c r="BT20" i="5"/>
  <c r="BR20" i="5"/>
  <c r="BQ20" i="5"/>
  <c r="BP20" i="5"/>
  <c r="BO20" i="5"/>
  <c r="BN20" i="5"/>
  <c r="BM20" i="5"/>
  <c r="BK20" i="5"/>
  <c r="BJ20" i="5"/>
  <c r="BI20" i="5"/>
  <c r="BH20" i="5"/>
  <c r="BG20" i="5"/>
  <c r="BF20" i="5"/>
  <c r="BD20" i="5"/>
  <c r="BC20" i="5"/>
  <c r="BB20" i="5"/>
  <c r="BA20" i="5"/>
  <c r="AZ20" i="5"/>
  <c r="AY20" i="5"/>
  <c r="AW20" i="5"/>
  <c r="AV20" i="5"/>
  <c r="AU20" i="5"/>
  <c r="AT20" i="5"/>
  <c r="AS20" i="5"/>
  <c r="AR20" i="5"/>
  <c r="AP20" i="5"/>
  <c r="AO20" i="5"/>
  <c r="AN20" i="5"/>
  <c r="AM20" i="5"/>
  <c r="AL20" i="5"/>
  <c r="AK20" i="5"/>
  <c r="AI20" i="5"/>
  <c r="AH20" i="5"/>
  <c r="AG20" i="5"/>
  <c r="AF20" i="5"/>
  <c r="AE20" i="5"/>
  <c r="AD20" i="5"/>
  <c r="AB20" i="5"/>
  <c r="AA20" i="5"/>
  <c r="Z20" i="5"/>
  <c r="Y20" i="5"/>
  <c r="X20" i="5"/>
  <c r="W20" i="5"/>
  <c r="U20" i="5"/>
  <c r="T20" i="5"/>
  <c r="S20" i="5"/>
  <c r="R20" i="5"/>
  <c r="Q20" i="5"/>
  <c r="P20" i="5"/>
  <c r="N20" i="5"/>
  <c r="M20" i="5"/>
  <c r="L20" i="5"/>
  <c r="K20" i="5"/>
  <c r="J20" i="5"/>
  <c r="I20" i="5"/>
  <c r="G20" i="5"/>
  <c r="F20" i="5"/>
  <c r="E20" i="5"/>
  <c r="D20" i="5"/>
  <c r="C20" i="5"/>
  <c r="B20" i="5"/>
  <c r="HI19" i="5"/>
  <c r="HI57" i="5" s="1"/>
  <c r="HI86" i="5" s="1"/>
  <c r="HH19" i="5"/>
  <c r="HG19" i="5"/>
  <c r="HG57" i="5" s="1"/>
  <c r="HG86" i="5" s="1"/>
  <c r="HF19" i="5"/>
  <c r="HF57" i="5" s="1"/>
  <c r="HF86" i="5" s="1"/>
  <c r="HE19" i="5"/>
  <c r="HE57" i="5" s="1"/>
  <c r="HE86" i="5" s="1"/>
  <c r="HD19" i="5"/>
  <c r="HB19" i="5"/>
  <c r="HB57" i="5" s="1"/>
  <c r="HB86" i="5" s="1"/>
  <c r="HA19" i="5"/>
  <c r="HA57" i="5" s="1"/>
  <c r="HA86" i="5" s="1"/>
  <c r="GZ19" i="5"/>
  <c r="GY19" i="5"/>
  <c r="GY57" i="5" s="1"/>
  <c r="GY86" i="5" s="1"/>
  <c r="GX19" i="5"/>
  <c r="GW19" i="5"/>
  <c r="GW57" i="5" s="1"/>
  <c r="GW86" i="5" s="1"/>
  <c r="GU19" i="5"/>
  <c r="GU57" i="5" s="1"/>
  <c r="GU86" i="5" s="1"/>
  <c r="GT19" i="5"/>
  <c r="GT57" i="5" s="1"/>
  <c r="GT86" i="5" s="1"/>
  <c r="GS19" i="5"/>
  <c r="GS57" i="5" s="1"/>
  <c r="GS86" i="5" s="1"/>
  <c r="GR19" i="5"/>
  <c r="GQ19" i="5"/>
  <c r="GP19" i="5"/>
  <c r="GG19" i="5"/>
  <c r="GF19" i="5"/>
  <c r="GF57" i="5" s="1"/>
  <c r="GF86" i="5" s="1"/>
  <c r="GE19" i="5"/>
  <c r="GE57" i="5" s="1"/>
  <c r="GE86" i="5" s="1"/>
  <c r="GD19" i="5"/>
  <c r="GD57" i="5" s="1"/>
  <c r="GD86" i="5" s="1"/>
  <c r="GC19" i="5"/>
  <c r="GB19" i="5"/>
  <c r="GB57" i="5" s="1"/>
  <c r="GB86" i="5" s="1"/>
  <c r="FZ19" i="5"/>
  <c r="FZ57" i="5" s="1"/>
  <c r="FZ86" i="5" s="1"/>
  <c r="FY19" i="5"/>
  <c r="FX19" i="5"/>
  <c r="FW19" i="5"/>
  <c r="FW57" i="5" s="1"/>
  <c r="FW86" i="5" s="1"/>
  <c r="FV19" i="5"/>
  <c r="FV57" i="5" s="1"/>
  <c r="FV86" i="5" s="1"/>
  <c r="FU19" i="5"/>
  <c r="FS19" i="5"/>
  <c r="FS57" i="5" s="1"/>
  <c r="FR19" i="5"/>
  <c r="FR57" i="5" s="1"/>
  <c r="FR86" i="5" s="1"/>
  <c r="FQ19" i="5"/>
  <c r="FP19" i="5"/>
  <c r="FP57" i="5" s="1"/>
  <c r="FP86" i="5" s="1"/>
  <c r="FO19" i="5"/>
  <c r="FO57" i="5" s="1"/>
  <c r="FO86" i="5" s="1"/>
  <c r="FN19" i="5"/>
  <c r="FN57" i="5" s="1"/>
  <c r="FN86" i="5" s="1"/>
  <c r="FE19" i="5"/>
  <c r="FE57" i="5" s="1"/>
  <c r="FE86" i="5" s="1"/>
  <c r="FD19" i="5"/>
  <c r="FD57" i="5" s="1"/>
  <c r="FD86" i="5" s="1"/>
  <c r="FC19" i="5"/>
  <c r="FC57" i="5" s="1"/>
  <c r="FC86" i="5" s="1"/>
  <c r="FB19" i="5"/>
  <c r="FA19" i="5"/>
  <c r="EZ19" i="5"/>
  <c r="EZ57" i="5" s="1"/>
  <c r="EZ86" i="5" s="1"/>
  <c r="EX19" i="5"/>
  <c r="EX57" i="5" s="1"/>
  <c r="EX86" i="5" s="1"/>
  <c r="EW19" i="5"/>
  <c r="EW57" i="5" s="1"/>
  <c r="EW86" i="5" s="1"/>
  <c r="EV19" i="5"/>
  <c r="EU19" i="5"/>
  <c r="EU57" i="5" s="1"/>
  <c r="EU86" i="5" s="1"/>
  <c r="ET19" i="5"/>
  <c r="ET57" i="5" s="1"/>
  <c r="ET86" i="5" s="1"/>
  <c r="ES19" i="5"/>
  <c r="ES57" i="5" s="1"/>
  <c r="ES86" i="5" s="1"/>
  <c r="EQ19" i="5"/>
  <c r="EQ57" i="5" s="1"/>
  <c r="EQ86" i="5" s="1"/>
  <c r="EP19" i="5"/>
  <c r="EP57" i="5" s="1"/>
  <c r="EP86" i="5" s="1"/>
  <c r="EO19" i="5"/>
  <c r="EN19" i="5"/>
  <c r="EM19" i="5"/>
  <c r="EM57" i="5" s="1"/>
  <c r="EM86" i="5" s="1"/>
  <c r="EL19" i="5"/>
  <c r="EC19" i="5"/>
  <c r="EB19" i="5"/>
  <c r="EB57" i="5" s="1"/>
  <c r="EB86" i="5" s="1"/>
  <c r="EA19" i="5"/>
  <c r="EA57" i="5" s="1"/>
  <c r="EA86" i="5" s="1"/>
  <c r="DZ19" i="5"/>
  <c r="DZ57" i="5" s="1"/>
  <c r="DZ86" i="5" s="1"/>
  <c r="DY19" i="5"/>
  <c r="DX19" i="5"/>
  <c r="DX57" i="5" s="1"/>
  <c r="DX86" i="5" s="1"/>
  <c r="DV19" i="5"/>
  <c r="DV57" i="5" s="1"/>
  <c r="DV86" i="5" s="1"/>
  <c r="DU19" i="5"/>
  <c r="DT19" i="5"/>
  <c r="DT57" i="5" s="1"/>
  <c r="DT86" i="5" s="1"/>
  <c r="DS19" i="5"/>
  <c r="DS57" i="5" s="1"/>
  <c r="DS86" i="5" s="1"/>
  <c r="DR19" i="5"/>
  <c r="DR57" i="5" s="1"/>
  <c r="DR86" i="5" s="1"/>
  <c r="DQ19" i="5"/>
  <c r="DO19" i="5"/>
  <c r="DO57" i="5" s="1"/>
  <c r="DO86" i="5" s="1"/>
  <c r="DN19" i="5"/>
  <c r="DM19" i="5"/>
  <c r="DL19" i="5"/>
  <c r="DK19" i="5"/>
  <c r="DK57" i="5" s="1"/>
  <c r="DK86" i="5" s="1"/>
  <c r="DJ19" i="5"/>
  <c r="DH19" i="5"/>
  <c r="DH57" i="5" s="1"/>
  <c r="DH86" i="5" s="1"/>
  <c r="DG19" i="5"/>
  <c r="DG57" i="5" s="1"/>
  <c r="DG86" i="5" s="1"/>
  <c r="DF19" i="5"/>
  <c r="DF57" i="5" s="1"/>
  <c r="DF86" i="5" s="1"/>
  <c r="DE19" i="5"/>
  <c r="DD19" i="5"/>
  <c r="DD57" i="5" s="1"/>
  <c r="DD86" i="5" s="1"/>
  <c r="DC19" i="5"/>
  <c r="DC57" i="5" s="1"/>
  <c r="DC86" i="5" s="1"/>
  <c r="DA19" i="5"/>
  <c r="CZ19" i="5"/>
  <c r="CZ57" i="5" s="1"/>
  <c r="CZ86" i="5" s="1"/>
  <c r="CY19" i="5"/>
  <c r="CY57" i="5" s="1"/>
  <c r="CY86" i="5" s="1"/>
  <c r="CX19" i="5"/>
  <c r="CX57" i="5" s="1"/>
  <c r="CX86" i="5" s="1"/>
  <c r="CW19" i="5"/>
  <c r="CV19" i="5"/>
  <c r="CV57" i="5" s="1"/>
  <c r="CV86" i="5" s="1"/>
  <c r="CT19" i="5"/>
  <c r="CT57" i="5" s="1"/>
  <c r="CT86" i="5" s="1"/>
  <c r="CS19" i="5"/>
  <c r="CR19" i="5"/>
  <c r="CR57" i="5" s="1"/>
  <c r="CR86" i="5" s="1"/>
  <c r="CQ19" i="5"/>
  <c r="CQ57" i="5" s="1"/>
  <c r="CQ86" i="5" s="1"/>
  <c r="CP19" i="5"/>
  <c r="CO19" i="5"/>
  <c r="CM19" i="5"/>
  <c r="CL19" i="5"/>
  <c r="CK19" i="5"/>
  <c r="CK57" i="5" s="1"/>
  <c r="CK86" i="5" s="1"/>
  <c r="CJ19" i="5"/>
  <c r="CJ57" i="5" s="1"/>
  <c r="CJ86" i="5" s="1"/>
  <c r="CI19" i="5"/>
  <c r="CH19" i="5"/>
  <c r="CH57" i="5" s="1"/>
  <c r="CH86" i="5" s="1"/>
  <c r="CF19" i="5"/>
  <c r="CF57" i="5" s="1"/>
  <c r="CF86" i="5" s="1"/>
  <c r="CE19" i="5"/>
  <c r="CD19" i="5"/>
  <c r="CD57" i="5" s="1"/>
  <c r="CD86" i="5" s="1"/>
  <c r="CC19" i="5"/>
  <c r="CC57" i="5" s="1"/>
  <c r="CC86" i="5" s="1"/>
  <c r="CB19" i="5"/>
  <c r="CB57" i="5" s="1"/>
  <c r="CB86" i="5" s="1"/>
  <c r="CA19" i="5"/>
  <c r="BY19" i="5"/>
  <c r="BY57" i="5" s="1"/>
  <c r="BY86" i="5" s="1"/>
  <c r="BX19" i="5"/>
  <c r="BX57" i="5" s="1"/>
  <c r="BX86" i="5" s="1"/>
  <c r="BW19" i="5"/>
  <c r="BV19" i="5"/>
  <c r="BV57" i="5" s="1"/>
  <c r="BV86" i="5" s="1"/>
  <c r="BU19" i="5"/>
  <c r="BT19" i="5"/>
  <c r="BT57" i="5" s="1"/>
  <c r="BT86" i="5" s="1"/>
  <c r="BR19" i="5"/>
  <c r="BQ19" i="5"/>
  <c r="BQ57" i="5" s="1"/>
  <c r="BQ86" i="5" s="1"/>
  <c r="BP19" i="5"/>
  <c r="BO19" i="5"/>
  <c r="BN19" i="5"/>
  <c r="BN57" i="5" s="1"/>
  <c r="BN86" i="5" s="1"/>
  <c r="BM19" i="5"/>
  <c r="BK19" i="5"/>
  <c r="BJ19" i="5"/>
  <c r="BJ57" i="5" s="1"/>
  <c r="BJ86" i="5" s="1"/>
  <c r="BI19" i="5"/>
  <c r="BH19" i="5"/>
  <c r="BH57" i="5" s="1"/>
  <c r="BH86" i="5" s="1"/>
  <c r="BG19" i="5"/>
  <c r="BF19" i="5"/>
  <c r="BF57" i="5" s="1"/>
  <c r="BF86" i="5" s="1"/>
  <c r="BD19" i="5"/>
  <c r="BD57" i="5" s="1"/>
  <c r="BD86" i="5" s="1"/>
  <c r="BC19" i="5"/>
  <c r="BB19" i="5"/>
  <c r="BA19" i="5"/>
  <c r="AZ19" i="5"/>
  <c r="AZ57" i="5" s="1"/>
  <c r="AZ86" i="5" s="1"/>
  <c r="AY19" i="5"/>
  <c r="AW19" i="5"/>
  <c r="AV19" i="5"/>
  <c r="AV57" i="5" s="1"/>
  <c r="AV86" i="5" s="1"/>
  <c r="AU19" i="5"/>
  <c r="AT19" i="5"/>
  <c r="AT57" i="5" s="1"/>
  <c r="AT86" i="5" s="1"/>
  <c r="AS19" i="5"/>
  <c r="AR19" i="5"/>
  <c r="AR57" i="5" s="1"/>
  <c r="AR86" i="5" s="1"/>
  <c r="AP19" i="5"/>
  <c r="AO19" i="5"/>
  <c r="AN19" i="5"/>
  <c r="AN57" i="5" s="1"/>
  <c r="AN86" i="5" s="1"/>
  <c r="AM19" i="5"/>
  <c r="AL19" i="5"/>
  <c r="AK19" i="5"/>
  <c r="AI19" i="5"/>
  <c r="AI57" i="5" s="1"/>
  <c r="AI86" i="5" s="1"/>
  <c r="AH19" i="5"/>
  <c r="AG19" i="5"/>
  <c r="AF19" i="5"/>
  <c r="AF57" i="5" s="1"/>
  <c r="AF86" i="5" s="1"/>
  <c r="AE19" i="5"/>
  <c r="AE57" i="5" s="1"/>
  <c r="AE86" i="5" s="1"/>
  <c r="AD19" i="5"/>
  <c r="AB19" i="5"/>
  <c r="AB57" i="5" s="1"/>
  <c r="AB86" i="5" s="1"/>
  <c r="AA19" i="5"/>
  <c r="AA57" i="5" s="1"/>
  <c r="AA86" i="5" s="1"/>
  <c r="Z19" i="5"/>
  <c r="Z57" i="5" s="1"/>
  <c r="Z86" i="5" s="1"/>
  <c r="Y19" i="5"/>
  <c r="X19" i="5"/>
  <c r="X57" i="5" s="1"/>
  <c r="X86" i="5" s="1"/>
  <c r="W19" i="5"/>
  <c r="U19" i="5"/>
  <c r="T19" i="5"/>
  <c r="T57" i="5" s="1"/>
  <c r="T86" i="5" s="1"/>
  <c r="S19" i="5"/>
  <c r="S57" i="5" s="1"/>
  <c r="S86" i="5" s="1"/>
  <c r="R19" i="5"/>
  <c r="R57" i="5" s="1"/>
  <c r="R86" i="5" s="1"/>
  <c r="Q19" i="5"/>
  <c r="P19" i="5"/>
  <c r="P57" i="5" s="1"/>
  <c r="P86" i="5" s="1"/>
  <c r="N19" i="5"/>
  <c r="N57" i="5" s="1"/>
  <c r="N86" i="5" s="1"/>
  <c r="M19" i="5"/>
  <c r="L19" i="5"/>
  <c r="L57" i="5" s="1"/>
  <c r="L86" i="5" s="1"/>
  <c r="K19" i="5"/>
  <c r="K57" i="5" s="1"/>
  <c r="K86" i="5" s="1"/>
  <c r="J19" i="5"/>
  <c r="J57" i="5" s="1"/>
  <c r="J86" i="5" s="1"/>
  <c r="I19" i="5"/>
  <c r="G19" i="5"/>
  <c r="F19" i="5"/>
  <c r="E19" i="5"/>
  <c r="D19" i="5"/>
  <c r="D57" i="5" s="1"/>
  <c r="D86" i="5" s="1"/>
  <c r="C19" i="5"/>
  <c r="B19" i="5"/>
  <c r="HI18" i="5"/>
  <c r="HH18" i="5"/>
  <c r="HG18" i="5"/>
  <c r="HF18" i="5"/>
  <c r="HE18" i="5"/>
  <c r="HD18" i="5"/>
  <c r="HB18" i="5"/>
  <c r="HA18" i="5"/>
  <c r="GZ18" i="5"/>
  <c r="GY18" i="5"/>
  <c r="GX18" i="5"/>
  <c r="GW18" i="5"/>
  <c r="GU18" i="5"/>
  <c r="GT18" i="5"/>
  <c r="GS18" i="5"/>
  <c r="GR18" i="5"/>
  <c r="GQ18" i="5"/>
  <c r="GP18" i="5"/>
  <c r="GG18" i="5"/>
  <c r="GF18" i="5"/>
  <c r="GE18" i="5"/>
  <c r="GD18" i="5"/>
  <c r="GC18" i="5"/>
  <c r="GB18" i="5"/>
  <c r="FZ18" i="5"/>
  <c r="FY18" i="5"/>
  <c r="FX18" i="5"/>
  <c r="FW18" i="5"/>
  <c r="FV18" i="5"/>
  <c r="FU18" i="5"/>
  <c r="FS18" i="5"/>
  <c r="FR18" i="5"/>
  <c r="FQ18" i="5"/>
  <c r="FP18" i="5"/>
  <c r="FO18" i="5"/>
  <c r="FN18" i="5"/>
  <c r="FE18" i="5"/>
  <c r="FD18" i="5"/>
  <c r="FC18" i="5"/>
  <c r="FB18" i="5"/>
  <c r="FA18" i="5"/>
  <c r="EZ18" i="5"/>
  <c r="EX18" i="5"/>
  <c r="EW18" i="5"/>
  <c r="EV18" i="5"/>
  <c r="EU18" i="5"/>
  <c r="ET18" i="5"/>
  <c r="ES18" i="5"/>
  <c r="EQ18" i="5"/>
  <c r="EP18" i="5"/>
  <c r="EO18" i="5"/>
  <c r="EN18" i="5"/>
  <c r="EM18" i="5"/>
  <c r="EL18" i="5"/>
  <c r="EC18" i="5"/>
  <c r="EB18" i="5"/>
  <c r="EA18" i="5"/>
  <c r="DZ18" i="5"/>
  <c r="DY18" i="5"/>
  <c r="DX18" i="5"/>
  <c r="DV18" i="5"/>
  <c r="DU18" i="5"/>
  <c r="DT18" i="5"/>
  <c r="DS18" i="5"/>
  <c r="DR18" i="5"/>
  <c r="DQ18" i="5"/>
  <c r="DO18" i="5"/>
  <c r="DN18" i="5"/>
  <c r="DM18" i="5"/>
  <c r="DL18" i="5"/>
  <c r="DK18" i="5"/>
  <c r="DJ18" i="5"/>
  <c r="DH18" i="5"/>
  <c r="DG18" i="5"/>
  <c r="DF18" i="5"/>
  <c r="DE18" i="5"/>
  <c r="DD18" i="5"/>
  <c r="DC18" i="5"/>
  <c r="DA18" i="5"/>
  <c r="CZ18" i="5"/>
  <c r="CY18" i="5"/>
  <c r="CX18" i="5"/>
  <c r="CW18" i="5"/>
  <c r="CV18" i="5"/>
  <c r="CT18" i="5"/>
  <c r="CS18" i="5"/>
  <c r="CR18" i="5"/>
  <c r="CQ18" i="5"/>
  <c r="CP18" i="5"/>
  <c r="CO18" i="5"/>
  <c r="CM18" i="5"/>
  <c r="CL18" i="5"/>
  <c r="CK18" i="5"/>
  <c r="CJ18" i="5"/>
  <c r="CI18" i="5"/>
  <c r="CH18" i="5"/>
  <c r="CF18" i="5"/>
  <c r="CE18" i="5"/>
  <c r="CD18" i="5"/>
  <c r="CC18" i="5"/>
  <c r="CB18" i="5"/>
  <c r="CA18" i="5"/>
  <c r="BY18" i="5"/>
  <c r="BX18" i="5"/>
  <c r="BW18" i="5"/>
  <c r="BV18" i="5"/>
  <c r="BU18" i="5"/>
  <c r="BT18" i="5"/>
  <c r="BR18" i="5"/>
  <c r="BQ18" i="5"/>
  <c r="BP18" i="5"/>
  <c r="BO18" i="5"/>
  <c r="BN18" i="5"/>
  <c r="BM18" i="5"/>
  <c r="BK18" i="5"/>
  <c r="BJ18" i="5"/>
  <c r="BI18" i="5"/>
  <c r="BH18" i="5"/>
  <c r="BG18" i="5"/>
  <c r="BF18" i="5"/>
  <c r="BD18" i="5"/>
  <c r="BC18" i="5"/>
  <c r="BB18" i="5"/>
  <c r="BA18" i="5"/>
  <c r="AZ18" i="5"/>
  <c r="AY18" i="5"/>
  <c r="AW18" i="5"/>
  <c r="AV18" i="5"/>
  <c r="AU18" i="5"/>
  <c r="AT18" i="5"/>
  <c r="AS18" i="5"/>
  <c r="AR18" i="5"/>
  <c r="AP18" i="5"/>
  <c r="AO18" i="5"/>
  <c r="AN18" i="5"/>
  <c r="AM18" i="5"/>
  <c r="AL18" i="5"/>
  <c r="AK18" i="5"/>
  <c r="AI18" i="5"/>
  <c r="AH18" i="5"/>
  <c r="AG18" i="5"/>
  <c r="AF18" i="5"/>
  <c r="AE18" i="5"/>
  <c r="AD18" i="5"/>
  <c r="AB18" i="5"/>
  <c r="AA18" i="5"/>
  <c r="Z18" i="5"/>
  <c r="Y18" i="5"/>
  <c r="X18" i="5"/>
  <c r="W18" i="5"/>
  <c r="U18" i="5"/>
  <c r="T18" i="5"/>
  <c r="S18" i="5"/>
  <c r="R18" i="5"/>
  <c r="Q18" i="5"/>
  <c r="P18" i="5"/>
  <c r="N18" i="5"/>
  <c r="M18" i="5"/>
  <c r="L18" i="5"/>
  <c r="K18" i="5"/>
  <c r="J18" i="5"/>
  <c r="I18" i="5"/>
  <c r="G18" i="5"/>
  <c r="F18" i="5"/>
  <c r="E18" i="5"/>
  <c r="D18" i="5"/>
  <c r="C18" i="5"/>
  <c r="B18" i="5"/>
  <c r="HI17" i="5"/>
  <c r="HH17" i="5"/>
  <c r="HG17" i="5"/>
  <c r="HF17" i="5"/>
  <c r="HE17" i="5"/>
  <c r="HD17" i="5"/>
  <c r="HB17" i="5"/>
  <c r="HA17" i="5"/>
  <c r="GZ17" i="5"/>
  <c r="GY17" i="5"/>
  <c r="GX17" i="5"/>
  <c r="GW17" i="5"/>
  <c r="GU17" i="5"/>
  <c r="GT17" i="5"/>
  <c r="GS17" i="5"/>
  <c r="GR17" i="5"/>
  <c r="GQ17" i="5"/>
  <c r="GP17" i="5"/>
  <c r="GG17" i="5"/>
  <c r="GF17" i="5"/>
  <c r="GE17" i="5"/>
  <c r="GD17" i="5"/>
  <c r="GC17" i="5"/>
  <c r="GB17" i="5"/>
  <c r="FZ17" i="5"/>
  <c r="FY17" i="5"/>
  <c r="FX17" i="5"/>
  <c r="FW17" i="5"/>
  <c r="FV17" i="5"/>
  <c r="FU17" i="5"/>
  <c r="FS17" i="5"/>
  <c r="FR17" i="5"/>
  <c r="FQ17" i="5"/>
  <c r="FP17" i="5"/>
  <c r="FO17" i="5"/>
  <c r="FN17" i="5"/>
  <c r="FE17" i="5"/>
  <c r="FD17" i="5"/>
  <c r="FC17" i="5"/>
  <c r="FB17" i="5"/>
  <c r="FA17" i="5"/>
  <c r="EZ17" i="5"/>
  <c r="EX17" i="5"/>
  <c r="EW17" i="5"/>
  <c r="EV17" i="5"/>
  <c r="EU17" i="5"/>
  <c r="ET17" i="5"/>
  <c r="ES17" i="5"/>
  <c r="EQ17" i="5"/>
  <c r="EP17" i="5"/>
  <c r="EO17" i="5"/>
  <c r="EN17" i="5"/>
  <c r="EM17" i="5"/>
  <c r="EL17" i="5"/>
  <c r="EC17" i="5"/>
  <c r="EB17" i="5"/>
  <c r="EA17" i="5"/>
  <c r="DZ17" i="5"/>
  <c r="DY17" i="5"/>
  <c r="DX17" i="5"/>
  <c r="DV17" i="5"/>
  <c r="DU17" i="5"/>
  <c r="DT17" i="5"/>
  <c r="DS17" i="5"/>
  <c r="DR17" i="5"/>
  <c r="DQ17" i="5"/>
  <c r="DO17" i="5"/>
  <c r="DN17" i="5"/>
  <c r="DM17" i="5"/>
  <c r="DL17" i="5"/>
  <c r="DK17" i="5"/>
  <c r="DJ17" i="5"/>
  <c r="DH17" i="5"/>
  <c r="DG17" i="5"/>
  <c r="DF17" i="5"/>
  <c r="DE17" i="5"/>
  <c r="DD17" i="5"/>
  <c r="DC17" i="5"/>
  <c r="DA17" i="5"/>
  <c r="CZ17" i="5"/>
  <c r="CY17" i="5"/>
  <c r="CX17" i="5"/>
  <c r="CW17" i="5"/>
  <c r="CV17" i="5"/>
  <c r="CT17" i="5"/>
  <c r="CS17" i="5"/>
  <c r="CR17" i="5"/>
  <c r="CQ17" i="5"/>
  <c r="CP17" i="5"/>
  <c r="CO17" i="5"/>
  <c r="CM17" i="5"/>
  <c r="CL17" i="5"/>
  <c r="CK17" i="5"/>
  <c r="CJ17" i="5"/>
  <c r="CI17" i="5"/>
  <c r="CH17" i="5"/>
  <c r="CF17" i="5"/>
  <c r="CE17" i="5"/>
  <c r="CD17" i="5"/>
  <c r="CC17" i="5"/>
  <c r="CB17" i="5"/>
  <c r="CA17" i="5"/>
  <c r="BY17" i="5"/>
  <c r="BX17" i="5"/>
  <c r="BW17" i="5"/>
  <c r="BV17" i="5"/>
  <c r="BU17" i="5"/>
  <c r="BT17" i="5"/>
  <c r="BR17" i="5"/>
  <c r="BQ17" i="5"/>
  <c r="BP17" i="5"/>
  <c r="BO17" i="5"/>
  <c r="BN17" i="5"/>
  <c r="BM17" i="5"/>
  <c r="BK17" i="5"/>
  <c r="BJ17" i="5"/>
  <c r="BI17" i="5"/>
  <c r="BH17" i="5"/>
  <c r="BG17" i="5"/>
  <c r="BF17" i="5"/>
  <c r="BD17" i="5"/>
  <c r="BC17" i="5"/>
  <c r="BB17" i="5"/>
  <c r="BA17" i="5"/>
  <c r="AZ17" i="5"/>
  <c r="AY17" i="5"/>
  <c r="AW17" i="5"/>
  <c r="AV17" i="5"/>
  <c r="AU17" i="5"/>
  <c r="AT17" i="5"/>
  <c r="AS17" i="5"/>
  <c r="AR17" i="5"/>
  <c r="AP17" i="5"/>
  <c r="AO17" i="5"/>
  <c r="AN17" i="5"/>
  <c r="AM17" i="5"/>
  <c r="AL17" i="5"/>
  <c r="AK17" i="5"/>
  <c r="AI17" i="5"/>
  <c r="AH17" i="5"/>
  <c r="AG17" i="5"/>
  <c r="AF17" i="5"/>
  <c r="AE17" i="5"/>
  <c r="AD17" i="5"/>
  <c r="AB17" i="5"/>
  <c r="AA17" i="5"/>
  <c r="Z17" i="5"/>
  <c r="Y17" i="5"/>
  <c r="X17" i="5"/>
  <c r="W17" i="5"/>
  <c r="U17" i="5"/>
  <c r="T17" i="5"/>
  <c r="S17" i="5"/>
  <c r="R17" i="5"/>
  <c r="Q17" i="5"/>
  <c r="P17" i="5"/>
  <c r="N17" i="5"/>
  <c r="M17" i="5"/>
  <c r="L17" i="5"/>
  <c r="K17" i="5"/>
  <c r="J17" i="5"/>
  <c r="I17" i="5"/>
  <c r="G17" i="5"/>
  <c r="F17" i="5"/>
  <c r="E17" i="5"/>
  <c r="D17" i="5"/>
  <c r="C17" i="5"/>
  <c r="B17" i="5"/>
  <c r="HI16" i="5"/>
  <c r="HH16" i="5"/>
  <c r="HG16" i="5"/>
  <c r="HF16" i="5"/>
  <c r="HE16" i="5"/>
  <c r="HD16" i="5"/>
  <c r="HB16" i="5"/>
  <c r="HA16" i="5"/>
  <c r="GZ16" i="5"/>
  <c r="GY16" i="5"/>
  <c r="GX16" i="5"/>
  <c r="GW16" i="5"/>
  <c r="GU16" i="5"/>
  <c r="GT16" i="5"/>
  <c r="GS16" i="5"/>
  <c r="GR16" i="5"/>
  <c r="GQ16" i="5"/>
  <c r="GP16" i="5"/>
  <c r="GG16" i="5"/>
  <c r="GF16" i="5"/>
  <c r="GE16" i="5"/>
  <c r="GD16" i="5"/>
  <c r="GC16" i="5"/>
  <c r="GB16" i="5"/>
  <c r="FZ16" i="5"/>
  <c r="FY16" i="5"/>
  <c r="FX16" i="5"/>
  <c r="FW16" i="5"/>
  <c r="FV16" i="5"/>
  <c r="FU16" i="5"/>
  <c r="FS16" i="5"/>
  <c r="FR16" i="5"/>
  <c r="FQ16" i="5"/>
  <c r="FP16" i="5"/>
  <c r="FO16" i="5"/>
  <c r="FN16" i="5"/>
  <c r="FE16" i="5"/>
  <c r="FD16" i="5"/>
  <c r="FC16" i="5"/>
  <c r="FB16" i="5"/>
  <c r="FA16" i="5"/>
  <c r="EZ16" i="5"/>
  <c r="EX16" i="5"/>
  <c r="EW16" i="5"/>
  <c r="EV16" i="5"/>
  <c r="EU16" i="5"/>
  <c r="ET16" i="5"/>
  <c r="ES16" i="5"/>
  <c r="EQ16" i="5"/>
  <c r="EP16" i="5"/>
  <c r="EO16" i="5"/>
  <c r="EN16" i="5"/>
  <c r="EM16" i="5"/>
  <c r="EL16" i="5"/>
  <c r="EC16" i="5"/>
  <c r="EB16" i="5"/>
  <c r="EA16" i="5"/>
  <c r="DZ16" i="5"/>
  <c r="DY16" i="5"/>
  <c r="DX16" i="5"/>
  <c r="DV16" i="5"/>
  <c r="DU16" i="5"/>
  <c r="DT16" i="5"/>
  <c r="DS16" i="5"/>
  <c r="DR16" i="5"/>
  <c r="DQ16" i="5"/>
  <c r="DO16" i="5"/>
  <c r="DN16" i="5"/>
  <c r="DM16" i="5"/>
  <c r="DL16" i="5"/>
  <c r="DK16" i="5"/>
  <c r="DJ16" i="5"/>
  <c r="DH16" i="5"/>
  <c r="DG16" i="5"/>
  <c r="DF16" i="5"/>
  <c r="DE16" i="5"/>
  <c r="DD16" i="5"/>
  <c r="DC16" i="5"/>
  <c r="DA16" i="5"/>
  <c r="CZ16" i="5"/>
  <c r="CY16" i="5"/>
  <c r="CX16" i="5"/>
  <c r="CW16" i="5"/>
  <c r="CV16" i="5"/>
  <c r="CT16" i="5"/>
  <c r="CS16" i="5"/>
  <c r="CR16" i="5"/>
  <c r="CQ16" i="5"/>
  <c r="CP16" i="5"/>
  <c r="CO16" i="5"/>
  <c r="CM16" i="5"/>
  <c r="CL16" i="5"/>
  <c r="CK16" i="5"/>
  <c r="CJ16" i="5"/>
  <c r="CI16" i="5"/>
  <c r="CH16" i="5"/>
  <c r="CF16" i="5"/>
  <c r="CE16" i="5"/>
  <c r="CD16" i="5"/>
  <c r="CC16" i="5"/>
  <c r="CB16" i="5"/>
  <c r="CA16" i="5"/>
  <c r="BY16" i="5"/>
  <c r="BX16" i="5"/>
  <c r="BW16" i="5"/>
  <c r="BV16" i="5"/>
  <c r="BU16" i="5"/>
  <c r="BT16" i="5"/>
  <c r="BR16" i="5"/>
  <c r="BQ16" i="5"/>
  <c r="BP16" i="5"/>
  <c r="BO16" i="5"/>
  <c r="BN16" i="5"/>
  <c r="BM16" i="5"/>
  <c r="BK16" i="5"/>
  <c r="BJ16" i="5"/>
  <c r="BI16" i="5"/>
  <c r="BH16" i="5"/>
  <c r="BG16" i="5"/>
  <c r="BF16" i="5"/>
  <c r="BD16" i="5"/>
  <c r="BC16" i="5"/>
  <c r="BB16" i="5"/>
  <c r="BA16" i="5"/>
  <c r="AZ16" i="5"/>
  <c r="AY16" i="5"/>
  <c r="AW16" i="5"/>
  <c r="AV16" i="5"/>
  <c r="AU16" i="5"/>
  <c r="AT16" i="5"/>
  <c r="AS16" i="5"/>
  <c r="AR16" i="5"/>
  <c r="AP16" i="5"/>
  <c r="AO16" i="5"/>
  <c r="AN16" i="5"/>
  <c r="AM16" i="5"/>
  <c r="AL16" i="5"/>
  <c r="AK16" i="5"/>
  <c r="AI16" i="5"/>
  <c r="AH16" i="5"/>
  <c r="AG16" i="5"/>
  <c r="AF16" i="5"/>
  <c r="AE16" i="5"/>
  <c r="AD16" i="5"/>
  <c r="AB16" i="5"/>
  <c r="AA16" i="5"/>
  <c r="Z16" i="5"/>
  <c r="Y16" i="5"/>
  <c r="X16" i="5"/>
  <c r="W16" i="5"/>
  <c r="U16" i="5"/>
  <c r="T16" i="5"/>
  <c r="S16" i="5"/>
  <c r="R16" i="5"/>
  <c r="Q16" i="5"/>
  <c r="P16" i="5"/>
  <c r="N16" i="5"/>
  <c r="M16" i="5"/>
  <c r="L16" i="5"/>
  <c r="K16" i="5"/>
  <c r="J16" i="5"/>
  <c r="I16" i="5"/>
  <c r="G16" i="5"/>
  <c r="F16" i="5"/>
  <c r="E16" i="5"/>
  <c r="D16" i="5"/>
  <c r="C16" i="5"/>
  <c r="B16" i="5"/>
  <c r="HI15" i="5"/>
  <c r="HH15" i="5"/>
  <c r="HH56" i="5" s="1"/>
  <c r="HH85" i="5" s="1"/>
  <c r="HG15" i="5"/>
  <c r="HG56" i="5" s="1"/>
  <c r="HG85" i="5" s="1"/>
  <c r="HF15" i="5"/>
  <c r="HF56" i="5" s="1"/>
  <c r="HF85" i="5" s="1"/>
  <c r="HE15" i="5"/>
  <c r="HD15" i="5"/>
  <c r="HD56" i="5" s="1"/>
  <c r="HD85" i="5" s="1"/>
  <c r="HB15" i="5"/>
  <c r="HB56" i="5" s="1"/>
  <c r="HB85" i="5" s="1"/>
  <c r="HA15" i="5"/>
  <c r="GZ15" i="5"/>
  <c r="GZ56" i="5" s="1"/>
  <c r="GZ85" i="5" s="1"/>
  <c r="GY15" i="5"/>
  <c r="GX15" i="5"/>
  <c r="GX56" i="5" s="1"/>
  <c r="GX85" i="5" s="1"/>
  <c r="GW15" i="5"/>
  <c r="GU15" i="5"/>
  <c r="GT15" i="5"/>
  <c r="GT56" i="5" s="1"/>
  <c r="GT85" i="5" s="1"/>
  <c r="GS15" i="5"/>
  <c r="GS56" i="5" s="1"/>
  <c r="GS85" i="5" s="1"/>
  <c r="GR15" i="5"/>
  <c r="GR56" i="5" s="1"/>
  <c r="GR85" i="5" s="1"/>
  <c r="GQ15" i="5"/>
  <c r="GP15" i="5"/>
  <c r="GP56" i="5" s="1"/>
  <c r="GP85" i="5" s="1"/>
  <c r="GG15" i="5"/>
  <c r="GG56" i="5" s="1"/>
  <c r="GG85" i="5" s="1"/>
  <c r="GF15" i="5"/>
  <c r="GF56" i="5" s="1"/>
  <c r="GF85" i="5" s="1"/>
  <c r="GE15" i="5"/>
  <c r="GD15" i="5"/>
  <c r="GD56" i="5" s="1"/>
  <c r="GD85" i="5" s="1"/>
  <c r="GC15" i="5"/>
  <c r="GC56" i="5" s="1"/>
  <c r="GC85" i="5" s="1"/>
  <c r="GB15" i="5"/>
  <c r="FZ15" i="5"/>
  <c r="FZ56" i="5" s="1"/>
  <c r="FZ85" i="5" s="1"/>
  <c r="FY15" i="5"/>
  <c r="FY56" i="5" s="1"/>
  <c r="FY85" i="5" s="1"/>
  <c r="FX15" i="5"/>
  <c r="FX56" i="5" s="1"/>
  <c r="FX85" i="5" s="1"/>
  <c r="FW15" i="5"/>
  <c r="FV15" i="5"/>
  <c r="FU15" i="5"/>
  <c r="FU56" i="5" s="1"/>
  <c r="FU85" i="5" s="1"/>
  <c r="FS15" i="5"/>
  <c r="FR15" i="5"/>
  <c r="FQ15" i="5"/>
  <c r="FQ56" i="5" s="1"/>
  <c r="FQ85" i="5" s="1"/>
  <c r="FP15" i="5"/>
  <c r="FP56" i="5" s="1"/>
  <c r="FP85" i="5" s="1"/>
  <c r="FO15" i="5"/>
  <c r="FN15" i="5"/>
  <c r="FE15" i="5"/>
  <c r="FE56" i="5" s="1"/>
  <c r="FE85" i="5" s="1"/>
  <c r="FD15" i="5"/>
  <c r="FC15" i="5"/>
  <c r="FB15" i="5"/>
  <c r="FB56" i="5" s="1"/>
  <c r="FB85" i="5" s="1"/>
  <c r="FA15" i="5"/>
  <c r="FA56" i="5" s="1"/>
  <c r="FA85" i="5" s="1"/>
  <c r="EZ15" i="5"/>
  <c r="EX15" i="5"/>
  <c r="EX56" i="5" s="1"/>
  <c r="EX85" i="5" s="1"/>
  <c r="EW15" i="5"/>
  <c r="EW56" i="5" s="1"/>
  <c r="EW85" i="5" s="1"/>
  <c r="EV15" i="5"/>
  <c r="EV56" i="5" s="1"/>
  <c r="EV85" i="5" s="1"/>
  <c r="EU15" i="5"/>
  <c r="ET15" i="5"/>
  <c r="ET56" i="5" s="1"/>
  <c r="ET85" i="5" s="1"/>
  <c r="ES15" i="5"/>
  <c r="ES56" i="5" s="1"/>
  <c r="ES85" i="5" s="1"/>
  <c r="EQ15" i="5"/>
  <c r="EQ56" i="5" s="1"/>
  <c r="EQ85" i="5" s="1"/>
  <c r="EP15" i="5"/>
  <c r="EP56" i="5" s="1"/>
  <c r="EP85" i="5" s="1"/>
  <c r="EO15" i="5"/>
  <c r="EO56" i="5" s="1"/>
  <c r="EO85" i="5" s="1"/>
  <c r="EN15" i="5"/>
  <c r="EN56" i="5" s="1"/>
  <c r="EN85" i="5" s="1"/>
  <c r="EM15" i="5"/>
  <c r="EL15" i="5"/>
  <c r="EL56" i="5" s="1"/>
  <c r="EL85" i="5" s="1"/>
  <c r="EC15" i="5"/>
  <c r="EC56" i="5" s="1"/>
  <c r="EC85" i="5" s="1"/>
  <c r="EB15" i="5"/>
  <c r="EB56" i="5" s="1"/>
  <c r="EB85" i="5" s="1"/>
  <c r="EA15" i="5"/>
  <c r="EA56" i="5" s="1"/>
  <c r="EA85" i="5" s="1"/>
  <c r="DZ15" i="5"/>
  <c r="DZ56" i="5" s="1"/>
  <c r="DZ85" i="5" s="1"/>
  <c r="DY15" i="5"/>
  <c r="DY56" i="5" s="1"/>
  <c r="DY85" i="5" s="1"/>
  <c r="DX15" i="5"/>
  <c r="DV15" i="5"/>
  <c r="DV56" i="5" s="1"/>
  <c r="DV85" i="5" s="1"/>
  <c r="DU15" i="5"/>
  <c r="DU56" i="5" s="1"/>
  <c r="DU85" i="5" s="1"/>
  <c r="DT15" i="5"/>
  <c r="DS15" i="5"/>
  <c r="DS56" i="5" s="1"/>
  <c r="DS85" i="5" s="1"/>
  <c r="DR15" i="5"/>
  <c r="DR56" i="5" s="1"/>
  <c r="DR85" i="5" s="1"/>
  <c r="DQ15" i="5"/>
  <c r="DQ56" i="5" s="1"/>
  <c r="DQ85" i="5" s="1"/>
  <c r="DO15" i="5"/>
  <c r="DN15" i="5"/>
  <c r="DN56" i="5" s="1"/>
  <c r="DN85" i="5" s="1"/>
  <c r="DM15" i="5"/>
  <c r="DM56" i="5" s="1"/>
  <c r="DM85" i="5" s="1"/>
  <c r="DL15" i="5"/>
  <c r="DK15" i="5"/>
  <c r="DJ15" i="5"/>
  <c r="DJ56" i="5" s="1"/>
  <c r="DJ85" i="5" s="1"/>
  <c r="DH15" i="5"/>
  <c r="DG15" i="5"/>
  <c r="DF15" i="5"/>
  <c r="DF56" i="5" s="1"/>
  <c r="DF85" i="5" s="1"/>
  <c r="DE15" i="5"/>
  <c r="DE56" i="5" s="1"/>
  <c r="DE85" i="5" s="1"/>
  <c r="DD15" i="5"/>
  <c r="DC15" i="5"/>
  <c r="DA15" i="5"/>
  <c r="DA56" i="5" s="1"/>
  <c r="DA85" i="5" s="1"/>
  <c r="CZ15" i="5"/>
  <c r="CZ56" i="5" s="1"/>
  <c r="CZ85" i="5" s="1"/>
  <c r="CY15" i="5"/>
  <c r="CX15" i="5"/>
  <c r="CX56" i="5" s="1"/>
  <c r="CX85" i="5" s="1"/>
  <c r="CW15" i="5"/>
  <c r="CW56" i="5" s="1"/>
  <c r="CW85" i="5" s="1"/>
  <c r="CV15" i="5"/>
  <c r="CT15" i="5"/>
  <c r="CT56" i="5" s="1"/>
  <c r="CT85" i="5" s="1"/>
  <c r="CS15" i="5"/>
  <c r="CS56" i="5" s="1"/>
  <c r="CS85" i="5" s="1"/>
  <c r="CR15" i="5"/>
  <c r="CR56" i="5" s="1"/>
  <c r="CR85" i="5" s="1"/>
  <c r="CQ15" i="5"/>
  <c r="CP15" i="5"/>
  <c r="CP56" i="5" s="1"/>
  <c r="CP85" i="5" s="1"/>
  <c r="CO15" i="5"/>
  <c r="CO56" i="5" s="1"/>
  <c r="CO85" i="5" s="1"/>
  <c r="CM15" i="5"/>
  <c r="CM56" i="5" s="1"/>
  <c r="CM85" i="5" s="1"/>
  <c r="CL15" i="5"/>
  <c r="CK15" i="5"/>
  <c r="CK56" i="5" s="1"/>
  <c r="CK85" i="5" s="1"/>
  <c r="CJ15" i="5"/>
  <c r="CJ56" i="5" s="1"/>
  <c r="CJ85" i="5" s="1"/>
  <c r="CI15" i="5"/>
  <c r="CI56" i="5" s="1"/>
  <c r="CI85" i="5" s="1"/>
  <c r="CH15" i="5"/>
  <c r="CH56" i="5" s="1"/>
  <c r="CH85" i="5" s="1"/>
  <c r="CF15" i="5"/>
  <c r="CE15" i="5"/>
  <c r="CE56" i="5" s="1"/>
  <c r="CE85" i="5" s="1"/>
  <c r="CD15" i="5"/>
  <c r="CC15" i="5"/>
  <c r="CC56" i="5" s="1"/>
  <c r="CC85" i="5" s="1"/>
  <c r="CB15" i="5"/>
  <c r="CA15" i="5"/>
  <c r="CA56" i="5" s="1"/>
  <c r="CA85" i="5" s="1"/>
  <c r="BY15" i="5"/>
  <c r="BY56" i="5" s="1"/>
  <c r="BY85" i="5" s="1"/>
  <c r="BX15" i="5"/>
  <c r="BW15" i="5"/>
  <c r="BW56" i="5" s="1"/>
  <c r="BW85" i="5" s="1"/>
  <c r="BV15" i="5"/>
  <c r="BU15" i="5"/>
  <c r="BU56" i="5" s="1"/>
  <c r="BU85" i="5" s="1"/>
  <c r="BT15" i="5"/>
  <c r="BR15" i="5"/>
  <c r="BR56" i="5" s="1"/>
  <c r="BR85" i="5" s="1"/>
  <c r="BQ15" i="5"/>
  <c r="BQ56" i="5" s="1"/>
  <c r="BQ85" i="5" s="1"/>
  <c r="BP15" i="5"/>
  <c r="BP56" i="5" s="1"/>
  <c r="BP85" i="5" s="1"/>
  <c r="BO15" i="5"/>
  <c r="BO56" i="5" s="1"/>
  <c r="BO85" i="5" s="1"/>
  <c r="BN15" i="5"/>
  <c r="BN56" i="5" s="1"/>
  <c r="BN85" i="5" s="1"/>
  <c r="BM15" i="5"/>
  <c r="BM56" i="5" s="1"/>
  <c r="BM85" i="5" s="1"/>
  <c r="BK15" i="5"/>
  <c r="BK56" i="5" s="1"/>
  <c r="BK85" i="5" s="1"/>
  <c r="BJ15" i="5"/>
  <c r="BJ56" i="5" s="1"/>
  <c r="BJ85" i="5" s="1"/>
  <c r="BI15" i="5"/>
  <c r="BH15" i="5"/>
  <c r="BH56" i="5" s="1"/>
  <c r="BH85" i="5" s="1"/>
  <c r="BG15" i="5"/>
  <c r="BG56" i="5" s="1"/>
  <c r="BG85" i="5" s="1"/>
  <c r="BF15" i="5"/>
  <c r="BF56" i="5" s="1"/>
  <c r="BF85" i="5" s="1"/>
  <c r="BD15" i="5"/>
  <c r="BD56" i="5" s="1"/>
  <c r="BD85" i="5" s="1"/>
  <c r="BC15" i="5"/>
  <c r="BC56" i="5" s="1"/>
  <c r="BC85" i="5" s="1"/>
  <c r="BB15" i="5"/>
  <c r="BB56" i="5" s="1"/>
  <c r="BB85" i="5" s="1"/>
  <c r="BA15" i="5"/>
  <c r="AZ15" i="5"/>
  <c r="AY15" i="5"/>
  <c r="AY56" i="5" s="1"/>
  <c r="AY85" i="5" s="1"/>
  <c r="AW15" i="5"/>
  <c r="AV15" i="5"/>
  <c r="AU15" i="5"/>
  <c r="AU56" i="5" s="1"/>
  <c r="AU85" i="5" s="1"/>
  <c r="AT15" i="5"/>
  <c r="AT56" i="5" s="1"/>
  <c r="AT85" i="5" s="1"/>
  <c r="AS15" i="5"/>
  <c r="AR15" i="5"/>
  <c r="AP15" i="5"/>
  <c r="AP56" i="5" s="1"/>
  <c r="AP85" i="5" s="1"/>
  <c r="AO15" i="5"/>
  <c r="AN15" i="5"/>
  <c r="AM15" i="5"/>
  <c r="AM56" i="5" s="1"/>
  <c r="AM85" i="5" s="1"/>
  <c r="AL15" i="5"/>
  <c r="AL56" i="5" s="1"/>
  <c r="AL85" i="5" s="1"/>
  <c r="AK15" i="5"/>
  <c r="AI15" i="5"/>
  <c r="AI56" i="5" s="1"/>
  <c r="AI85" i="5" s="1"/>
  <c r="AH15" i="5"/>
  <c r="AH56" i="5" s="1"/>
  <c r="AH85" i="5" s="1"/>
  <c r="AG15" i="5"/>
  <c r="AG56" i="5" s="1"/>
  <c r="AG85" i="5" s="1"/>
  <c r="AF15" i="5"/>
  <c r="AE15" i="5"/>
  <c r="AE56" i="5" s="1"/>
  <c r="AE85" i="5" s="1"/>
  <c r="AD15" i="5"/>
  <c r="AD56" i="5" s="1"/>
  <c r="AD85" i="5" s="1"/>
  <c r="AB15" i="5"/>
  <c r="AB56" i="5" s="1"/>
  <c r="AB85" i="5" s="1"/>
  <c r="AA15" i="5"/>
  <c r="AA56" i="5" s="1"/>
  <c r="AA85" i="5" s="1"/>
  <c r="Z15" i="5"/>
  <c r="Z56" i="5" s="1"/>
  <c r="Z85" i="5" s="1"/>
  <c r="Y15" i="5"/>
  <c r="Y56" i="5" s="1"/>
  <c r="Y85" i="5" s="1"/>
  <c r="X15" i="5"/>
  <c r="W15" i="5"/>
  <c r="W56" i="5" s="1"/>
  <c r="W85" i="5" s="1"/>
  <c r="U15" i="5"/>
  <c r="U56" i="5" s="1"/>
  <c r="U85" i="5" s="1"/>
  <c r="T15" i="5"/>
  <c r="T56" i="5" s="1"/>
  <c r="T85" i="5" s="1"/>
  <c r="S15" i="5"/>
  <c r="S56" i="5" s="1"/>
  <c r="S85" i="5" s="1"/>
  <c r="R15" i="5"/>
  <c r="R56" i="5" s="1"/>
  <c r="R85" i="5" s="1"/>
  <c r="Q15" i="5"/>
  <c r="Q56" i="5" s="1"/>
  <c r="Q85" i="5" s="1"/>
  <c r="P15" i="5"/>
  <c r="N15" i="5"/>
  <c r="N56" i="5" s="1"/>
  <c r="N85" i="5" s="1"/>
  <c r="M15" i="5"/>
  <c r="M56" i="5" s="1"/>
  <c r="M85" i="5" s="1"/>
  <c r="L15" i="5"/>
  <c r="K15" i="5"/>
  <c r="K56" i="5" s="1"/>
  <c r="K85" i="5" s="1"/>
  <c r="J15" i="5"/>
  <c r="J56" i="5" s="1"/>
  <c r="J85" i="5" s="1"/>
  <c r="I15" i="5"/>
  <c r="I56" i="5" s="1"/>
  <c r="I85" i="5" s="1"/>
  <c r="G15" i="5"/>
  <c r="G56" i="5" s="1"/>
  <c r="G85" i="5" s="1"/>
  <c r="F15" i="5"/>
  <c r="F56" i="5" s="1"/>
  <c r="F85" i="5" s="1"/>
  <c r="E15" i="5"/>
  <c r="E56" i="5" s="1"/>
  <c r="E85" i="5" s="1"/>
  <c r="D15" i="5"/>
  <c r="C15" i="5"/>
  <c r="C56" i="5" s="1"/>
  <c r="C85" i="5" s="1"/>
  <c r="B15" i="5"/>
  <c r="B56" i="5" s="1"/>
  <c r="B85" i="5" s="1"/>
  <c r="HI14" i="5"/>
  <c r="HH14" i="5"/>
  <c r="HG14" i="5"/>
  <c r="HF14" i="5"/>
  <c r="HE14" i="5"/>
  <c r="HD14" i="5"/>
  <c r="HB14" i="5"/>
  <c r="HA14" i="5"/>
  <c r="GZ14" i="5"/>
  <c r="GY14" i="5"/>
  <c r="GX14" i="5"/>
  <c r="GW14" i="5"/>
  <c r="GU14" i="5"/>
  <c r="GT14" i="5"/>
  <c r="GS14" i="5"/>
  <c r="GR14" i="5"/>
  <c r="GQ14" i="5"/>
  <c r="GP14" i="5"/>
  <c r="GG14" i="5"/>
  <c r="GF14" i="5"/>
  <c r="GE14" i="5"/>
  <c r="GD14" i="5"/>
  <c r="GC14" i="5"/>
  <c r="GB14" i="5"/>
  <c r="FZ14" i="5"/>
  <c r="FY14" i="5"/>
  <c r="FX14" i="5"/>
  <c r="FW14" i="5"/>
  <c r="FV14" i="5"/>
  <c r="FU14" i="5"/>
  <c r="FS14" i="5"/>
  <c r="FR14" i="5"/>
  <c r="FQ14" i="5"/>
  <c r="FP14" i="5"/>
  <c r="FO14" i="5"/>
  <c r="FN14" i="5"/>
  <c r="FE14" i="5"/>
  <c r="FD14" i="5"/>
  <c r="FC14" i="5"/>
  <c r="FB14" i="5"/>
  <c r="FA14" i="5"/>
  <c r="EZ14" i="5"/>
  <c r="EX14" i="5"/>
  <c r="EW14" i="5"/>
  <c r="EV14" i="5"/>
  <c r="EU14" i="5"/>
  <c r="ET14" i="5"/>
  <c r="ES14" i="5"/>
  <c r="EQ14" i="5"/>
  <c r="EP14" i="5"/>
  <c r="EO14" i="5"/>
  <c r="EN14" i="5"/>
  <c r="EM14" i="5"/>
  <c r="EL14" i="5"/>
  <c r="EC14" i="5"/>
  <c r="EB14" i="5"/>
  <c r="EA14" i="5"/>
  <c r="DZ14" i="5"/>
  <c r="DY14" i="5"/>
  <c r="DX14" i="5"/>
  <c r="DV14" i="5"/>
  <c r="DU14" i="5"/>
  <c r="DT14" i="5"/>
  <c r="DS14" i="5"/>
  <c r="DR14" i="5"/>
  <c r="DQ14" i="5"/>
  <c r="DO14" i="5"/>
  <c r="DN14" i="5"/>
  <c r="DM14" i="5"/>
  <c r="DL14" i="5"/>
  <c r="DK14" i="5"/>
  <c r="DJ14" i="5"/>
  <c r="DH14" i="5"/>
  <c r="DG14" i="5"/>
  <c r="DF14" i="5"/>
  <c r="DE14" i="5"/>
  <c r="DD14" i="5"/>
  <c r="DC14" i="5"/>
  <c r="DA14" i="5"/>
  <c r="CZ14" i="5"/>
  <c r="CY14" i="5"/>
  <c r="CX14" i="5"/>
  <c r="CW14" i="5"/>
  <c r="CV14" i="5"/>
  <c r="CT14" i="5"/>
  <c r="CS14" i="5"/>
  <c r="CR14" i="5"/>
  <c r="CQ14" i="5"/>
  <c r="CP14" i="5"/>
  <c r="CO14" i="5"/>
  <c r="CM14" i="5"/>
  <c r="CL14" i="5"/>
  <c r="CK14" i="5"/>
  <c r="CJ14" i="5"/>
  <c r="CI14" i="5"/>
  <c r="CH14" i="5"/>
  <c r="CF14" i="5"/>
  <c r="CE14" i="5"/>
  <c r="CD14" i="5"/>
  <c r="CC14" i="5"/>
  <c r="CB14" i="5"/>
  <c r="CA14" i="5"/>
  <c r="BY14" i="5"/>
  <c r="BX14" i="5"/>
  <c r="BW14" i="5"/>
  <c r="BV14" i="5"/>
  <c r="BU14" i="5"/>
  <c r="BT14" i="5"/>
  <c r="BR14" i="5"/>
  <c r="BQ14" i="5"/>
  <c r="BP14" i="5"/>
  <c r="BO14" i="5"/>
  <c r="BN14" i="5"/>
  <c r="BM14" i="5"/>
  <c r="BK14" i="5"/>
  <c r="BJ14" i="5"/>
  <c r="BI14" i="5"/>
  <c r="BH14" i="5"/>
  <c r="BG14" i="5"/>
  <c r="BF14" i="5"/>
  <c r="BD14" i="5"/>
  <c r="BC14" i="5"/>
  <c r="BB14" i="5"/>
  <c r="BA14" i="5"/>
  <c r="AZ14" i="5"/>
  <c r="AY14" i="5"/>
  <c r="AW14" i="5"/>
  <c r="AV14" i="5"/>
  <c r="AU14" i="5"/>
  <c r="AT14" i="5"/>
  <c r="AS14" i="5"/>
  <c r="AR14" i="5"/>
  <c r="AP14" i="5"/>
  <c r="AO14" i="5"/>
  <c r="AN14" i="5"/>
  <c r="AM14" i="5"/>
  <c r="AL14" i="5"/>
  <c r="AK14" i="5"/>
  <c r="AI14" i="5"/>
  <c r="AH14" i="5"/>
  <c r="AG14" i="5"/>
  <c r="AF14" i="5"/>
  <c r="AE14" i="5"/>
  <c r="AD14" i="5"/>
  <c r="AB14" i="5"/>
  <c r="AA14" i="5"/>
  <c r="Z14" i="5"/>
  <c r="Y14" i="5"/>
  <c r="X14" i="5"/>
  <c r="W14" i="5"/>
  <c r="U14" i="5"/>
  <c r="T14" i="5"/>
  <c r="S14" i="5"/>
  <c r="R14" i="5"/>
  <c r="Q14" i="5"/>
  <c r="P14" i="5"/>
  <c r="N14" i="5"/>
  <c r="M14" i="5"/>
  <c r="L14" i="5"/>
  <c r="K14" i="5"/>
  <c r="J14" i="5"/>
  <c r="I14" i="5"/>
  <c r="G14" i="5"/>
  <c r="F14" i="5"/>
  <c r="E14" i="5"/>
  <c r="D14" i="5"/>
  <c r="C14" i="5"/>
  <c r="B14" i="5"/>
  <c r="HI13" i="5"/>
  <c r="HH13" i="5"/>
  <c r="HG13" i="5"/>
  <c r="HF13" i="5"/>
  <c r="HE13" i="5"/>
  <c r="HD13" i="5"/>
  <c r="HB13" i="5"/>
  <c r="HA13" i="5"/>
  <c r="GZ13" i="5"/>
  <c r="GY13" i="5"/>
  <c r="GX13" i="5"/>
  <c r="GW13" i="5"/>
  <c r="GU13" i="5"/>
  <c r="GT13" i="5"/>
  <c r="GS13" i="5"/>
  <c r="GR13" i="5"/>
  <c r="GQ13" i="5"/>
  <c r="GP13" i="5"/>
  <c r="GG13" i="5"/>
  <c r="GF13" i="5"/>
  <c r="GE13" i="5"/>
  <c r="GD13" i="5"/>
  <c r="GC13" i="5"/>
  <c r="GB13" i="5"/>
  <c r="FZ13" i="5"/>
  <c r="FY13" i="5"/>
  <c r="FX13" i="5"/>
  <c r="FW13" i="5"/>
  <c r="FV13" i="5"/>
  <c r="FU13" i="5"/>
  <c r="FS13" i="5"/>
  <c r="FR13" i="5"/>
  <c r="FQ13" i="5"/>
  <c r="FP13" i="5"/>
  <c r="FO13" i="5"/>
  <c r="FN13" i="5"/>
  <c r="FE13" i="5"/>
  <c r="FD13" i="5"/>
  <c r="FC13" i="5"/>
  <c r="FB13" i="5"/>
  <c r="FA13" i="5"/>
  <c r="EZ13" i="5"/>
  <c r="EX13" i="5"/>
  <c r="EW13" i="5"/>
  <c r="EV13" i="5"/>
  <c r="EU13" i="5"/>
  <c r="ET13" i="5"/>
  <c r="ES13" i="5"/>
  <c r="EQ13" i="5"/>
  <c r="EP13" i="5"/>
  <c r="EO13" i="5"/>
  <c r="EN13" i="5"/>
  <c r="EM13" i="5"/>
  <c r="EL13" i="5"/>
  <c r="EC13" i="5"/>
  <c r="EB13" i="5"/>
  <c r="EA13" i="5"/>
  <c r="DZ13" i="5"/>
  <c r="DY13" i="5"/>
  <c r="DX13" i="5"/>
  <c r="DV13" i="5"/>
  <c r="DU13" i="5"/>
  <c r="DT13" i="5"/>
  <c r="DS13" i="5"/>
  <c r="DR13" i="5"/>
  <c r="DQ13" i="5"/>
  <c r="DO13" i="5"/>
  <c r="DN13" i="5"/>
  <c r="DM13" i="5"/>
  <c r="DL13" i="5"/>
  <c r="DK13" i="5"/>
  <c r="DJ13" i="5"/>
  <c r="DH13" i="5"/>
  <c r="DG13" i="5"/>
  <c r="DF13" i="5"/>
  <c r="DE13" i="5"/>
  <c r="DD13" i="5"/>
  <c r="DC13" i="5"/>
  <c r="DA13" i="5"/>
  <c r="CZ13" i="5"/>
  <c r="CY13" i="5"/>
  <c r="CX13" i="5"/>
  <c r="CW13" i="5"/>
  <c r="CV13" i="5"/>
  <c r="CT13" i="5"/>
  <c r="CS13" i="5"/>
  <c r="CR13" i="5"/>
  <c r="CQ13" i="5"/>
  <c r="CP13" i="5"/>
  <c r="CO13" i="5"/>
  <c r="CM13" i="5"/>
  <c r="CL13" i="5"/>
  <c r="CK13" i="5"/>
  <c r="CJ13" i="5"/>
  <c r="CI13" i="5"/>
  <c r="CH13" i="5"/>
  <c r="CF13" i="5"/>
  <c r="CE13" i="5"/>
  <c r="CD13" i="5"/>
  <c r="CC13" i="5"/>
  <c r="CB13" i="5"/>
  <c r="CA13" i="5"/>
  <c r="BY13" i="5"/>
  <c r="BX13" i="5"/>
  <c r="BW13" i="5"/>
  <c r="BV13" i="5"/>
  <c r="BU13" i="5"/>
  <c r="BT13" i="5"/>
  <c r="BR13" i="5"/>
  <c r="BQ13" i="5"/>
  <c r="BP13" i="5"/>
  <c r="BO13" i="5"/>
  <c r="BN13" i="5"/>
  <c r="BM13" i="5"/>
  <c r="BK13" i="5"/>
  <c r="BJ13" i="5"/>
  <c r="BI13" i="5"/>
  <c r="BH13" i="5"/>
  <c r="BG13" i="5"/>
  <c r="BF13" i="5"/>
  <c r="BD13" i="5"/>
  <c r="BC13" i="5"/>
  <c r="BB13" i="5"/>
  <c r="BA13" i="5"/>
  <c r="AZ13" i="5"/>
  <c r="AY13" i="5"/>
  <c r="AW13" i="5"/>
  <c r="AV13" i="5"/>
  <c r="AU13" i="5"/>
  <c r="AT13" i="5"/>
  <c r="AS13" i="5"/>
  <c r="AR13" i="5"/>
  <c r="AP13" i="5"/>
  <c r="AO13" i="5"/>
  <c r="AN13" i="5"/>
  <c r="AM13" i="5"/>
  <c r="AL13" i="5"/>
  <c r="AK13" i="5"/>
  <c r="AI13" i="5"/>
  <c r="AH13" i="5"/>
  <c r="AG13" i="5"/>
  <c r="AF13" i="5"/>
  <c r="AE13" i="5"/>
  <c r="AD13" i="5"/>
  <c r="AB13" i="5"/>
  <c r="AA13" i="5"/>
  <c r="Z13" i="5"/>
  <c r="Y13" i="5"/>
  <c r="X13" i="5"/>
  <c r="W13" i="5"/>
  <c r="U13" i="5"/>
  <c r="T13" i="5"/>
  <c r="S13" i="5"/>
  <c r="R13" i="5"/>
  <c r="Q13" i="5"/>
  <c r="P13" i="5"/>
  <c r="N13" i="5"/>
  <c r="M13" i="5"/>
  <c r="L13" i="5"/>
  <c r="K13" i="5"/>
  <c r="J13" i="5"/>
  <c r="I13" i="5"/>
  <c r="G13" i="5"/>
  <c r="F13" i="5"/>
  <c r="E13" i="5"/>
  <c r="D13" i="5"/>
  <c r="C13" i="5"/>
  <c r="B13" i="5"/>
  <c r="HI12" i="5"/>
  <c r="HH12" i="5"/>
  <c r="HG12" i="5"/>
  <c r="HF12" i="5"/>
  <c r="HE12" i="5"/>
  <c r="HD12" i="5"/>
  <c r="HB12" i="5"/>
  <c r="HA12" i="5"/>
  <c r="GZ12" i="5"/>
  <c r="GY12" i="5"/>
  <c r="GX12" i="5"/>
  <c r="GW12" i="5"/>
  <c r="GU12" i="5"/>
  <c r="GT12" i="5"/>
  <c r="GS12" i="5"/>
  <c r="GR12" i="5"/>
  <c r="GQ12" i="5"/>
  <c r="GP12" i="5"/>
  <c r="GG12" i="5"/>
  <c r="GF12" i="5"/>
  <c r="GE12" i="5"/>
  <c r="GD12" i="5"/>
  <c r="GC12" i="5"/>
  <c r="GB12" i="5"/>
  <c r="FZ12" i="5"/>
  <c r="FY12" i="5"/>
  <c r="FX12" i="5"/>
  <c r="FW12" i="5"/>
  <c r="FV12" i="5"/>
  <c r="FU12" i="5"/>
  <c r="FS12" i="5"/>
  <c r="FR12" i="5"/>
  <c r="FQ12" i="5"/>
  <c r="FP12" i="5"/>
  <c r="FO12" i="5"/>
  <c r="FN12" i="5"/>
  <c r="FE12" i="5"/>
  <c r="FD12" i="5"/>
  <c r="FC12" i="5"/>
  <c r="FB12" i="5"/>
  <c r="FA12" i="5"/>
  <c r="EZ12" i="5"/>
  <c r="EX12" i="5"/>
  <c r="EW12" i="5"/>
  <c r="EV12" i="5"/>
  <c r="EU12" i="5"/>
  <c r="ET12" i="5"/>
  <c r="ES12" i="5"/>
  <c r="EQ12" i="5"/>
  <c r="EP12" i="5"/>
  <c r="EO12" i="5"/>
  <c r="EN12" i="5"/>
  <c r="EM12" i="5"/>
  <c r="EL12" i="5"/>
  <c r="EC12" i="5"/>
  <c r="EB12" i="5"/>
  <c r="EA12" i="5"/>
  <c r="DZ12" i="5"/>
  <c r="DY12" i="5"/>
  <c r="DX12" i="5"/>
  <c r="DV12" i="5"/>
  <c r="DU12" i="5"/>
  <c r="DT12" i="5"/>
  <c r="DS12" i="5"/>
  <c r="DR12" i="5"/>
  <c r="DQ12" i="5"/>
  <c r="DO12" i="5"/>
  <c r="DN12" i="5"/>
  <c r="DM12" i="5"/>
  <c r="DL12" i="5"/>
  <c r="DK12" i="5"/>
  <c r="DJ12" i="5"/>
  <c r="DH12" i="5"/>
  <c r="DG12" i="5"/>
  <c r="DF12" i="5"/>
  <c r="DE12" i="5"/>
  <c r="DD12" i="5"/>
  <c r="DC12" i="5"/>
  <c r="DA12" i="5"/>
  <c r="CZ12" i="5"/>
  <c r="CY12" i="5"/>
  <c r="CX12" i="5"/>
  <c r="CW12" i="5"/>
  <c r="CV12" i="5"/>
  <c r="CT12" i="5"/>
  <c r="CS12" i="5"/>
  <c r="CR12" i="5"/>
  <c r="CQ12" i="5"/>
  <c r="CP12" i="5"/>
  <c r="CO12" i="5"/>
  <c r="CM12" i="5"/>
  <c r="CL12" i="5"/>
  <c r="CK12" i="5"/>
  <c r="CJ12" i="5"/>
  <c r="CI12" i="5"/>
  <c r="CH12" i="5"/>
  <c r="CF12" i="5"/>
  <c r="CE12" i="5"/>
  <c r="CD12" i="5"/>
  <c r="CC12" i="5"/>
  <c r="CB12" i="5"/>
  <c r="CA12" i="5"/>
  <c r="BY12" i="5"/>
  <c r="BX12" i="5"/>
  <c r="BW12" i="5"/>
  <c r="BV12" i="5"/>
  <c r="BU12" i="5"/>
  <c r="BT12" i="5"/>
  <c r="BR12" i="5"/>
  <c r="BQ12" i="5"/>
  <c r="BP12" i="5"/>
  <c r="BO12" i="5"/>
  <c r="BN12" i="5"/>
  <c r="BM12" i="5"/>
  <c r="BK12" i="5"/>
  <c r="BJ12" i="5"/>
  <c r="BI12" i="5"/>
  <c r="BH12" i="5"/>
  <c r="BG12" i="5"/>
  <c r="BF12" i="5"/>
  <c r="BD12" i="5"/>
  <c r="BC12" i="5"/>
  <c r="BB12" i="5"/>
  <c r="BA12" i="5"/>
  <c r="AZ12" i="5"/>
  <c r="AY12" i="5"/>
  <c r="AW12" i="5"/>
  <c r="AV12" i="5"/>
  <c r="AU12" i="5"/>
  <c r="AT12" i="5"/>
  <c r="AS12" i="5"/>
  <c r="AR12" i="5"/>
  <c r="AP12" i="5"/>
  <c r="AO12" i="5"/>
  <c r="AN12" i="5"/>
  <c r="AM12" i="5"/>
  <c r="AL12" i="5"/>
  <c r="AK12" i="5"/>
  <c r="AI12" i="5"/>
  <c r="AH12" i="5"/>
  <c r="AG12" i="5"/>
  <c r="AF12" i="5"/>
  <c r="AE12" i="5"/>
  <c r="AD12" i="5"/>
  <c r="AB12" i="5"/>
  <c r="AA12" i="5"/>
  <c r="Z12" i="5"/>
  <c r="Y12" i="5"/>
  <c r="X12" i="5"/>
  <c r="W12" i="5"/>
  <c r="U12" i="5"/>
  <c r="T12" i="5"/>
  <c r="S12" i="5"/>
  <c r="R12" i="5"/>
  <c r="Q12" i="5"/>
  <c r="P12" i="5"/>
  <c r="N12" i="5"/>
  <c r="M12" i="5"/>
  <c r="L12" i="5"/>
  <c r="K12" i="5"/>
  <c r="J12" i="5"/>
  <c r="I12" i="5"/>
  <c r="G12" i="5"/>
  <c r="F12" i="5"/>
  <c r="E12" i="5"/>
  <c r="D12" i="5"/>
  <c r="C12" i="5"/>
  <c r="B12" i="5"/>
  <c r="HI11" i="5"/>
  <c r="HH11" i="5"/>
  <c r="HH55" i="5" s="1"/>
  <c r="HH84" i="5" s="1"/>
  <c r="HG11" i="5"/>
  <c r="HG55" i="5" s="1"/>
  <c r="HG84" i="5" s="1"/>
  <c r="HF11" i="5"/>
  <c r="HE11" i="5"/>
  <c r="HD11" i="5"/>
  <c r="HD55" i="5" s="1"/>
  <c r="HD84" i="5" s="1"/>
  <c r="HB11" i="5"/>
  <c r="HB55" i="5" s="1"/>
  <c r="HB84" i="5" s="1"/>
  <c r="HA11" i="5"/>
  <c r="GZ11" i="5"/>
  <c r="GZ55" i="5" s="1"/>
  <c r="GZ84" i="5" s="1"/>
  <c r="GY11" i="5"/>
  <c r="GY55" i="5" s="1"/>
  <c r="GY84" i="5" s="1"/>
  <c r="GX11" i="5"/>
  <c r="GX55" i="5" s="1"/>
  <c r="GX84" i="5" s="1"/>
  <c r="GW11" i="5"/>
  <c r="GU11" i="5"/>
  <c r="GU55" i="5" s="1"/>
  <c r="GU84" i="5" s="1"/>
  <c r="GT11" i="5"/>
  <c r="GT55" i="5" s="1"/>
  <c r="GT84" i="5" s="1"/>
  <c r="GS11" i="5"/>
  <c r="GR11" i="5"/>
  <c r="GR55" i="5" s="1"/>
  <c r="GR84" i="5" s="1"/>
  <c r="GQ11" i="5"/>
  <c r="GQ55" i="5" s="1"/>
  <c r="GQ84" i="5" s="1"/>
  <c r="GP11" i="5"/>
  <c r="GP55" i="5" s="1"/>
  <c r="GP84" i="5" s="1"/>
  <c r="GG11" i="5"/>
  <c r="GG55" i="5" s="1"/>
  <c r="GG84" i="5" s="1"/>
  <c r="GF11" i="5"/>
  <c r="GF55" i="5" s="1"/>
  <c r="GF84" i="5" s="1"/>
  <c r="GE11" i="5"/>
  <c r="GE55" i="5" s="1"/>
  <c r="GE84" i="5" s="1"/>
  <c r="GD11" i="5"/>
  <c r="GC11" i="5"/>
  <c r="GC55" i="5" s="1"/>
  <c r="GC84" i="5" s="1"/>
  <c r="GB11" i="5"/>
  <c r="GB55" i="5" s="1"/>
  <c r="GB84" i="5" s="1"/>
  <c r="FZ11" i="5"/>
  <c r="FZ55" i="5" s="1"/>
  <c r="FZ84" i="5" s="1"/>
  <c r="FY11" i="5"/>
  <c r="FY55" i="5" s="1"/>
  <c r="FY84" i="5" s="1"/>
  <c r="FX11" i="5"/>
  <c r="FX55" i="5" s="1"/>
  <c r="FX84" i="5" s="1"/>
  <c r="FW11" i="5"/>
  <c r="FW55" i="5" s="1"/>
  <c r="FW84" i="5" s="1"/>
  <c r="FV11" i="5"/>
  <c r="FU11" i="5"/>
  <c r="FU55" i="5" s="1"/>
  <c r="FU84" i="5" s="1"/>
  <c r="FS11" i="5"/>
  <c r="FS55" i="5" s="1"/>
  <c r="FR11" i="5"/>
  <c r="FQ11" i="5"/>
  <c r="FQ55" i="5" s="1"/>
  <c r="FQ84" i="5" s="1"/>
  <c r="FP11" i="5"/>
  <c r="FP55" i="5" s="1"/>
  <c r="FP84" i="5" s="1"/>
  <c r="FO11" i="5"/>
  <c r="FO55" i="5" s="1"/>
  <c r="FO84" i="5" s="1"/>
  <c r="FN11" i="5"/>
  <c r="FE11" i="5"/>
  <c r="FE55" i="5" s="1"/>
  <c r="FE84" i="5" s="1"/>
  <c r="FD11" i="5"/>
  <c r="FD55" i="5" s="1"/>
  <c r="FD84" i="5" s="1"/>
  <c r="FC11" i="5"/>
  <c r="FB11" i="5"/>
  <c r="FB55" i="5" s="1"/>
  <c r="FB84" i="5" s="1"/>
  <c r="FA11" i="5"/>
  <c r="FA55" i="5" s="1"/>
  <c r="FA84" i="5" s="1"/>
  <c r="EZ11" i="5"/>
  <c r="EZ55" i="5" s="1"/>
  <c r="EZ84" i="5" s="1"/>
  <c r="EX11" i="5"/>
  <c r="EX55" i="5" s="1"/>
  <c r="EX84" i="5" s="1"/>
  <c r="EW11" i="5"/>
  <c r="EW55" i="5" s="1"/>
  <c r="EW84" i="5" s="1"/>
  <c r="EV11" i="5"/>
  <c r="EV55" i="5" s="1"/>
  <c r="EV84" i="5" s="1"/>
  <c r="EU11" i="5"/>
  <c r="ET11" i="5"/>
  <c r="ET55" i="5" s="1"/>
  <c r="ET84" i="5" s="1"/>
  <c r="ES11" i="5"/>
  <c r="ES55" i="5" s="1"/>
  <c r="ES84" i="5" s="1"/>
  <c r="EQ11" i="5"/>
  <c r="EP11" i="5"/>
  <c r="EP55" i="5" s="1"/>
  <c r="EP84" i="5" s="1"/>
  <c r="EO11" i="5"/>
  <c r="EO55" i="5" s="1"/>
  <c r="EO84" i="5" s="1"/>
  <c r="EN11" i="5"/>
  <c r="EN55" i="5" s="1"/>
  <c r="EN84" i="5" s="1"/>
  <c r="EM11" i="5"/>
  <c r="EL11" i="5"/>
  <c r="EL55" i="5" s="1"/>
  <c r="EL84" i="5" s="1"/>
  <c r="EC11" i="5"/>
  <c r="EC55" i="5" s="1"/>
  <c r="EC84" i="5" s="1"/>
  <c r="EB11" i="5"/>
  <c r="EB55" i="5" s="1"/>
  <c r="EB84" i="5" s="1"/>
  <c r="EA11" i="5"/>
  <c r="EA55" i="5" s="1"/>
  <c r="EA84" i="5" s="1"/>
  <c r="DZ11" i="5"/>
  <c r="DZ55" i="5" s="1"/>
  <c r="DZ84" i="5" s="1"/>
  <c r="DY11" i="5"/>
  <c r="DY55" i="5" s="1"/>
  <c r="DY84" i="5" s="1"/>
  <c r="DX11" i="5"/>
  <c r="DV11" i="5"/>
  <c r="DV55" i="5" s="1"/>
  <c r="DV84" i="5" s="1"/>
  <c r="DU11" i="5"/>
  <c r="DU55" i="5" s="1"/>
  <c r="DU84" i="5" s="1"/>
  <c r="DT11" i="5"/>
  <c r="DS11" i="5"/>
  <c r="DS55" i="5" s="1"/>
  <c r="DS84" i="5" s="1"/>
  <c r="DR11" i="5"/>
  <c r="DR55" i="5" s="1"/>
  <c r="DR84" i="5" s="1"/>
  <c r="DQ11" i="5"/>
  <c r="DQ55" i="5" s="1"/>
  <c r="DQ84" i="5" s="1"/>
  <c r="DO11" i="5"/>
  <c r="DO55" i="5" s="1"/>
  <c r="DO84" i="5" s="1"/>
  <c r="DN11" i="5"/>
  <c r="DN55" i="5" s="1"/>
  <c r="DN84" i="5" s="1"/>
  <c r="DM11" i="5"/>
  <c r="DM55" i="5" s="1"/>
  <c r="DM84" i="5" s="1"/>
  <c r="DL11" i="5"/>
  <c r="DK11" i="5"/>
  <c r="DK55" i="5" s="1"/>
  <c r="DK84" i="5" s="1"/>
  <c r="DJ11" i="5"/>
  <c r="DJ55" i="5" s="1"/>
  <c r="DJ84" i="5" s="1"/>
  <c r="DH11" i="5"/>
  <c r="DG11" i="5"/>
  <c r="DG55" i="5" s="1"/>
  <c r="DG84" i="5" s="1"/>
  <c r="DF11" i="5"/>
  <c r="DF55" i="5" s="1"/>
  <c r="DF84" i="5" s="1"/>
  <c r="DE11" i="5"/>
  <c r="DE55" i="5" s="1"/>
  <c r="DE84" i="5" s="1"/>
  <c r="DD11" i="5"/>
  <c r="DC11" i="5"/>
  <c r="DC55" i="5" s="1"/>
  <c r="DC84" i="5" s="1"/>
  <c r="DA11" i="5"/>
  <c r="DA55" i="5" s="1"/>
  <c r="DA84" i="5" s="1"/>
  <c r="CZ11" i="5"/>
  <c r="CY11" i="5"/>
  <c r="CY55" i="5" s="1"/>
  <c r="CY84" i="5" s="1"/>
  <c r="CX11" i="5"/>
  <c r="CX55" i="5" s="1"/>
  <c r="CX84" i="5" s="1"/>
  <c r="CW11" i="5"/>
  <c r="CW55" i="5" s="1"/>
  <c r="CW84" i="5" s="1"/>
  <c r="CV11" i="5"/>
  <c r="CT11" i="5"/>
  <c r="CT55" i="5" s="1"/>
  <c r="CT84" i="5" s="1"/>
  <c r="CS11" i="5"/>
  <c r="CS55" i="5" s="1"/>
  <c r="CS84" i="5" s="1"/>
  <c r="CR11" i="5"/>
  <c r="CR55" i="5" s="1"/>
  <c r="CR84" i="5" s="1"/>
  <c r="CQ11" i="5"/>
  <c r="CQ55" i="5" s="1"/>
  <c r="CQ84" i="5" s="1"/>
  <c r="CP11" i="5"/>
  <c r="CP55" i="5" s="1"/>
  <c r="CP84" i="5" s="1"/>
  <c r="CO11" i="5"/>
  <c r="CO55" i="5" s="1"/>
  <c r="CO84" i="5" s="1"/>
  <c r="CM11" i="5"/>
  <c r="CM55" i="5" s="1"/>
  <c r="CL11" i="5"/>
  <c r="CK11" i="5"/>
  <c r="CK55" i="5" s="1"/>
  <c r="CJ11" i="5"/>
  <c r="CJ55" i="5" s="1"/>
  <c r="CI11" i="5"/>
  <c r="CI55" i="5" s="1"/>
  <c r="CH11" i="5"/>
  <c r="CH55" i="5" s="1"/>
  <c r="CF11" i="5"/>
  <c r="CE11" i="5"/>
  <c r="CE55" i="5" s="1"/>
  <c r="CE84" i="5" s="1"/>
  <c r="CD11" i="5"/>
  <c r="CD55" i="5" s="1"/>
  <c r="CD84" i="5" s="1"/>
  <c r="CC11" i="5"/>
  <c r="CC55" i="5" s="1"/>
  <c r="CC84" i="5" s="1"/>
  <c r="CB11" i="5"/>
  <c r="CA11" i="5"/>
  <c r="CA55" i="5" s="1"/>
  <c r="CA84" i="5" s="1"/>
  <c r="BY11" i="5"/>
  <c r="BY55" i="5" s="1"/>
  <c r="BY84" i="5" s="1"/>
  <c r="BX11" i="5"/>
  <c r="BW11" i="5"/>
  <c r="BW55" i="5" s="1"/>
  <c r="BW84" i="5" s="1"/>
  <c r="BV11" i="5"/>
  <c r="BV55" i="5" s="1"/>
  <c r="BV84" i="5" s="1"/>
  <c r="BU11" i="5"/>
  <c r="BU55" i="5" s="1"/>
  <c r="BU84" i="5" s="1"/>
  <c r="BT11" i="5"/>
  <c r="BR11" i="5"/>
  <c r="BR55" i="5" s="1"/>
  <c r="BR84" i="5" s="1"/>
  <c r="BQ11" i="5"/>
  <c r="BQ55" i="5" s="1"/>
  <c r="BQ84" i="5" s="1"/>
  <c r="BP11" i="5"/>
  <c r="BO11" i="5"/>
  <c r="BO55" i="5" s="1"/>
  <c r="BO84" i="5" s="1"/>
  <c r="BN11" i="5"/>
  <c r="BN55" i="5" s="1"/>
  <c r="BN84" i="5" s="1"/>
  <c r="BM11" i="5"/>
  <c r="BM55" i="5" s="1"/>
  <c r="BM84" i="5" s="1"/>
  <c r="BK11" i="5"/>
  <c r="BK55" i="5" s="1"/>
  <c r="BJ11" i="5"/>
  <c r="BJ55" i="5" s="1"/>
  <c r="BI11" i="5"/>
  <c r="BI55" i="5" s="1"/>
  <c r="BH11" i="5"/>
  <c r="BG11" i="5"/>
  <c r="BG55" i="5" s="1"/>
  <c r="BF11" i="5"/>
  <c r="BF55" i="5" s="1"/>
  <c r="BD11" i="5"/>
  <c r="BD55" i="5" s="1"/>
  <c r="BD84" i="5" s="1"/>
  <c r="BC11" i="5"/>
  <c r="BB11" i="5"/>
  <c r="BB55" i="5" s="1"/>
  <c r="BB84" i="5" s="1"/>
  <c r="BA11" i="5"/>
  <c r="BA55" i="5" s="1"/>
  <c r="BA84" i="5" s="1"/>
  <c r="AZ11" i="5"/>
  <c r="AY11" i="5"/>
  <c r="AW11" i="5"/>
  <c r="AW55" i="5" s="1"/>
  <c r="AW84" i="5" s="1"/>
  <c r="AV11" i="5"/>
  <c r="AU11" i="5"/>
  <c r="AU55" i="5" s="1"/>
  <c r="AU84" i="5" s="1"/>
  <c r="AT11" i="5"/>
  <c r="AT55" i="5" s="1"/>
  <c r="AT84" i="5" s="1"/>
  <c r="AS11" i="5"/>
  <c r="AS55" i="5" s="1"/>
  <c r="AS84" i="5" s="1"/>
  <c r="AR11" i="5"/>
  <c r="AP11" i="5"/>
  <c r="AP55" i="5" s="1"/>
  <c r="AP84" i="5" s="1"/>
  <c r="AO11" i="5"/>
  <c r="AO55" i="5" s="1"/>
  <c r="AO84" i="5" s="1"/>
  <c r="AN11" i="5"/>
  <c r="AM11" i="5"/>
  <c r="AM55" i="5" s="1"/>
  <c r="AM84" i="5" s="1"/>
  <c r="AL11" i="5"/>
  <c r="AL55" i="5" s="1"/>
  <c r="AL84" i="5" s="1"/>
  <c r="AK11" i="5"/>
  <c r="AK55" i="5" s="1"/>
  <c r="AK84" i="5" s="1"/>
  <c r="AI11" i="5"/>
  <c r="AI55" i="5" s="1"/>
  <c r="AH11" i="5"/>
  <c r="AH55" i="5" s="1"/>
  <c r="AG11" i="5"/>
  <c r="AG55" i="5" s="1"/>
  <c r="AF11" i="5"/>
  <c r="AE11" i="5"/>
  <c r="AE55" i="5" s="1"/>
  <c r="AD11" i="5"/>
  <c r="AD55" i="5" s="1"/>
  <c r="AB11" i="5"/>
  <c r="AA11" i="5"/>
  <c r="AA55" i="5" s="1"/>
  <c r="Z11" i="5"/>
  <c r="Z55" i="5" s="1"/>
  <c r="Y11" i="5"/>
  <c r="Y55" i="5" s="1"/>
  <c r="X11" i="5"/>
  <c r="W11" i="5"/>
  <c r="W55" i="5" s="1"/>
  <c r="U11" i="5"/>
  <c r="U55" i="5" s="1"/>
  <c r="T11" i="5"/>
  <c r="S11" i="5"/>
  <c r="S55" i="5" s="1"/>
  <c r="R11" i="5"/>
  <c r="R55" i="5" s="1"/>
  <c r="Q11" i="5"/>
  <c r="Q55" i="5" s="1"/>
  <c r="P11" i="5"/>
  <c r="N11" i="5"/>
  <c r="N55" i="5" s="1"/>
  <c r="M11" i="5"/>
  <c r="M55" i="5" s="1"/>
  <c r="L11" i="5"/>
  <c r="K11" i="5"/>
  <c r="K55" i="5" s="1"/>
  <c r="J11" i="5"/>
  <c r="J55" i="5" s="1"/>
  <c r="I11" i="5"/>
  <c r="I55" i="5" s="1"/>
  <c r="G11" i="5"/>
  <c r="G55" i="5" s="1"/>
  <c r="F11" i="5"/>
  <c r="F55" i="5" s="1"/>
  <c r="E11" i="5"/>
  <c r="E55" i="5" s="1"/>
  <c r="D11" i="5"/>
  <c r="C11" i="5"/>
  <c r="C55" i="5" s="1"/>
  <c r="B11" i="5"/>
  <c r="B55" i="5" s="1"/>
  <c r="HI10" i="5"/>
  <c r="HH10" i="5"/>
  <c r="HG10" i="5"/>
  <c r="HF10" i="5"/>
  <c r="HE10" i="5"/>
  <c r="HD10" i="5"/>
  <c r="HB10" i="5"/>
  <c r="HA10" i="5"/>
  <c r="GZ10" i="5"/>
  <c r="GY10" i="5"/>
  <c r="GX10" i="5"/>
  <c r="GW10" i="5"/>
  <c r="GU10" i="5"/>
  <c r="GT10" i="5"/>
  <c r="GS10" i="5"/>
  <c r="GR10" i="5"/>
  <c r="GQ10" i="5"/>
  <c r="GP10" i="5"/>
  <c r="GG10" i="5"/>
  <c r="GF10" i="5"/>
  <c r="GE10" i="5"/>
  <c r="GD10" i="5"/>
  <c r="GC10" i="5"/>
  <c r="GB10" i="5"/>
  <c r="FZ10" i="5"/>
  <c r="FY10" i="5"/>
  <c r="FX10" i="5"/>
  <c r="FW10" i="5"/>
  <c r="FV10" i="5"/>
  <c r="FU10" i="5"/>
  <c r="FS10" i="5"/>
  <c r="FR10" i="5"/>
  <c r="FQ10" i="5"/>
  <c r="FP10" i="5"/>
  <c r="FO10" i="5"/>
  <c r="FN10" i="5"/>
  <c r="FE10" i="5"/>
  <c r="FD10" i="5"/>
  <c r="FC10" i="5"/>
  <c r="FB10" i="5"/>
  <c r="FA10" i="5"/>
  <c r="EZ10" i="5"/>
  <c r="EX10" i="5"/>
  <c r="EW10" i="5"/>
  <c r="EV10" i="5"/>
  <c r="EU10" i="5"/>
  <c r="ET10" i="5"/>
  <c r="ES10" i="5"/>
  <c r="EQ10" i="5"/>
  <c r="EP10" i="5"/>
  <c r="EO10" i="5"/>
  <c r="EN10" i="5"/>
  <c r="EM10" i="5"/>
  <c r="EL10" i="5"/>
  <c r="EC10" i="5"/>
  <c r="EB10" i="5"/>
  <c r="EA10" i="5"/>
  <c r="DZ10" i="5"/>
  <c r="DY10" i="5"/>
  <c r="DX10" i="5"/>
  <c r="DV10" i="5"/>
  <c r="DU10" i="5"/>
  <c r="DT10" i="5"/>
  <c r="DS10" i="5"/>
  <c r="DR10" i="5"/>
  <c r="DQ10" i="5"/>
  <c r="DO10" i="5"/>
  <c r="DN10" i="5"/>
  <c r="DM10" i="5"/>
  <c r="DL10" i="5"/>
  <c r="DK10" i="5"/>
  <c r="DJ10" i="5"/>
  <c r="DH10" i="5"/>
  <c r="DG10" i="5"/>
  <c r="DF10" i="5"/>
  <c r="DE10" i="5"/>
  <c r="DD10" i="5"/>
  <c r="DC10" i="5"/>
  <c r="DA10" i="5"/>
  <c r="CZ10" i="5"/>
  <c r="CY10" i="5"/>
  <c r="CX10" i="5"/>
  <c r="CW10" i="5"/>
  <c r="CV10" i="5"/>
  <c r="CT10" i="5"/>
  <c r="CS10" i="5"/>
  <c r="CR10" i="5"/>
  <c r="CQ10" i="5"/>
  <c r="CP10" i="5"/>
  <c r="CO10" i="5"/>
  <c r="CM10" i="5"/>
  <c r="CL10" i="5"/>
  <c r="CK10" i="5"/>
  <c r="CJ10" i="5"/>
  <c r="CI10" i="5"/>
  <c r="CH10" i="5"/>
  <c r="CF10" i="5"/>
  <c r="CE10" i="5"/>
  <c r="CD10" i="5"/>
  <c r="CC10" i="5"/>
  <c r="CB10" i="5"/>
  <c r="CA10" i="5"/>
  <c r="BY10" i="5"/>
  <c r="BX10" i="5"/>
  <c r="BW10" i="5"/>
  <c r="BV10" i="5"/>
  <c r="BU10" i="5"/>
  <c r="BT10" i="5"/>
  <c r="BR10" i="5"/>
  <c r="BQ10" i="5"/>
  <c r="BP10" i="5"/>
  <c r="BO10" i="5"/>
  <c r="BN10" i="5"/>
  <c r="BM10" i="5"/>
  <c r="BK10" i="5"/>
  <c r="BJ10" i="5"/>
  <c r="BI10" i="5"/>
  <c r="BH10" i="5"/>
  <c r="BG10" i="5"/>
  <c r="BF10" i="5"/>
  <c r="BD10" i="5"/>
  <c r="BC10" i="5"/>
  <c r="BB10" i="5"/>
  <c r="BA10" i="5"/>
  <c r="AZ10" i="5"/>
  <c r="AY10" i="5"/>
  <c r="AW10" i="5"/>
  <c r="AV10" i="5"/>
  <c r="AU10" i="5"/>
  <c r="AT10" i="5"/>
  <c r="AS10" i="5"/>
  <c r="AR10" i="5"/>
  <c r="AP10" i="5"/>
  <c r="AO10" i="5"/>
  <c r="AN10" i="5"/>
  <c r="AM10" i="5"/>
  <c r="AL10" i="5"/>
  <c r="AK10" i="5"/>
  <c r="AI10" i="5"/>
  <c r="AH10" i="5"/>
  <c r="AG10" i="5"/>
  <c r="AF10" i="5"/>
  <c r="AE10" i="5"/>
  <c r="AD10" i="5"/>
  <c r="AB10" i="5"/>
  <c r="AA10" i="5"/>
  <c r="Z10" i="5"/>
  <c r="Y10" i="5"/>
  <c r="X10" i="5"/>
  <c r="W10" i="5"/>
  <c r="U10" i="5"/>
  <c r="T10" i="5"/>
  <c r="S10" i="5"/>
  <c r="R10" i="5"/>
  <c r="Q10" i="5"/>
  <c r="P10" i="5"/>
  <c r="N10" i="5"/>
  <c r="M10" i="5"/>
  <c r="L10" i="5"/>
  <c r="K10" i="5"/>
  <c r="J10" i="5"/>
  <c r="I10" i="5"/>
  <c r="G10" i="5"/>
  <c r="F10" i="5"/>
  <c r="E10" i="5"/>
  <c r="D10" i="5"/>
  <c r="C10" i="5"/>
  <c r="B10" i="5"/>
  <c r="HI9" i="5"/>
  <c r="HH9" i="5"/>
  <c r="HG9" i="5"/>
  <c r="HF9" i="5"/>
  <c r="HE9" i="5"/>
  <c r="HD9" i="5"/>
  <c r="HB9" i="5"/>
  <c r="HA9" i="5"/>
  <c r="GZ9" i="5"/>
  <c r="GY9" i="5"/>
  <c r="GX9" i="5"/>
  <c r="GW9" i="5"/>
  <c r="GU9" i="5"/>
  <c r="GT9" i="5"/>
  <c r="GS9" i="5"/>
  <c r="GR9" i="5"/>
  <c r="GQ9" i="5"/>
  <c r="GP9" i="5"/>
  <c r="GG9" i="5"/>
  <c r="GF9" i="5"/>
  <c r="GE9" i="5"/>
  <c r="GD9" i="5"/>
  <c r="GC9" i="5"/>
  <c r="GB9" i="5"/>
  <c r="FZ9" i="5"/>
  <c r="FY9" i="5"/>
  <c r="FX9" i="5"/>
  <c r="FW9" i="5"/>
  <c r="FV9" i="5"/>
  <c r="FU9" i="5"/>
  <c r="FS9" i="5"/>
  <c r="FR9" i="5"/>
  <c r="FQ9" i="5"/>
  <c r="FP9" i="5"/>
  <c r="FO9" i="5"/>
  <c r="FN9" i="5"/>
  <c r="FE9" i="5"/>
  <c r="FD9" i="5"/>
  <c r="FC9" i="5"/>
  <c r="FB9" i="5"/>
  <c r="FA9" i="5"/>
  <c r="EZ9" i="5"/>
  <c r="EX9" i="5"/>
  <c r="EW9" i="5"/>
  <c r="EV9" i="5"/>
  <c r="EU9" i="5"/>
  <c r="ET9" i="5"/>
  <c r="ES9" i="5"/>
  <c r="EQ9" i="5"/>
  <c r="EP9" i="5"/>
  <c r="EO9" i="5"/>
  <c r="EN9" i="5"/>
  <c r="EM9" i="5"/>
  <c r="EL9" i="5"/>
  <c r="EC9" i="5"/>
  <c r="EB9" i="5"/>
  <c r="EA9" i="5"/>
  <c r="DZ9" i="5"/>
  <c r="DY9" i="5"/>
  <c r="DX9" i="5"/>
  <c r="DV9" i="5"/>
  <c r="DU9" i="5"/>
  <c r="DT9" i="5"/>
  <c r="DS9" i="5"/>
  <c r="DR9" i="5"/>
  <c r="DQ9" i="5"/>
  <c r="DO9" i="5"/>
  <c r="DN9" i="5"/>
  <c r="DM9" i="5"/>
  <c r="DL9" i="5"/>
  <c r="DK9" i="5"/>
  <c r="DJ9" i="5"/>
  <c r="DH9" i="5"/>
  <c r="DG9" i="5"/>
  <c r="DF9" i="5"/>
  <c r="DE9" i="5"/>
  <c r="DD9" i="5"/>
  <c r="DC9" i="5"/>
  <c r="DA9" i="5"/>
  <c r="CZ9" i="5"/>
  <c r="CY9" i="5"/>
  <c r="CX9" i="5"/>
  <c r="CW9" i="5"/>
  <c r="CV9" i="5"/>
  <c r="CT9" i="5"/>
  <c r="CS9" i="5"/>
  <c r="CR9" i="5"/>
  <c r="CQ9" i="5"/>
  <c r="CP9" i="5"/>
  <c r="CO9" i="5"/>
  <c r="CM9" i="5"/>
  <c r="CL9" i="5"/>
  <c r="CK9" i="5"/>
  <c r="CJ9" i="5"/>
  <c r="CI9" i="5"/>
  <c r="CH9" i="5"/>
  <c r="CF9" i="5"/>
  <c r="CE9" i="5"/>
  <c r="CD9" i="5"/>
  <c r="CC9" i="5"/>
  <c r="CB9" i="5"/>
  <c r="CA9" i="5"/>
  <c r="BY9" i="5"/>
  <c r="BX9" i="5"/>
  <c r="BW9" i="5"/>
  <c r="BV9" i="5"/>
  <c r="BU9" i="5"/>
  <c r="BT9" i="5"/>
  <c r="BR9" i="5"/>
  <c r="BQ9" i="5"/>
  <c r="BP9" i="5"/>
  <c r="BO9" i="5"/>
  <c r="BN9" i="5"/>
  <c r="BM9" i="5"/>
  <c r="BK9" i="5"/>
  <c r="BJ9" i="5"/>
  <c r="BI9" i="5"/>
  <c r="BH9" i="5"/>
  <c r="BG9" i="5"/>
  <c r="BF9" i="5"/>
  <c r="BD9" i="5"/>
  <c r="BC9" i="5"/>
  <c r="BB9" i="5"/>
  <c r="BA9" i="5"/>
  <c r="AZ9" i="5"/>
  <c r="AY9" i="5"/>
  <c r="AW9" i="5"/>
  <c r="AV9" i="5"/>
  <c r="AU9" i="5"/>
  <c r="AT9" i="5"/>
  <c r="AS9" i="5"/>
  <c r="AR9" i="5"/>
  <c r="AP9" i="5"/>
  <c r="AO9" i="5"/>
  <c r="AN9" i="5"/>
  <c r="AM9" i="5"/>
  <c r="AL9" i="5"/>
  <c r="AK9" i="5"/>
  <c r="AI9" i="5"/>
  <c r="AH9" i="5"/>
  <c r="AG9" i="5"/>
  <c r="AF9" i="5"/>
  <c r="AE9" i="5"/>
  <c r="AD9" i="5"/>
  <c r="AB9" i="5"/>
  <c r="AA9" i="5"/>
  <c r="Z9" i="5"/>
  <c r="Y9" i="5"/>
  <c r="X9" i="5"/>
  <c r="W9" i="5"/>
  <c r="U9" i="5"/>
  <c r="T9" i="5"/>
  <c r="S9" i="5"/>
  <c r="R9" i="5"/>
  <c r="Q9" i="5"/>
  <c r="P9" i="5"/>
  <c r="N9" i="5"/>
  <c r="M9" i="5"/>
  <c r="L9" i="5"/>
  <c r="K9" i="5"/>
  <c r="J9" i="5"/>
  <c r="I9" i="5"/>
  <c r="G9" i="5"/>
  <c r="F9" i="5"/>
  <c r="E9" i="5"/>
  <c r="D9" i="5"/>
  <c r="C9" i="5"/>
  <c r="B9" i="5"/>
  <c r="HI8" i="5"/>
  <c r="HH8" i="5"/>
  <c r="HG8" i="5"/>
  <c r="HF8" i="5"/>
  <c r="HE8" i="5"/>
  <c r="HD8" i="5"/>
  <c r="HB8" i="5"/>
  <c r="HA8" i="5"/>
  <c r="GZ8" i="5"/>
  <c r="GY8" i="5"/>
  <c r="GX8" i="5"/>
  <c r="GW8" i="5"/>
  <c r="GU8" i="5"/>
  <c r="GT8" i="5"/>
  <c r="GS8" i="5"/>
  <c r="GR8" i="5"/>
  <c r="GQ8" i="5"/>
  <c r="GP8" i="5"/>
  <c r="GG8" i="5"/>
  <c r="GF8" i="5"/>
  <c r="GE8" i="5"/>
  <c r="GD8" i="5"/>
  <c r="GC8" i="5"/>
  <c r="GB8" i="5"/>
  <c r="FZ8" i="5"/>
  <c r="FY8" i="5"/>
  <c r="FX8" i="5"/>
  <c r="FW8" i="5"/>
  <c r="FV8" i="5"/>
  <c r="FU8" i="5"/>
  <c r="FS8" i="5"/>
  <c r="FR8" i="5"/>
  <c r="FQ8" i="5"/>
  <c r="FP8" i="5"/>
  <c r="FO8" i="5"/>
  <c r="FN8" i="5"/>
  <c r="FE8" i="5"/>
  <c r="FD8" i="5"/>
  <c r="FC8" i="5"/>
  <c r="FB8" i="5"/>
  <c r="FA8" i="5"/>
  <c r="EZ8" i="5"/>
  <c r="EX8" i="5"/>
  <c r="EW8" i="5"/>
  <c r="EV8" i="5"/>
  <c r="EU8" i="5"/>
  <c r="ET8" i="5"/>
  <c r="ES8" i="5"/>
  <c r="EQ8" i="5"/>
  <c r="EP8" i="5"/>
  <c r="EO8" i="5"/>
  <c r="EN8" i="5"/>
  <c r="EM8" i="5"/>
  <c r="EL8" i="5"/>
  <c r="EC8" i="5"/>
  <c r="EB8" i="5"/>
  <c r="EA8" i="5"/>
  <c r="DZ8" i="5"/>
  <c r="DY8" i="5"/>
  <c r="DX8" i="5"/>
  <c r="DV8" i="5"/>
  <c r="DU8" i="5"/>
  <c r="DT8" i="5"/>
  <c r="DS8" i="5"/>
  <c r="DR8" i="5"/>
  <c r="DQ8" i="5"/>
  <c r="DO8" i="5"/>
  <c r="DN8" i="5"/>
  <c r="DM8" i="5"/>
  <c r="DL8" i="5"/>
  <c r="DK8" i="5"/>
  <c r="DJ8" i="5"/>
  <c r="DH8" i="5"/>
  <c r="DG8" i="5"/>
  <c r="DF8" i="5"/>
  <c r="DE8" i="5"/>
  <c r="DD8" i="5"/>
  <c r="DC8" i="5"/>
  <c r="DA8" i="5"/>
  <c r="CZ8" i="5"/>
  <c r="CY8" i="5"/>
  <c r="CX8" i="5"/>
  <c r="CW8" i="5"/>
  <c r="CV8" i="5"/>
  <c r="CT8" i="5"/>
  <c r="CS8" i="5"/>
  <c r="CR8" i="5"/>
  <c r="CQ8" i="5"/>
  <c r="CP8" i="5"/>
  <c r="CO8" i="5"/>
  <c r="CM8" i="5"/>
  <c r="CL8" i="5"/>
  <c r="CK8" i="5"/>
  <c r="CJ8" i="5"/>
  <c r="CI8" i="5"/>
  <c r="CH8" i="5"/>
  <c r="CF8" i="5"/>
  <c r="CE8" i="5"/>
  <c r="CD8" i="5"/>
  <c r="CC8" i="5"/>
  <c r="CB8" i="5"/>
  <c r="CA8" i="5"/>
  <c r="BY8" i="5"/>
  <c r="BX8" i="5"/>
  <c r="BW8" i="5"/>
  <c r="BV8" i="5"/>
  <c r="BU8" i="5"/>
  <c r="BT8" i="5"/>
  <c r="BR8" i="5"/>
  <c r="BQ8" i="5"/>
  <c r="BP8" i="5"/>
  <c r="BO8" i="5"/>
  <c r="BN8" i="5"/>
  <c r="BM8" i="5"/>
  <c r="BK8" i="5"/>
  <c r="BJ8" i="5"/>
  <c r="BI8" i="5"/>
  <c r="BH8" i="5"/>
  <c r="BG8" i="5"/>
  <c r="BF8" i="5"/>
  <c r="BD8" i="5"/>
  <c r="BC8" i="5"/>
  <c r="BB8" i="5"/>
  <c r="BA8" i="5"/>
  <c r="AZ8" i="5"/>
  <c r="AY8" i="5"/>
  <c r="AW8" i="5"/>
  <c r="AV8" i="5"/>
  <c r="AU8" i="5"/>
  <c r="AT8" i="5"/>
  <c r="AS8" i="5"/>
  <c r="AR8" i="5"/>
  <c r="AP8" i="5"/>
  <c r="AO8" i="5"/>
  <c r="AN8" i="5"/>
  <c r="AM8" i="5"/>
  <c r="AL8" i="5"/>
  <c r="AK8" i="5"/>
  <c r="AI8" i="5"/>
  <c r="AH8" i="5"/>
  <c r="AG8" i="5"/>
  <c r="AF8" i="5"/>
  <c r="AE8" i="5"/>
  <c r="AD8" i="5"/>
  <c r="AB8" i="5"/>
  <c r="AA8" i="5"/>
  <c r="Z8" i="5"/>
  <c r="Y8" i="5"/>
  <c r="X8" i="5"/>
  <c r="W8" i="5"/>
  <c r="U8" i="5"/>
  <c r="T8" i="5"/>
  <c r="S8" i="5"/>
  <c r="R8" i="5"/>
  <c r="Q8" i="5"/>
  <c r="P8" i="5"/>
  <c r="N8" i="5"/>
  <c r="M8" i="5"/>
  <c r="L8" i="5"/>
  <c r="K8" i="5"/>
  <c r="J8" i="5"/>
  <c r="I8" i="5"/>
  <c r="G8" i="5"/>
  <c r="F8" i="5"/>
  <c r="E8" i="5"/>
  <c r="D8" i="5"/>
  <c r="C8" i="5"/>
  <c r="B8" i="5"/>
  <c r="HI7" i="5"/>
  <c r="HH7" i="5"/>
  <c r="HH54" i="5" s="1"/>
  <c r="HH83" i="5" s="1"/>
  <c r="HG7" i="5"/>
  <c r="HG54" i="5" s="1"/>
  <c r="HG83" i="5" s="1"/>
  <c r="HF7" i="5"/>
  <c r="HF54" i="5" s="1"/>
  <c r="HF83" i="5" s="1"/>
  <c r="HE7" i="5"/>
  <c r="HD7" i="5"/>
  <c r="HD54" i="5" s="1"/>
  <c r="HD83" i="5" s="1"/>
  <c r="HB7" i="5"/>
  <c r="HB54" i="5" s="1"/>
  <c r="HB83" i="5" s="1"/>
  <c r="HA7" i="5"/>
  <c r="GZ7" i="5"/>
  <c r="GZ54" i="5" s="1"/>
  <c r="GZ83" i="5" s="1"/>
  <c r="GY7" i="5"/>
  <c r="GY54" i="5" s="1"/>
  <c r="GY83" i="5" s="1"/>
  <c r="GX7" i="5"/>
  <c r="GX54" i="5" s="1"/>
  <c r="GX83" i="5" s="1"/>
  <c r="GW7" i="5"/>
  <c r="GU7" i="5"/>
  <c r="GU54" i="5" s="1"/>
  <c r="GU83" i="5" s="1"/>
  <c r="GT7" i="5"/>
  <c r="GT54" i="5" s="1"/>
  <c r="GT83" i="5" s="1"/>
  <c r="GS7" i="5"/>
  <c r="GR7" i="5"/>
  <c r="GR54" i="5" s="1"/>
  <c r="GR83" i="5" s="1"/>
  <c r="GQ7" i="5"/>
  <c r="GQ54" i="5" s="1"/>
  <c r="GQ83" i="5" s="1"/>
  <c r="GP7" i="5"/>
  <c r="GP54" i="5" s="1"/>
  <c r="GP83" i="5" s="1"/>
  <c r="GG7" i="5"/>
  <c r="GG54" i="5" s="1"/>
  <c r="GG83" i="5" s="1"/>
  <c r="GF7" i="5"/>
  <c r="GF54" i="5" s="1"/>
  <c r="GF83" i="5" s="1"/>
  <c r="GE7" i="5"/>
  <c r="GE54" i="5" s="1"/>
  <c r="GE83" i="5" s="1"/>
  <c r="GD7" i="5"/>
  <c r="GC7" i="5"/>
  <c r="GC54" i="5" s="1"/>
  <c r="GC83" i="5" s="1"/>
  <c r="GB7" i="5"/>
  <c r="GB54" i="5" s="1"/>
  <c r="GB83" i="5" s="1"/>
  <c r="FZ7" i="5"/>
  <c r="FZ54" i="5" s="1"/>
  <c r="FZ83" i="5" s="1"/>
  <c r="FY7" i="5"/>
  <c r="FY54" i="5" s="1"/>
  <c r="FY83" i="5" s="1"/>
  <c r="FX7" i="5"/>
  <c r="FX54" i="5" s="1"/>
  <c r="FX83" i="5" s="1"/>
  <c r="FW7" i="5"/>
  <c r="FW54" i="5" s="1"/>
  <c r="FW83" i="5" s="1"/>
  <c r="FV7" i="5"/>
  <c r="FU7" i="5"/>
  <c r="FU54" i="5" s="1"/>
  <c r="FU83" i="5" s="1"/>
  <c r="FS7" i="5"/>
  <c r="FS54" i="5" s="1"/>
  <c r="FR7" i="5"/>
  <c r="FQ7" i="5"/>
  <c r="FQ54" i="5" s="1"/>
  <c r="FQ83" i="5" s="1"/>
  <c r="FP7" i="5"/>
  <c r="FP54" i="5" s="1"/>
  <c r="FP83" i="5" s="1"/>
  <c r="FO7" i="5"/>
  <c r="FO54" i="5" s="1"/>
  <c r="FO83" i="5" s="1"/>
  <c r="FN7" i="5"/>
  <c r="FE7" i="5"/>
  <c r="FE54" i="5" s="1"/>
  <c r="FE83" i="5" s="1"/>
  <c r="FD7" i="5"/>
  <c r="FD54" i="5" s="1"/>
  <c r="FD83" i="5" s="1"/>
  <c r="FC7" i="5"/>
  <c r="FB7" i="5"/>
  <c r="FB54" i="5" s="1"/>
  <c r="FB83" i="5" s="1"/>
  <c r="FA7" i="5"/>
  <c r="FA54" i="5" s="1"/>
  <c r="FA83" i="5" s="1"/>
  <c r="EZ7" i="5"/>
  <c r="EZ54" i="5" s="1"/>
  <c r="EZ83" i="5" s="1"/>
  <c r="EX7" i="5"/>
  <c r="EX54" i="5" s="1"/>
  <c r="EX83" i="5" s="1"/>
  <c r="EW7" i="5"/>
  <c r="EW54" i="5" s="1"/>
  <c r="EW83" i="5" s="1"/>
  <c r="EV7" i="5"/>
  <c r="EV54" i="5" s="1"/>
  <c r="EV83" i="5" s="1"/>
  <c r="EU7" i="5"/>
  <c r="ET7" i="5"/>
  <c r="ET54" i="5" s="1"/>
  <c r="ET83" i="5" s="1"/>
  <c r="ES7" i="5"/>
  <c r="ES54" i="5" s="1"/>
  <c r="ES83" i="5" s="1"/>
  <c r="EQ7" i="5"/>
  <c r="EP7" i="5"/>
  <c r="EP54" i="5" s="1"/>
  <c r="EP83" i="5" s="1"/>
  <c r="EO7" i="5"/>
  <c r="EO54" i="5" s="1"/>
  <c r="EO83" i="5" s="1"/>
  <c r="EN7" i="5"/>
  <c r="EN54" i="5" s="1"/>
  <c r="EN83" i="5" s="1"/>
  <c r="EM7" i="5"/>
  <c r="EL7" i="5"/>
  <c r="EL54" i="5" s="1"/>
  <c r="EL83" i="5" s="1"/>
  <c r="EC7" i="5"/>
  <c r="EC54" i="5" s="1"/>
  <c r="EC83" i="5" s="1"/>
  <c r="EB7" i="5"/>
  <c r="EB54" i="5" s="1"/>
  <c r="EB83" i="5" s="1"/>
  <c r="EA7" i="5"/>
  <c r="EA54" i="5" s="1"/>
  <c r="EA83" i="5" s="1"/>
  <c r="DZ7" i="5"/>
  <c r="DZ54" i="5" s="1"/>
  <c r="DZ83" i="5" s="1"/>
  <c r="DY7" i="5"/>
  <c r="DY54" i="5" s="1"/>
  <c r="DY83" i="5" s="1"/>
  <c r="DX7" i="5"/>
  <c r="DV7" i="5"/>
  <c r="DV54" i="5" s="1"/>
  <c r="DV83" i="5" s="1"/>
  <c r="DU7" i="5"/>
  <c r="DU54" i="5" s="1"/>
  <c r="DU83" i="5" s="1"/>
  <c r="DT7" i="5"/>
  <c r="DS7" i="5"/>
  <c r="DS54" i="5" s="1"/>
  <c r="DS83" i="5" s="1"/>
  <c r="DR7" i="5"/>
  <c r="DR54" i="5" s="1"/>
  <c r="DR83" i="5" s="1"/>
  <c r="DQ7" i="5"/>
  <c r="DQ54" i="5" s="1"/>
  <c r="DQ83" i="5" s="1"/>
  <c r="DO7" i="5"/>
  <c r="DO54" i="5" s="1"/>
  <c r="DO83" i="5" s="1"/>
  <c r="DN7" i="5"/>
  <c r="DN54" i="5" s="1"/>
  <c r="DN83" i="5" s="1"/>
  <c r="DM7" i="5"/>
  <c r="DM54" i="5" s="1"/>
  <c r="DM83" i="5" s="1"/>
  <c r="DL7" i="5"/>
  <c r="DK7" i="5"/>
  <c r="DK54" i="5" s="1"/>
  <c r="DK83" i="5" s="1"/>
  <c r="DJ7" i="5"/>
  <c r="DJ54" i="5" s="1"/>
  <c r="DJ83" i="5" s="1"/>
  <c r="DH7" i="5"/>
  <c r="DG7" i="5"/>
  <c r="DG54" i="5" s="1"/>
  <c r="DG83" i="5" s="1"/>
  <c r="DF7" i="5"/>
  <c r="DF54" i="5" s="1"/>
  <c r="DF83" i="5" s="1"/>
  <c r="DE7" i="5"/>
  <c r="DE54" i="5" s="1"/>
  <c r="DE83" i="5" s="1"/>
  <c r="DD7" i="5"/>
  <c r="DC7" i="5"/>
  <c r="DC54" i="5" s="1"/>
  <c r="DC83" i="5" s="1"/>
  <c r="DA7" i="5"/>
  <c r="DA54" i="5" s="1"/>
  <c r="DA83" i="5" s="1"/>
  <c r="CZ7" i="5"/>
  <c r="CY7" i="5"/>
  <c r="CY54" i="5" s="1"/>
  <c r="CY83" i="5" s="1"/>
  <c r="CX7" i="5"/>
  <c r="CX54" i="5" s="1"/>
  <c r="CX83" i="5" s="1"/>
  <c r="CW7" i="5"/>
  <c r="CW54" i="5" s="1"/>
  <c r="CW83" i="5" s="1"/>
  <c r="CV7" i="5"/>
  <c r="CT7" i="5"/>
  <c r="CT54" i="5" s="1"/>
  <c r="CT83" i="5" s="1"/>
  <c r="CS7" i="5"/>
  <c r="CS54" i="5" s="1"/>
  <c r="CS83" i="5" s="1"/>
  <c r="CR7" i="5"/>
  <c r="CR54" i="5" s="1"/>
  <c r="CR83" i="5" s="1"/>
  <c r="CQ7" i="5"/>
  <c r="CQ54" i="5" s="1"/>
  <c r="CQ83" i="5" s="1"/>
  <c r="CP7" i="5"/>
  <c r="CP54" i="5" s="1"/>
  <c r="CP83" i="5" s="1"/>
  <c r="CO7" i="5"/>
  <c r="CO54" i="5" s="1"/>
  <c r="CO83" i="5" s="1"/>
  <c r="CM7" i="5"/>
  <c r="CM54" i="5" s="1"/>
  <c r="CM83" i="5" s="1"/>
  <c r="CL7" i="5"/>
  <c r="CL54" i="5" s="1"/>
  <c r="CL83" i="5" s="1"/>
  <c r="CK7" i="5"/>
  <c r="CK54" i="5" s="1"/>
  <c r="CK83" i="5" s="1"/>
  <c r="CJ7" i="5"/>
  <c r="CJ54" i="5" s="1"/>
  <c r="CJ83" i="5" s="1"/>
  <c r="CI7" i="5"/>
  <c r="CI54" i="5" s="1"/>
  <c r="CI83" i="5" s="1"/>
  <c r="CH7" i="5"/>
  <c r="CH54" i="5" s="1"/>
  <c r="CH83" i="5" s="1"/>
  <c r="CF7" i="5"/>
  <c r="CE7" i="5"/>
  <c r="CE54" i="5" s="1"/>
  <c r="CE83" i="5" s="1"/>
  <c r="CD7" i="5"/>
  <c r="CD54" i="5" s="1"/>
  <c r="CD83" i="5" s="1"/>
  <c r="CC7" i="5"/>
  <c r="CC54" i="5" s="1"/>
  <c r="CC83" i="5" s="1"/>
  <c r="CB7" i="5"/>
  <c r="CA7" i="5"/>
  <c r="CA54" i="5" s="1"/>
  <c r="CA83" i="5" s="1"/>
  <c r="BY7" i="5"/>
  <c r="BY54" i="5" s="1"/>
  <c r="BY83" i="5" s="1"/>
  <c r="BX7" i="5"/>
  <c r="BW7" i="5"/>
  <c r="BW54" i="5" s="1"/>
  <c r="BW83" i="5" s="1"/>
  <c r="BV7" i="5"/>
  <c r="BV54" i="5" s="1"/>
  <c r="BV83" i="5" s="1"/>
  <c r="BU7" i="5"/>
  <c r="BU54" i="5" s="1"/>
  <c r="BU83" i="5" s="1"/>
  <c r="BT7" i="5"/>
  <c r="BR7" i="5"/>
  <c r="BR54" i="5" s="1"/>
  <c r="BR83" i="5" s="1"/>
  <c r="BQ7" i="5"/>
  <c r="BQ54" i="5" s="1"/>
  <c r="BQ83" i="5" s="1"/>
  <c r="BP7" i="5"/>
  <c r="BO7" i="5"/>
  <c r="BO54" i="5" s="1"/>
  <c r="BO83" i="5" s="1"/>
  <c r="BN7" i="5"/>
  <c r="BN54" i="5" s="1"/>
  <c r="BN83" i="5" s="1"/>
  <c r="BM7" i="5"/>
  <c r="BM54" i="5" s="1"/>
  <c r="BM83" i="5" s="1"/>
  <c r="BK7" i="5"/>
  <c r="BK54" i="5" s="1"/>
  <c r="BK83" i="5" s="1"/>
  <c r="BJ7" i="5"/>
  <c r="BJ54" i="5" s="1"/>
  <c r="BJ83" i="5" s="1"/>
  <c r="BI7" i="5"/>
  <c r="BI54" i="5" s="1"/>
  <c r="BI83" i="5" s="1"/>
  <c r="BH7" i="5"/>
  <c r="BG7" i="5"/>
  <c r="BG54" i="5" s="1"/>
  <c r="BG83" i="5" s="1"/>
  <c r="BF7" i="5"/>
  <c r="BF54" i="5" s="1"/>
  <c r="BF83" i="5" s="1"/>
  <c r="BD7" i="5"/>
  <c r="BD54" i="5" s="1"/>
  <c r="BD83" i="5" s="1"/>
  <c r="BC7" i="5"/>
  <c r="BC54" i="5" s="1"/>
  <c r="BC83" i="5" s="1"/>
  <c r="BB7" i="5"/>
  <c r="BB54" i="5" s="1"/>
  <c r="BB83" i="5" s="1"/>
  <c r="BA7" i="5"/>
  <c r="BA54" i="5" s="1"/>
  <c r="BA83" i="5" s="1"/>
  <c r="AZ7" i="5"/>
  <c r="AY7" i="5"/>
  <c r="AY54" i="5" s="1"/>
  <c r="AY83" i="5" s="1"/>
  <c r="AW7" i="5"/>
  <c r="AW54" i="5" s="1"/>
  <c r="AW83" i="5" s="1"/>
  <c r="AV7" i="5"/>
  <c r="AU7" i="5"/>
  <c r="AU54" i="5" s="1"/>
  <c r="AU83" i="5" s="1"/>
  <c r="AT7" i="5"/>
  <c r="AT54" i="5" s="1"/>
  <c r="AT83" i="5" s="1"/>
  <c r="AS7" i="5"/>
  <c r="AS54" i="5" s="1"/>
  <c r="AS83" i="5" s="1"/>
  <c r="AR7" i="5"/>
  <c r="AP7" i="5"/>
  <c r="AP54" i="5" s="1"/>
  <c r="AP83" i="5" s="1"/>
  <c r="AO7" i="5"/>
  <c r="AO54" i="5" s="1"/>
  <c r="AO83" i="5" s="1"/>
  <c r="AN7" i="5"/>
  <c r="AM7" i="5"/>
  <c r="AM54" i="5" s="1"/>
  <c r="AM83" i="5" s="1"/>
  <c r="AL7" i="5"/>
  <c r="AL54" i="5" s="1"/>
  <c r="AL83" i="5" s="1"/>
  <c r="AK7" i="5"/>
  <c r="AK54" i="5" s="1"/>
  <c r="AK83" i="5" s="1"/>
  <c r="AI7" i="5"/>
  <c r="AI54" i="5" s="1"/>
  <c r="AI83" i="5" s="1"/>
  <c r="AH7" i="5"/>
  <c r="AG7" i="5"/>
  <c r="AG54" i="5" s="1"/>
  <c r="AG83" i="5" s="1"/>
  <c r="AF7" i="5"/>
  <c r="AE7" i="5"/>
  <c r="AE54" i="5" s="1"/>
  <c r="AE83" i="5" s="1"/>
  <c r="AD7" i="5"/>
  <c r="AD54" i="5" s="1"/>
  <c r="AD83" i="5" s="1"/>
  <c r="AB7" i="5"/>
  <c r="AA7" i="5"/>
  <c r="AA54" i="5" s="1"/>
  <c r="AA83" i="5" s="1"/>
  <c r="Z7" i="5"/>
  <c r="Z54" i="5" s="1"/>
  <c r="Z83" i="5" s="1"/>
  <c r="Y7" i="5"/>
  <c r="Y54" i="5" s="1"/>
  <c r="Y83" i="5" s="1"/>
  <c r="X7" i="5"/>
  <c r="W7" i="5"/>
  <c r="W54" i="5" s="1"/>
  <c r="W83" i="5" s="1"/>
  <c r="U7" i="5"/>
  <c r="U54" i="5" s="1"/>
  <c r="U83" i="5" s="1"/>
  <c r="T7" i="5"/>
  <c r="T54" i="5" s="1"/>
  <c r="T83" i="5" s="1"/>
  <c r="S7" i="5"/>
  <c r="S54" i="5" s="1"/>
  <c r="S83" i="5" s="1"/>
  <c r="R7" i="5"/>
  <c r="R54" i="5" s="1"/>
  <c r="R83" i="5" s="1"/>
  <c r="Q7" i="5"/>
  <c r="Q54" i="5" s="1"/>
  <c r="Q83" i="5" s="1"/>
  <c r="P7" i="5"/>
  <c r="N7" i="5"/>
  <c r="N54" i="5" s="1"/>
  <c r="N83" i="5" s="1"/>
  <c r="M7" i="5"/>
  <c r="M54" i="5" s="1"/>
  <c r="M83" i="5" s="1"/>
  <c r="L7" i="5"/>
  <c r="K7" i="5"/>
  <c r="K54" i="5" s="1"/>
  <c r="K83" i="5" s="1"/>
  <c r="J7" i="5"/>
  <c r="J54" i="5" s="1"/>
  <c r="J83" i="5" s="1"/>
  <c r="I7" i="5"/>
  <c r="I54" i="5" s="1"/>
  <c r="I83" i="5" s="1"/>
  <c r="G7" i="5"/>
  <c r="G54" i="5" s="1"/>
  <c r="G83" i="5" s="1"/>
  <c r="F7" i="5"/>
  <c r="E7" i="5"/>
  <c r="E54" i="5" s="1"/>
  <c r="E83" i="5" s="1"/>
  <c r="D7" i="5"/>
  <c r="C7" i="5"/>
  <c r="C54" i="5" s="1"/>
  <c r="C83" i="5" s="1"/>
  <c r="B7" i="5"/>
  <c r="B54" i="5" s="1"/>
  <c r="B83" i="5" s="1"/>
  <c r="HI6" i="5"/>
  <c r="HH6" i="5"/>
  <c r="HG6" i="5"/>
  <c r="HF6" i="5"/>
  <c r="HE6" i="5"/>
  <c r="HD6" i="5"/>
  <c r="HB6" i="5"/>
  <c r="HA6" i="5"/>
  <c r="GZ6" i="5"/>
  <c r="GY6" i="5"/>
  <c r="GX6" i="5"/>
  <c r="GW6" i="5"/>
  <c r="GU6" i="5"/>
  <c r="GT6" i="5"/>
  <c r="GS6" i="5"/>
  <c r="GR6" i="5"/>
  <c r="GQ6" i="5"/>
  <c r="GP6" i="5"/>
  <c r="GG6" i="5"/>
  <c r="GF6" i="5"/>
  <c r="GE6" i="5"/>
  <c r="GD6" i="5"/>
  <c r="GC6" i="5"/>
  <c r="GB6" i="5"/>
  <c r="FZ6" i="5"/>
  <c r="FY6" i="5"/>
  <c r="FX6" i="5"/>
  <c r="FW6" i="5"/>
  <c r="FV6" i="5"/>
  <c r="FU6" i="5"/>
  <c r="FS6" i="5"/>
  <c r="FR6" i="5"/>
  <c r="FQ6" i="5"/>
  <c r="FP6" i="5"/>
  <c r="FO6" i="5"/>
  <c r="FN6" i="5"/>
  <c r="FE6" i="5"/>
  <c r="FD6" i="5"/>
  <c r="FC6" i="5"/>
  <c r="FB6" i="5"/>
  <c r="FA6" i="5"/>
  <c r="EZ6" i="5"/>
  <c r="EX6" i="5"/>
  <c r="EW6" i="5"/>
  <c r="EV6" i="5"/>
  <c r="EU6" i="5"/>
  <c r="ET6" i="5"/>
  <c r="ES6" i="5"/>
  <c r="EQ6" i="5"/>
  <c r="EP6" i="5"/>
  <c r="EO6" i="5"/>
  <c r="EN6" i="5"/>
  <c r="EM6" i="5"/>
  <c r="EL6" i="5"/>
  <c r="EC6" i="5"/>
  <c r="EB6" i="5"/>
  <c r="EA6" i="5"/>
  <c r="DZ6" i="5"/>
  <c r="DY6" i="5"/>
  <c r="DX6" i="5"/>
  <c r="DV6" i="5"/>
  <c r="DU6" i="5"/>
  <c r="DT6" i="5"/>
  <c r="DS6" i="5"/>
  <c r="DR6" i="5"/>
  <c r="DQ6" i="5"/>
  <c r="DO6" i="5"/>
  <c r="DN6" i="5"/>
  <c r="DM6" i="5"/>
  <c r="DL6" i="5"/>
  <c r="DK6" i="5"/>
  <c r="DJ6" i="5"/>
  <c r="DH6" i="5"/>
  <c r="DG6" i="5"/>
  <c r="DF6" i="5"/>
  <c r="DE6" i="5"/>
  <c r="DD6" i="5"/>
  <c r="DC6" i="5"/>
  <c r="DA6" i="5"/>
  <c r="CZ6" i="5"/>
  <c r="CY6" i="5"/>
  <c r="CX6" i="5"/>
  <c r="CW6" i="5"/>
  <c r="CV6" i="5"/>
  <c r="CT6" i="5"/>
  <c r="CS6" i="5"/>
  <c r="CR6" i="5"/>
  <c r="CQ6" i="5"/>
  <c r="CP6" i="5"/>
  <c r="CO6" i="5"/>
  <c r="CM6" i="5"/>
  <c r="CL6" i="5"/>
  <c r="CK6" i="5"/>
  <c r="CJ6" i="5"/>
  <c r="CI6" i="5"/>
  <c r="CH6" i="5"/>
  <c r="CF6" i="5"/>
  <c r="CE6" i="5"/>
  <c r="CD6" i="5"/>
  <c r="CC6" i="5"/>
  <c r="CB6" i="5"/>
  <c r="CA6" i="5"/>
  <c r="BY6" i="5"/>
  <c r="BX6" i="5"/>
  <c r="BW6" i="5"/>
  <c r="BV6" i="5"/>
  <c r="BU6" i="5"/>
  <c r="BT6" i="5"/>
  <c r="BR6" i="5"/>
  <c r="BQ6" i="5"/>
  <c r="BP6" i="5"/>
  <c r="BO6" i="5"/>
  <c r="BN6" i="5"/>
  <c r="BM6" i="5"/>
  <c r="BK6" i="5"/>
  <c r="BJ6" i="5"/>
  <c r="BI6" i="5"/>
  <c r="BH6" i="5"/>
  <c r="BG6" i="5"/>
  <c r="BF6" i="5"/>
  <c r="BD6" i="5"/>
  <c r="BC6" i="5"/>
  <c r="BB6" i="5"/>
  <c r="BA6" i="5"/>
  <c r="AZ6" i="5"/>
  <c r="AY6" i="5"/>
  <c r="AW6" i="5"/>
  <c r="AV6" i="5"/>
  <c r="AU6" i="5"/>
  <c r="AT6" i="5"/>
  <c r="AS6" i="5"/>
  <c r="AR6" i="5"/>
  <c r="AP6" i="5"/>
  <c r="AO6" i="5"/>
  <c r="AN6" i="5"/>
  <c r="AM6" i="5"/>
  <c r="AL6" i="5"/>
  <c r="AK6" i="5"/>
  <c r="AI6" i="5"/>
  <c r="AH6" i="5"/>
  <c r="AG6" i="5"/>
  <c r="AF6" i="5"/>
  <c r="AE6" i="5"/>
  <c r="AD6" i="5"/>
  <c r="AB6" i="5"/>
  <c r="AA6" i="5"/>
  <c r="Z6" i="5"/>
  <c r="Y6" i="5"/>
  <c r="X6" i="5"/>
  <c r="W6" i="5"/>
  <c r="U6" i="5"/>
  <c r="T6" i="5"/>
  <c r="S6" i="5"/>
  <c r="R6" i="5"/>
  <c r="Q6" i="5"/>
  <c r="P6" i="5"/>
  <c r="N6" i="5"/>
  <c r="M6" i="5"/>
  <c r="L6" i="5"/>
  <c r="K6" i="5"/>
  <c r="J6" i="5"/>
  <c r="I6" i="5"/>
  <c r="G6" i="5"/>
  <c r="F6" i="5"/>
  <c r="E6" i="5"/>
  <c r="D6" i="5"/>
  <c r="C6" i="5"/>
  <c r="B6" i="5"/>
  <c r="HI5" i="5"/>
  <c r="HH5" i="5"/>
  <c r="HG5" i="5"/>
  <c r="HF5" i="5"/>
  <c r="HE5" i="5"/>
  <c r="HD5" i="5"/>
  <c r="HB5" i="5"/>
  <c r="HA5" i="5"/>
  <c r="GZ5" i="5"/>
  <c r="GY5" i="5"/>
  <c r="GX5" i="5"/>
  <c r="GW5" i="5"/>
  <c r="GU5" i="5"/>
  <c r="GT5" i="5"/>
  <c r="GS5" i="5"/>
  <c r="GR5" i="5"/>
  <c r="GQ5" i="5"/>
  <c r="GP5" i="5"/>
  <c r="GG5" i="5"/>
  <c r="GF5" i="5"/>
  <c r="GE5" i="5"/>
  <c r="GD5" i="5"/>
  <c r="GC5" i="5"/>
  <c r="GB5" i="5"/>
  <c r="FZ5" i="5"/>
  <c r="FY5" i="5"/>
  <c r="FX5" i="5"/>
  <c r="FW5" i="5"/>
  <c r="FV5" i="5"/>
  <c r="FU5" i="5"/>
  <c r="FS5" i="5"/>
  <c r="FR5" i="5"/>
  <c r="FQ5" i="5"/>
  <c r="FP5" i="5"/>
  <c r="FO5" i="5"/>
  <c r="FN5" i="5"/>
  <c r="FE5" i="5"/>
  <c r="FD5" i="5"/>
  <c r="FC5" i="5"/>
  <c r="FB5" i="5"/>
  <c r="FA5" i="5"/>
  <c r="EZ5" i="5"/>
  <c r="EX5" i="5"/>
  <c r="EW5" i="5"/>
  <c r="EV5" i="5"/>
  <c r="EU5" i="5"/>
  <c r="ET5" i="5"/>
  <c r="ES5" i="5"/>
  <c r="EQ5" i="5"/>
  <c r="EP5" i="5"/>
  <c r="EO5" i="5"/>
  <c r="EN5" i="5"/>
  <c r="EM5" i="5"/>
  <c r="EL5" i="5"/>
  <c r="EC5" i="5"/>
  <c r="EB5" i="5"/>
  <c r="EA5" i="5"/>
  <c r="DZ5" i="5"/>
  <c r="DY5" i="5"/>
  <c r="DX5" i="5"/>
  <c r="DV5" i="5"/>
  <c r="DU5" i="5"/>
  <c r="DT5" i="5"/>
  <c r="DS5" i="5"/>
  <c r="DR5" i="5"/>
  <c r="DQ5" i="5"/>
  <c r="DO5" i="5"/>
  <c r="DN5" i="5"/>
  <c r="DM5" i="5"/>
  <c r="DL5" i="5"/>
  <c r="DK5" i="5"/>
  <c r="DJ5" i="5"/>
  <c r="DH5" i="5"/>
  <c r="DG5" i="5"/>
  <c r="DF5" i="5"/>
  <c r="DE5" i="5"/>
  <c r="DD5" i="5"/>
  <c r="DC5" i="5"/>
  <c r="DA5" i="5"/>
  <c r="CZ5" i="5"/>
  <c r="CY5" i="5"/>
  <c r="CX5" i="5"/>
  <c r="CW5" i="5"/>
  <c r="CV5" i="5"/>
  <c r="CT5" i="5"/>
  <c r="CS5" i="5"/>
  <c r="CR5" i="5"/>
  <c r="CQ5" i="5"/>
  <c r="CP5" i="5"/>
  <c r="CO5" i="5"/>
  <c r="CM5" i="5"/>
  <c r="CL5" i="5"/>
  <c r="CK5" i="5"/>
  <c r="CJ5" i="5"/>
  <c r="CI5" i="5"/>
  <c r="CH5" i="5"/>
  <c r="CF5" i="5"/>
  <c r="CE5" i="5"/>
  <c r="CD5" i="5"/>
  <c r="CC5" i="5"/>
  <c r="CB5" i="5"/>
  <c r="CA5" i="5"/>
  <c r="BY5" i="5"/>
  <c r="BX5" i="5"/>
  <c r="BW5" i="5"/>
  <c r="BV5" i="5"/>
  <c r="BU5" i="5"/>
  <c r="BT5" i="5"/>
  <c r="BR5" i="5"/>
  <c r="BQ5" i="5"/>
  <c r="BP5" i="5"/>
  <c r="BO5" i="5"/>
  <c r="BN5" i="5"/>
  <c r="BM5" i="5"/>
  <c r="BK5" i="5"/>
  <c r="BJ5" i="5"/>
  <c r="BI5" i="5"/>
  <c r="BH5" i="5"/>
  <c r="BG5" i="5"/>
  <c r="BF5" i="5"/>
  <c r="BD5" i="5"/>
  <c r="BC5" i="5"/>
  <c r="BB5" i="5"/>
  <c r="BA5" i="5"/>
  <c r="AZ5" i="5"/>
  <c r="AY5" i="5"/>
  <c r="AW5" i="5"/>
  <c r="AV5" i="5"/>
  <c r="AU5" i="5"/>
  <c r="AT5" i="5"/>
  <c r="AS5" i="5"/>
  <c r="AR5" i="5"/>
  <c r="AP5" i="5"/>
  <c r="AO5" i="5"/>
  <c r="AN5" i="5"/>
  <c r="AM5" i="5"/>
  <c r="AL5" i="5"/>
  <c r="AK5" i="5"/>
  <c r="AI5" i="5"/>
  <c r="AH5" i="5"/>
  <c r="AG5" i="5"/>
  <c r="AF5" i="5"/>
  <c r="AE5" i="5"/>
  <c r="AD5" i="5"/>
  <c r="AB5" i="5"/>
  <c r="AA5" i="5"/>
  <c r="Z5" i="5"/>
  <c r="Y5" i="5"/>
  <c r="X5" i="5"/>
  <c r="W5" i="5"/>
  <c r="U5" i="5"/>
  <c r="T5" i="5"/>
  <c r="S5" i="5"/>
  <c r="R5" i="5"/>
  <c r="Q5" i="5"/>
  <c r="P5" i="5"/>
  <c r="N5" i="5"/>
  <c r="M5" i="5"/>
  <c r="L5" i="5"/>
  <c r="K5" i="5"/>
  <c r="J5" i="5"/>
  <c r="I5" i="5"/>
  <c r="G5" i="5"/>
  <c r="F5" i="5"/>
  <c r="E5" i="5"/>
  <c r="D5" i="5"/>
  <c r="C5" i="5"/>
  <c r="B5" i="5"/>
  <c r="HI4" i="5"/>
  <c r="HH4" i="5"/>
  <c r="HG4" i="5"/>
  <c r="HF4" i="5"/>
  <c r="HE4" i="5"/>
  <c r="HD4" i="5"/>
  <c r="HB4" i="5"/>
  <c r="HA4" i="5"/>
  <c r="GZ4" i="5"/>
  <c r="GY4" i="5"/>
  <c r="GX4" i="5"/>
  <c r="GW4" i="5"/>
  <c r="GU4" i="5"/>
  <c r="GT4" i="5"/>
  <c r="GS4" i="5"/>
  <c r="GR4" i="5"/>
  <c r="GQ4" i="5"/>
  <c r="GP4" i="5"/>
  <c r="GG4" i="5"/>
  <c r="GF4" i="5"/>
  <c r="GE4" i="5"/>
  <c r="GD4" i="5"/>
  <c r="GC4" i="5"/>
  <c r="GB4" i="5"/>
  <c r="FZ4" i="5"/>
  <c r="FY4" i="5"/>
  <c r="FX4" i="5"/>
  <c r="FW4" i="5"/>
  <c r="FV4" i="5"/>
  <c r="FU4" i="5"/>
  <c r="FS4" i="5"/>
  <c r="FR4" i="5"/>
  <c r="FQ4" i="5"/>
  <c r="FP4" i="5"/>
  <c r="FO4" i="5"/>
  <c r="FN4" i="5"/>
  <c r="FE4" i="5"/>
  <c r="FD4" i="5"/>
  <c r="FC4" i="5"/>
  <c r="FB4" i="5"/>
  <c r="FA4" i="5"/>
  <c r="EZ4" i="5"/>
  <c r="EX4" i="5"/>
  <c r="EW4" i="5"/>
  <c r="EV4" i="5"/>
  <c r="EU4" i="5"/>
  <c r="ET4" i="5"/>
  <c r="ES4" i="5"/>
  <c r="EQ4" i="5"/>
  <c r="EP4" i="5"/>
  <c r="EO4" i="5"/>
  <c r="EN4" i="5"/>
  <c r="EM4" i="5"/>
  <c r="EL4" i="5"/>
  <c r="EC4" i="5"/>
  <c r="EB4" i="5"/>
  <c r="EA4" i="5"/>
  <c r="DZ4" i="5"/>
  <c r="DY4" i="5"/>
  <c r="DX4" i="5"/>
  <c r="DV4" i="5"/>
  <c r="DU4" i="5"/>
  <c r="DT4" i="5"/>
  <c r="DS4" i="5"/>
  <c r="DR4" i="5"/>
  <c r="DQ4" i="5"/>
  <c r="DO4" i="5"/>
  <c r="DN4" i="5"/>
  <c r="DM4" i="5"/>
  <c r="DL4" i="5"/>
  <c r="DK4" i="5"/>
  <c r="DJ4" i="5"/>
  <c r="DH4" i="5"/>
  <c r="DG4" i="5"/>
  <c r="DF4" i="5"/>
  <c r="DE4" i="5"/>
  <c r="DD4" i="5"/>
  <c r="DC4" i="5"/>
  <c r="DA4" i="5"/>
  <c r="CZ4" i="5"/>
  <c r="CY4" i="5"/>
  <c r="CX4" i="5"/>
  <c r="CW4" i="5"/>
  <c r="CV4" i="5"/>
  <c r="CT4" i="5"/>
  <c r="CS4" i="5"/>
  <c r="CR4" i="5"/>
  <c r="CQ4" i="5"/>
  <c r="CP4" i="5"/>
  <c r="CO4" i="5"/>
  <c r="CM4" i="5"/>
  <c r="CL4" i="5"/>
  <c r="CK4" i="5"/>
  <c r="CJ4" i="5"/>
  <c r="CI4" i="5"/>
  <c r="CH4" i="5"/>
  <c r="CF4" i="5"/>
  <c r="CE4" i="5"/>
  <c r="CD4" i="5"/>
  <c r="CC4" i="5"/>
  <c r="CB4" i="5"/>
  <c r="CA4" i="5"/>
  <c r="BY4" i="5"/>
  <c r="BX4" i="5"/>
  <c r="BW4" i="5"/>
  <c r="BV4" i="5"/>
  <c r="BU4" i="5"/>
  <c r="BT4" i="5"/>
  <c r="BR4" i="5"/>
  <c r="BQ4" i="5"/>
  <c r="BP4" i="5"/>
  <c r="BO4" i="5"/>
  <c r="BN4" i="5"/>
  <c r="BM4" i="5"/>
  <c r="BK4" i="5"/>
  <c r="BJ4" i="5"/>
  <c r="BI4" i="5"/>
  <c r="BH4" i="5"/>
  <c r="BG4" i="5"/>
  <c r="BF4" i="5"/>
  <c r="BD4" i="5"/>
  <c r="BC4" i="5"/>
  <c r="BB4" i="5"/>
  <c r="BA4" i="5"/>
  <c r="AZ4" i="5"/>
  <c r="AY4" i="5"/>
  <c r="AW4" i="5"/>
  <c r="AV4" i="5"/>
  <c r="AU4" i="5"/>
  <c r="AT4" i="5"/>
  <c r="AS4" i="5"/>
  <c r="AR4" i="5"/>
  <c r="AP4" i="5"/>
  <c r="AO4" i="5"/>
  <c r="AN4" i="5"/>
  <c r="AM4" i="5"/>
  <c r="AL4" i="5"/>
  <c r="AK4" i="5"/>
  <c r="AI4" i="5"/>
  <c r="AH4" i="5"/>
  <c r="AG4" i="5"/>
  <c r="AF4" i="5"/>
  <c r="AE4" i="5"/>
  <c r="AD4" i="5"/>
  <c r="AB4" i="5"/>
  <c r="AA4" i="5"/>
  <c r="Z4" i="5"/>
  <c r="Y4" i="5"/>
  <c r="X4" i="5"/>
  <c r="W4" i="5"/>
  <c r="U4" i="5"/>
  <c r="T4" i="5"/>
  <c r="S4" i="5"/>
  <c r="R4" i="5"/>
  <c r="Q4" i="5"/>
  <c r="P4" i="5"/>
  <c r="N4" i="5"/>
  <c r="M4" i="5"/>
  <c r="L4" i="5"/>
  <c r="K4" i="5"/>
  <c r="J4" i="5"/>
  <c r="I4" i="5"/>
  <c r="G4" i="5"/>
  <c r="F4" i="5"/>
  <c r="E4" i="5"/>
  <c r="D4" i="5"/>
  <c r="C4" i="5"/>
  <c r="B4" i="5"/>
  <c r="HI3" i="5"/>
  <c r="HH3" i="5"/>
  <c r="HH53" i="5" s="1"/>
  <c r="HG3" i="5"/>
  <c r="HG53" i="5" s="1"/>
  <c r="HF3" i="5"/>
  <c r="HF53" i="5" s="1"/>
  <c r="HE3" i="5"/>
  <c r="HD3" i="5"/>
  <c r="HD53" i="5" s="1"/>
  <c r="HB3" i="5"/>
  <c r="HB53" i="5" s="1"/>
  <c r="HA3" i="5"/>
  <c r="GZ3" i="5"/>
  <c r="GZ53" i="5" s="1"/>
  <c r="GY3" i="5"/>
  <c r="GY53" i="5" s="1"/>
  <c r="GX3" i="5"/>
  <c r="GX53" i="5" s="1"/>
  <c r="GW3" i="5"/>
  <c r="GU3" i="5"/>
  <c r="GU53" i="5" s="1"/>
  <c r="GT3" i="5"/>
  <c r="GT53" i="5" s="1"/>
  <c r="GS3" i="5"/>
  <c r="GR3" i="5"/>
  <c r="GR53" i="5" s="1"/>
  <c r="GQ3" i="5"/>
  <c r="GQ53" i="5" s="1"/>
  <c r="GP3" i="5"/>
  <c r="GP53" i="5" s="1"/>
  <c r="GG3" i="5"/>
  <c r="GG53" i="5" s="1"/>
  <c r="GF3" i="5"/>
  <c r="GF53" i="5" s="1"/>
  <c r="GE3" i="5"/>
  <c r="GE53" i="5" s="1"/>
  <c r="GD3" i="5"/>
  <c r="GC3" i="5"/>
  <c r="GC53" i="5" s="1"/>
  <c r="GB3" i="5"/>
  <c r="GB53" i="5" s="1"/>
  <c r="FZ3" i="5"/>
  <c r="FZ53" i="5" s="1"/>
  <c r="FY3" i="5"/>
  <c r="FY53" i="5" s="1"/>
  <c r="FX3" i="5"/>
  <c r="FX53" i="5" s="1"/>
  <c r="FW3" i="5"/>
  <c r="FW53" i="5" s="1"/>
  <c r="FV3" i="5"/>
  <c r="FU3" i="5"/>
  <c r="FS3" i="5"/>
  <c r="FS53" i="5" s="1"/>
  <c r="H37" i="4" s="1"/>
  <c r="FR3" i="5"/>
  <c r="FQ3" i="5"/>
  <c r="FQ53" i="5" s="1"/>
  <c r="FP3" i="5"/>
  <c r="FP53" i="5" s="1"/>
  <c r="FO3" i="5"/>
  <c r="FO53" i="5" s="1"/>
  <c r="FN3" i="5"/>
  <c r="FE3" i="5"/>
  <c r="FE53" i="5" s="1"/>
  <c r="FD3" i="5"/>
  <c r="FD53" i="5" s="1"/>
  <c r="FC3" i="5"/>
  <c r="FB3" i="5"/>
  <c r="FB53" i="5" s="1"/>
  <c r="FA3" i="5"/>
  <c r="FA53" i="5" s="1"/>
  <c r="EZ3" i="5"/>
  <c r="EZ53" i="5" s="1"/>
  <c r="EX3" i="5"/>
  <c r="EX53" i="5" s="1"/>
  <c r="EW3" i="5"/>
  <c r="EW53" i="5" s="1"/>
  <c r="EV3" i="5"/>
  <c r="EV53" i="5" s="1"/>
  <c r="EV82" i="5" s="1"/>
  <c r="EU3" i="5"/>
  <c r="ET3" i="5"/>
  <c r="ET53" i="5" s="1"/>
  <c r="ES3" i="5"/>
  <c r="ES53" i="5" s="1"/>
  <c r="EQ3" i="5"/>
  <c r="EP3" i="5"/>
  <c r="EP53" i="5" s="1"/>
  <c r="EO3" i="5"/>
  <c r="EO53" i="5" s="1"/>
  <c r="EN3" i="5"/>
  <c r="EN53" i="5" s="1"/>
  <c r="EM3" i="5"/>
  <c r="EL3" i="5"/>
  <c r="EL53" i="5" s="1"/>
  <c r="EC3" i="5"/>
  <c r="EC53" i="5" s="1"/>
  <c r="EB3" i="5"/>
  <c r="EB53" i="5" s="1"/>
  <c r="EA3" i="5"/>
  <c r="EA53" i="5" s="1"/>
  <c r="DZ3" i="5"/>
  <c r="DZ53" i="5" s="1"/>
  <c r="DY3" i="5"/>
  <c r="DY53" i="5" s="1"/>
  <c r="DX3" i="5"/>
  <c r="DV3" i="5"/>
  <c r="DV53" i="5" s="1"/>
  <c r="DU3" i="5"/>
  <c r="DU53" i="5" s="1"/>
  <c r="DU82" i="5" s="1"/>
  <c r="DT3" i="5"/>
  <c r="DS3" i="5"/>
  <c r="DS53" i="5" s="1"/>
  <c r="DR3" i="5"/>
  <c r="DR53" i="5" s="1"/>
  <c r="DQ3" i="5"/>
  <c r="DQ53" i="5" s="1"/>
  <c r="DO3" i="5"/>
  <c r="DO53" i="5" s="1"/>
  <c r="DN3" i="5"/>
  <c r="DN53" i="5" s="1"/>
  <c r="DM3" i="5"/>
  <c r="DM53" i="5" s="1"/>
  <c r="DL3" i="5"/>
  <c r="DK3" i="5"/>
  <c r="DK53" i="5" s="1"/>
  <c r="DJ3" i="5"/>
  <c r="DJ53" i="5" s="1"/>
  <c r="DH3" i="5"/>
  <c r="DG3" i="5"/>
  <c r="DG53" i="5" s="1"/>
  <c r="DF3" i="5"/>
  <c r="DF53" i="5" s="1"/>
  <c r="DE3" i="5"/>
  <c r="DE53" i="5" s="1"/>
  <c r="DD3" i="5"/>
  <c r="DC3" i="5"/>
  <c r="DC53" i="5" s="1"/>
  <c r="DA3" i="5"/>
  <c r="DA53" i="5" s="1"/>
  <c r="CZ3" i="5"/>
  <c r="CY3" i="5"/>
  <c r="CY53" i="5" s="1"/>
  <c r="CX3" i="5"/>
  <c r="CX53" i="5" s="1"/>
  <c r="CW3" i="5"/>
  <c r="CW53" i="5" s="1"/>
  <c r="CV3" i="5"/>
  <c r="CT3" i="5"/>
  <c r="CT53" i="5" s="1"/>
  <c r="CS3" i="5"/>
  <c r="CS53" i="5" s="1"/>
  <c r="CR3" i="5"/>
  <c r="CR53" i="5" s="1"/>
  <c r="CQ3" i="5"/>
  <c r="CQ53" i="5" s="1"/>
  <c r="CP3" i="5"/>
  <c r="CP53" i="5" s="1"/>
  <c r="CO3" i="5"/>
  <c r="CO53" i="5" s="1"/>
  <c r="CM3" i="5"/>
  <c r="CM53" i="5" s="1"/>
  <c r="CL3" i="5"/>
  <c r="CK3" i="5"/>
  <c r="CK53" i="5" s="1"/>
  <c r="CJ3" i="5"/>
  <c r="CJ53" i="5" s="1"/>
  <c r="CI3" i="5"/>
  <c r="CI53" i="5" s="1"/>
  <c r="CH3" i="5"/>
  <c r="CF3" i="5"/>
  <c r="CE3" i="5"/>
  <c r="CE53" i="5" s="1"/>
  <c r="CD3" i="5"/>
  <c r="CD53" i="5" s="1"/>
  <c r="CC3" i="5"/>
  <c r="CC53" i="5" s="1"/>
  <c r="CB3" i="5"/>
  <c r="CA3" i="5"/>
  <c r="CA53" i="5" s="1"/>
  <c r="BY3" i="5"/>
  <c r="BY53" i="5" s="1"/>
  <c r="BX3" i="5"/>
  <c r="BW3" i="5"/>
  <c r="BW53" i="5" s="1"/>
  <c r="BV3" i="5"/>
  <c r="BV53" i="5" s="1"/>
  <c r="BU3" i="5"/>
  <c r="BU53" i="5" s="1"/>
  <c r="BT3" i="5"/>
  <c r="BR3" i="5"/>
  <c r="BR53" i="5" s="1"/>
  <c r="BQ3" i="5"/>
  <c r="BQ53" i="5" s="1"/>
  <c r="BP3" i="5"/>
  <c r="BO3" i="5"/>
  <c r="BO53" i="5" s="1"/>
  <c r="BN3" i="5"/>
  <c r="BN53" i="5" s="1"/>
  <c r="BM3" i="5"/>
  <c r="BK3" i="5"/>
  <c r="BK53" i="5" s="1"/>
  <c r="BJ3" i="5"/>
  <c r="BJ53" i="5" s="1"/>
  <c r="BI3" i="5"/>
  <c r="BI53" i="5" s="1"/>
  <c r="BH3" i="5"/>
  <c r="BG3" i="5"/>
  <c r="BG53" i="5" s="1"/>
  <c r="BF3" i="5"/>
  <c r="BF53" i="5" s="1"/>
  <c r="BD3" i="5"/>
  <c r="BD53" i="5" s="1"/>
  <c r="BC3" i="5"/>
  <c r="BC53" i="5" s="1"/>
  <c r="BB3" i="5"/>
  <c r="BB53" i="5" s="1"/>
  <c r="BA3" i="5"/>
  <c r="BA53" i="5" s="1"/>
  <c r="AZ3" i="5"/>
  <c r="AY3" i="5"/>
  <c r="AY53" i="5" s="1"/>
  <c r="AW3" i="5"/>
  <c r="AW53" i="5" s="1"/>
  <c r="AV3" i="5"/>
  <c r="AU3" i="5"/>
  <c r="AU53" i="5" s="1"/>
  <c r="AT3" i="5"/>
  <c r="AT53" i="5" s="1"/>
  <c r="AS3" i="5"/>
  <c r="AR3" i="5"/>
  <c r="AP3" i="5"/>
  <c r="AP53" i="5" s="1"/>
  <c r="AO3" i="5"/>
  <c r="AO53" i="5" s="1"/>
  <c r="AN3" i="5"/>
  <c r="AM3" i="5"/>
  <c r="AL3" i="5"/>
  <c r="AL53" i="5" s="1"/>
  <c r="AK3" i="5"/>
  <c r="AK53" i="5" s="1"/>
  <c r="AI3" i="5"/>
  <c r="AI53" i="5" s="1"/>
  <c r="AH3" i="5"/>
  <c r="AH53" i="5" s="1"/>
  <c r="AG3" i="5"/>
  <c r="AG53" i="5" s="1"/>
  <c r="AF3" i="5"/>
  <c r="AE3" i="5"/>
  <c r="AE53" i="5" s="1"/>
  <c r="AD3" i="5"/>
  <c r="AD53" i="5" s="1"/>
  <c r="AB3" i="5"/>
  <c r="AA3" i="5"/>
  <c r="AA53" i="5" s="1"/>
  <c r="Z3" i="5"/>
  <c r="Z53" i="5" s="1"/>
  <c r="Y3" i="5"/>
  <c r="Y53" i="5" s="1"/>
  <c r="D101" i="5" s="1"/>
  <c r="D109" i="5" s="1"/>
  <c r="X3" i="5"/>
  <c r="W3" i="5"/>
  <c r="W53" i="5" s="1"/>
  <c r="U3" i="5"/>
  <c r="U53" i="5" s="1"/>
  <c r="T3" i="5"/>
  <c r="T53" i="5" s="1"/>
  <c r="S3" i="5"/>
  <c r="S53" i="5" s="1"/>
  <c r="R3" i="5"/>
  <c r="R53" i="5" s="1"/>
  <c r="Q3" i="5"/>
  <c r="Q53" i="5" s="1"/>
  <c r="P3" i="5"/>
  <c r="N3" i="5"/>
  <c r="N53" i="5" s="1"/>
  <c r="M3" i="5"/>
  <c r="M53" i="5" s="1"/>
  <c r="L3" i="5"/>
  <c r="K3" i="5"/>
  <c r="K53" i="5" s="1"/>
  <c r="J3" i="5"/>
  <c r="J53" i="5" s="1"/>
  <c r="I3" i="5"/>
  <c r="I53" i="5" s="1"/>
  <c r="G3" i="5"/>
  <c r="G53" i="5" s="1"/>
  <c r="AI101" i="5" s="1"/>
  <c r="AI109" i="5" s="1"/>
  <c r="F3" i="5"/>
  <c r="F53" i="5" s="1"/>
  <c r="E3" i="5"/>
  <c r="E53" i="5" s="1"/>
  <c r="D3" i="5"/>
  <c r="C3" i="5"/>
  <c r="C53" i="5" s="1"/>
  <c r="B3" i="5"/>
  <c r="B53" i="5" s="1"/>
  <c r="AK55" i="3"/>
  <c r="AL55" i="3" s="1"/>
  <c r="S60" i="4" s="1"/>
  <c r="AK54" i="3"/>
  <c r="AL54" i="3" s="1"/>
  <c r="R60" i="4" s="1"/>
  <c r="AK53" i="3"/>
  <c r="AL53" i="3" s="1"/>
  <c r="Q60" i="4" s="1"/>
  <c r="AK52" i="3"/>
  <c r="AL52" i="3" s="1"/>
  <c r="P60" i="4" s="1"/>
  <c r="AK51" i="3"/>
  <c r="AL51" i="3" s="1"/>
  <c r="O60" i="4" s="1"/>
  <c r="AK50" i="3"/>
  <c r="AL50" i="3" s="1"/>
  <c r="N60" i="4" s="1"/>
  <c r="AK49" i="3"/>
  <c r="AL49" i="3" s="1"/>
  <c r="M60" i="4" s="1"/>
  <c r="AK48" i="3"/>
  <c r="AL48" i="3" s="1"/>
  <c r="L60" i="4" s="1"/>
  <c r="AK47" i="3"/>
  <c r="AL47" i="3" s="1"/>
  <c r="K60" i="4" s="1"/>
  <c r="AK46" i="3"/>
  <c r="AL46" i="3" s="1"/>
  <c r="J60" i="4" s="1"/>
  <c r="AK45" i="3"/>
  <c r="AL45" i="3" s="1"/>
  <c r="I60" i="4" s="1"/>
  <c r="AK44" i="3"/>
  <c r="AL44" i="3" s="1"/>
  <c r="H60" i="4" s="1"/>
  <c r="AK41" i="3"/>
  <c r="AL41" i="3" s="1"/>
  <c r="S46" i="4" s="1"/>
  <c r="AK40" i="3"/>
  <c r="AL40" i="3" s="1"/>
  <c r="R46" i="4" s="1"/>
  <c r="AK39" i="3"/>
  <c r="AL39" i="3" s="1"/>
  <c r="Q46" i="4" s="1"/>
  <c r="AK38" i="3"/>
  <c r="AL38" i="3" s="1"/>
  <c r="P46" i="4" s="1"/>
  <c r="AK37" i="3"/>
  <c r="AL37" i="3" s="1"/>
  <c r="O46" i="4" s="1"/>
  <c r="AK36" i="3"/>
  <c r="AL36" i="3" s="1"/>
  <c r="N46" i="4" s="1"/>
  <c r="AK35" i="3"/>
  <c r="AL35" i="3" s="1"/>
  <c r="M46" i="4" s="1"/>
  <c r="AK34" i="3"/>
  <c r="AL34" i="3" s="1"/>
  <c r="L46" i="4" s="1"/>
  <c r="AK33" i="3"/>
  <c r="AL33" i="3" s="1"/>
  <c r="K46" i="4" s="1"/>
  <c r="AK32" i="3"/>
  <c r="AL32" i="3" s="1"/>
  <c r="J46" i="4" s="1"/>
  <c r="AK31" i="3"/>
  <c r="AL31" i="3" s="1"/>
  <c r="I46" i="4" s="1"/>
  <c r="AK30" i="3"/>
  <c r="AL30" i="3" s="1"/>
  <c r="H46" i="4" s="1"/>
  <c r="AK27" i="3"/>
  <c r="AL27" i="3" s="1"/>
  <c r="S32" i="4" s="1"/>
  <c r="AK26" i="3"/>
  <c r="AL26" i="3" s="1"/>
  <c r="R32" i="4" s="1"/>
  <c r="AK25" i="3"/>
  <c r="AL25" i="3" s="1"/>
  <c r="Q32" i="4" s="1"/>
  <c r="AK24" i="3"/>
  <c r="AL24" i="3" s="1"/>
  <c r="P32" i="4" s="1"/>
  <c r="AK23" i="3"/>
  <c r="AL23" i="3" s="1"/>
  <c r="O32" i="4" s="1"/>
  <c r="AK22" i="3"/>
  <c r="AL22" i="3" s="1"/>
  <c r="N32" i="4" s="1"/>
  <c r="AK21" i="3"/>
  <c r="AL21" i="3" s="1"/>
  <c r="M32" i="4" s="1"/>
  <c r="AK20" i="3"/>
  <c r="AL20" i="3" s="1"/>
  <c r="L32" i="4" s="1"/>
  <c r="AK19" i="3"/>
  <c r="AL19" i="3" s="1"/>
  <c r="K32" i="4" s="1"/>
  <c r="AK18" i="3"/>
  <c r="AL18" i="3" s="1"/>
  <c r="J32" i="4" s="1"/>
  <c r="AK17" i="3"/>
  <c r="AL17" i="3" s="1"/>
  <c r="I32" i="4" s="1"/>
  <c r="AK16" i="3"/>
  <c r="AL16" i="3" s="1"/>
  <c r="H32" i="4" s="1"/>
  <c r="AK13" i="3"/>
  <c r="AL13" i="3" s="1"/>
  <c r="S18" i="4" s="1"/>
  <c r="AK12" i="3"/>
  <c r="AL12" i="3" s="1"/>
  <c r="R18" i="4" s="1"/>
  <c r="AK11" i="3"/>
  <c r="AL11" i="3" s="1"/>
  <c r="Q18" i="4" s="1"/>
  <c r="AK10" i="3"/>
  <c r="AL10" i="3" s="1"/>
  <c r="P18" i="4" s="1"/>
  <c r="AK9" i="3"/>
  <c r="AL9" i="3" s="1"/>
  <c r="O18" i="4" s="1"/>
  <c r="AK8" i="3"/>
  <c r="AL8" i="3" s="1"/>
  <c r="N18" i="4" s="1"/>
  <c r="AK7" i="3"/>
  <c r="AL7" i="3" s="1"/>
  <c r="M18" i="4" s="1"/>
  <c r="AK6" i="3"/>
  <c r="AL6" i="3" s="1"/>
  <c r="L18" i="4" s="1"/>
  <c r="AK5" i="3"/>
  <c r="AL5" i="3" s="1"/>
  <c r="K18" i="4" s="1"/>
  <c r="AK4" i="3"/>
  <c r="AL4" i="3" s="1"/>
  <c r="J18" i="4" s="1"/>
  <c r="AK3" i="3"/>
  <c r="AL3" i="3" s="1"/>
  <c r="I18" i="4" s="1"/>
  <c r="AK2" i="3"/>
  <c r="AL2" i="3" s="1"/>
  <c r="H18" i="4" s="1"/>
  <c r="HJ50" i="2"/>
  <c r="HC50" i="2"/>
  <c r="GV50" i="2"/>
  <c r="GH50" i="2"/>
  <c r="GA50" i="2"/>
  <c r="FT50" i="2"/>
  <c r="FF50" i="2"/>
  <c r="EY50" i="2"/>
  <c r="ER50" i="2"/>
  <c r="ED50" i="2"/>
  <c r="DW50" i="2"/>
  <c r="DP50" i="2"/>
  <c r="DI50" i="2"/>
  <c r="DB50" i="2"/>
  <c r="CU50" i="2"/>
  <c r="CN50" i="2"/>
  <c r="CG50" i="2"/>
  <c r="BZ50" i="2"/>
  <c r="BS50" i="2"/>
  <c r="BL50" i="2"/>
  <c r="BE50" i="2"/>
  <c r="AX50" i="2"/>
  <c r="AQ50" i="2"/>
  <c r="AJ50" i="2"/>
  <c r="AC50" i="2"/>
  <c r="V50" i="2"/>
  <c r="O50" i="2"/>
  <c r="H50" i="2"/>
  <c r="HJ49" i="2"/>
  <c r="HC49" i="2"/>
  <c r="GV49" i="2"/>
  <c r="GH49" i="2"/>
  <c r="GA49" i="2"/>
  <c r="FT49" i="2"/>
  <c r="FF49" i="2"/>
  <c r="EY49" i="2"/>
  <c r="ER49" i="2"/>
  <c r="ED49" i="2"/>
  <c r="DW49" i="2"/>
  <c r="DP49" i="2"/>
  <c r="DI49" i="2"/>
  <c r="DB49" i="2"/>
  <c r="CU49" i="2"/>
  <c r="CN49" i="2"/>
  <c r="CG49" i="2"/>
  <c r="BZ49" i="2"/>
  <c r="BS49" i="2"/>
  <c r="BL49" i="2"/>
  <c r="BE49" i="2"/>
  <c r="AX49" i="2"/>
  <c r="AQ49" i="2"/>
  <c r="AJ49" i="2"/>
  <c r="AC49" i="2"/>
  <c r="V49" i="2"/>
  <c r="O49" i="2"/>
  <c r="H49" i="2"/>
  <c r="HJ48" i="2"/>
  <c r="HC48" i="2"/>
  <c r="GV48" i="2"/>
  <c r="GH48" i="2"/>
  <c r="GA48" i="2"/>
  <c r="FT48" i="2"/>
  <c r="FF48" i="2"/>
  <c r="EY48" i="2"/>
  <c r="ER48" i="2"/>
  <c r="ED48" i="2"/>
  <c r="DW48" i="2"/>
  <c r="DP48" i="2"/>
  <c r="DI48" i="2"/>
  <c r="DB48" i="2"/>
  <c r="CU48" i="2"/>
  <c r="CN48" i="2"/>
  <c r="CG48" i="2"/>
  <c r="BZ48" i="2"/>
  <c r="BS48" i="2"/>
  <c r="BL48" i="2"/>
  <c r="BE48" i="2"/>
  <c r="AX48" i="2"/>
  <c r="AQ48" i="2"/>
  <c r="AJ48" i="2"/>
  <c r="AC48" i="2"/>
  <c r="V48" i="2"/>
  <c r="O48" i="2"/>
  <c r="H48" i="2"/>
  <c r="HJ47" i="2"/>
  <c r="HC47" i="2"/>
  <c r="GV47" i="2"/>
  <c r="GH47" i="2"/>
  <c r="GA47" i="2"/>
  <c r="FT47" i="2"/>
  <c r="FF47" i="2"/>
  <c r="EY47" i="2"/>
  <c r="ER47" i="2"/>
  <c r="ED47" i="2"/>
  <c r="DW47" i="2"/>
  <c r="DP47" i="2"/>
  <c r="DI47" i="2"/>
  <c r="DB47" i="2"/>
  <c r="CU47" i="2"/>
  <c r="CN47" i="2"/>
  <c r="CG47" i="2"/>
  <c r="BZ47" i="2"/>
  <c r="BS47" i="2"/>
  <c r="BL47" i="2"/>
  <c r="BE47" i="2"/>
  <c r="AX47" i="2"/>
  <c r="AQ47" i="2"/>
  <c r="AJ47" i="2"/>
  <c r="AC47" i="2"/>
  <c r="V47" i="2"/>
  <c r="O47" i="2"/>
  <c r="H47" i="2"/>
  <c r="HJ46" i="2"/>
  <c r="HC46" i="2"/>
  <c r="GV46" i="2"/>
  <c r="GH46" i="2"/>
  <c r="GA46" i="2"/>
  <c r="FT46" i="2"/>
  <c r="FF46" i="2"/>
  <c r="EY46" i="2"/>
  <c r="ER46" i="2"/>
  <c r="ED46" i="2"/>
  <c r="DW46" i="2"/>
  <c r="DP46" i="2"/>
  <c r="DI46" i="2"/>
  <c r="DB46" i="2"/>
  <c r="CU46" i="2"/>
  <c r="CN46" i="2"/>
  <c r="CG46" i="2"/>
  <c r="BZ46" i="2"/>
  <c r="BS46" i="2"/>
  <c r="BL46" i="2"/>
  <c r="BE46" i="2"/>
  <c r="AX46" i="2"/>
  <c r="AQ46" i="2"/>
  <c r="AJ46" i="2"/>
  <c r="AC46" i="2"/>
  <c r="V46" i="2"/>
  <c r="O46" i="2"/>
  <c r="H46" i="2"/>
  <c r="HJ45" i="2"/>
  <c r="HC45" i="2"/>
  <c r="GV45" i="2"/>
  <c r="GH45" i="2"/>
  <c r="GA45" i="2"/>
  <c r="FT45" i="2"/>
  <c r="FF45" i="2"/>
  <c r="EY45" i="2"/>
  <c r="ER45" i="2"/>
  <c r="ED45" i="2"/>
  <c r="DW45" i="2"/>
  <c r="DP45" i="2"/>
  <c r="DI45" i="2"/>
  <c r="DB45" i="2"/>
  <c r="CU45" i="2"/>
  <c r="CN45" i="2"/>
  <c r="CG45" i="2"/>
  <c r="BZ45" i="2"/>
  <c r="BS45" i="2"/>
  <c r="BL45" i="2"/>
  <c r="BE45" i="2"/>
  <c r="AX45" i="2"/>
  <c r="AQ45" i="2"/>
  <c r="AJ45" i="2"/>
  <c r="AC45" i="2"/>
  <c r="V45" i="2"/>
  <c r="O45" i="2"/>
  <c r="H45" i="2"/>
  <c r="HJ44" i="2"/>
  <c r="HC44" i="2"/>
  <c r="GV44" i="2"/>
  <c r="GH44" i="2"/>
  <c r="GA44" i="2"/>
  <c r="FT44" i="2"/>
  <c r="FF44" i="2"/>
  <c r="EY44" i="2"/>
  <c r="ER44" i="2"/>
  <c r="ED44" i="2"/>
  <c r="DW44" i="2"/>
  <c r="DP44" i="2"/>
  <c r="DI44" i="2"/>
  <c r="DB44" i="2"/>
  <c r="CU44" i="2"/>
  <c r="CN44" i="2"/>
  <c r="CG44" i="2"/>
  <c r="BZ44" i="2"/>
  <c r="BS44" i="2"/>
  <c r="BL44" i="2"/>
  <c r="BE44" i="2"/>
  <c r="AX44" i="2"/>
  <c r="AQ44" i="2"/>
  <c r="AJ44" i="2"/>
  <c r="AC44" i="2"/>
  <c r="V44" i="2"/>
  <c r="O44" i="2"/>
  <c r="H44" i="2"/>
  <c r="HJ43" i="2"/>
  <c r="HC43" i="2"/>
  <c r="GV43" i="2"/>
  <c r="GH43" i="2"/>
  <c r="GA43" i="2"/>
  <c r="FT43" i="2"/>
  <c r="FF43" i="2"/>
  <c r="EY43" i="2"/>
  <c r="ER43" i="2"/>
  <c r="ED43" i="2"/>
  <c r="DW43" i="2"/>
  <c r="DP43" i="2"/>
  <c r="DI43" i="2"/>
  <c r="DB43" i="2"/>
  <c r="CU43" i="2"/>
  <c r="CN43" i="2"/>
  <c r="CG43" i="2"/>
  <c r="BZ43" i="2"/>
  <c r="BS43" i="2"/>
  <c r="BL43" i="2"/>
  <c r="BE43" i="2"/>
  <c r="AX43" i="2"/>
  <c r="AQ43" i="2"/>
  <c r="AJ43" i="2"/>
  <c r="AC43" i="2"/>
  <c r="V43" i="2"/>
  <c r="O43" i="2"/>
  <c r="H43" i="2"/>
  <c r="HJ42" i="2"/>
  <c r="HC42" i="2"/>
  <c r="GV42" i="2"/>
  <c r="GH42" i="2"/>
  <c r="GA42" i="2"/>
  <c r="FT42" i="2"/>
  <c r="FF42" i="2"/>
  <c r="EY42" i="2"/>
  <c r="ER42" i="2"/>
  <c r="ED42" i="2"/>
  <c r="DW42" i="2"/>
  <c r="DP42" i="2"/>
  <c r="DI42" i="2"/>
  <c r="DB42" i="2"/>
  <c r="CU42" i="2"/>
  <c r="CN42" i="2"/>
  <c r="CG42" i="2"/>
  <c r="BZ42" i="2"/>
  <c r="BS42" i="2"/>
  <c r="BL42" i="2"/>
  <c r="BE42" i="2"/>
  <c r="AX42" i="2"/>
  <c r="AQ42" i="2"/>
  <c r="AJ42" i="2"/>
  <c r="AC42" i="2"/>
  <c r="V42" i="2"/>
  <c r="O42" i="2"/>
  <c r="H42" i="2"/>
  <c r="HJ41" i="2"/>
  <c r="HC41" i="2"/>
  <c r="GV41" i="2"/>
  <c r="GH41" i="2"/>
  <c r="GA41" i="2"/>
  <c r="FT41" i="2"/>
  <c r="FF41" i="2"/>
  <c r="EY41" i="2"/>
  <c r="ER41" i="2"/>
  <c r="ED41" i="2"/>
  <c r="DW41" i="2"/>
  <c r="DP41" i="2"/>
  <c r="DI41" i="2"/>
  <c r="DB41" i="2"/>
  <c r="CU41" i="2"/>
  <c r="CN41" i="2"/>
  <c r="CG41" i="2"/>
  <c r="BZ41" i="2"/>
  <c r="BS41" i="2"/>
  <c r="BL41" i="2"/>
  <c r="BE41" i="2"/>
  <c r="AX41" i="2"/>
  <c r="AQ41" i="2"/>
  <c r="AJ41" i="2"/>
  <c r="AC41" i="2"/>
  <c r="V41" i="2"/>
  <c r="O41" i="2"/>
  <c r="H41" i="2"/>
  <c r="HJ40" i="2"/>
  <c r="HC40" i="2"/>
  <c r="GV40" i="2"/>
  <c r="GH40" i="2"/>
  <c r="GA40" i="2"/>
  <c r="FT40" i="2"/>
  <c r="FF40" i="2"/>
  <c r="EY40" i="2"/>
  <c r="ER40" i="2"/>
  <c r="ED40" i="2"/>
  <c r="DW40" i="2"/>
  <c r="DP40" i="2"/>
  <c r="DI40" i="2"/>
  <c r="DB40" i="2"/>
  <c r="CU40" i="2"/>
  <c r="CN40" i="2"/>
  <c r="CG40" i="2"/>
  <c r="BZ40" i="2"/>
  <c r="BS40" i="2"/>
  <c r="BL40" i="2"/>
  <c r="BE40" i="2"/>
  <c r="AX40" i="2"/>
  <c r="AQ40" i="2"/>
  <c r="AJ40" i="2"/>
  <c r="AC40" i="2"/>
  <c r="V40" i="2"/>
  <c r="O40" i="2"/>
  <c r="H40" i="2"/>
  <c r="HJ39" i="2"/>
  <c r="HC39" i="2"/>
  <c r="GV39" i="2"/>
  <c r="GH39" i="2"/>
  <c r="GA39" i="2"/>
  <c r="FT39" i="2"/>
  <c r="FF39" i="2"/>
  <c r="EY39" i="2"/>
  <c r="ER39" i="2"/>
  <c r="ED39" i="2"/>
  <c r="DW39" i="2"/>
  <c r="DP39" i="2"/>
  <c r="DI39" i="2"/>
  <c r="DB39" i="2"/>
  <c r="CU39" i="2"/>
  <c r="CN39" i="2"/>
  <c r="CG39" i="2"/>
  <c r="BZ39" i="2"/>
  <c r="BS39" i="2"/>
  <c r="BL39" i="2"/>
  <c r="BE39" i="2"/>
  <c r="AX39" i="2"/>
  <c r="AQ39" i="2"/>
  <c r="AJ39" i="2"/>
  <c r="AC39" i="2"/>
  <c r="V39" i="2"/>
  <c r="O39" i="2"/>
  <c r="H39" i="2"/>
  <c r="HJ38" i="2"/>
  <c r="HC38" i="2"/>
  <c r="GV38" i="2"/>
  <c r="GH38" i="2"/>
  <c r="GA38" i="2"/>
  <c r="FT38" i="2"/>
  <c r="FF38" i="2"/>
  <c r="EY38" i="2"/>
  <c r="ER38" i="2"/>
  <c r="ED38" i="2"/>
  <c r="DW38" i="2"/>
  <c r="DP38" i="2"/>
  <c r="DI38" i="2"/>
  <c r="DB38" i="2"/>
  <c r="CU38" i="2"/>
  <c r="CN38" i="2"/>
  <c r="CG38" i="2"/>
  <c r="BZ38" i="2"/>
  <c r="BS38" i="2"/>
  <c r="BL38" i="2"/>
  <c r="BE38" i="2"/>
  <c r="AX38" i="2"/>
  <c r="AQ38" i="2"/>
  <c r="AJ38" i="2"/>
  <c r="AC38" i="2"/>
  <c r="V38" i="2"/>
  <c r="O38" i="2"/>
  <c r="H38" i="2"/>
  <c r="HJ37" i="2"/>
  <c r="HC37" i="2"/>
  <c r="GV37" i="2"/>
  <c r="GH37" i="2"/>
  <c r="GA37" i="2"/>
  <c r="FT37" i="2"/>
  <c r="FF37" i="2"/>
  <c r="EY37" i="2"/>
  <c r="ER37" i="2"/>
  <c r="ED37" i="2"/>
  <c r="DW37" i="2"/>
  <c r="DP37" i="2"/>
  <c r="DI37" i="2"/>
  <c r="DB37" i="2"/>
  <c r="CU37" i="2"/>
  <c r="CN37" i="2"/>
  <c r="CG37" i="2"/>
  <c r="BZ37" i="2"/>
  <c r="BS37" i="2"/>
  <c r="BL37" i="2"/>
  <c r="BE37" i="2"/>
  <c r="AX37" i="2"/>
  <c r="AQ37" i="2"/>
  <c r="AJ37" i="2"/>
  <c r="AC37" i="2"/>
  <c r="V37" i="2"/>
  <c r="O37" i="2"/>
  <c r="H37" i="2"/>
  <c r="HJ36" i="2"/>
  <c r="HC36" i="2"/>
  <c r="GV36" i="2"/>
  <c r="GH36" i="2"/>
  <c r="GA36" i="2"/>
  <c r="FT36" i="2"/>
  <c r="FF36" i="2"/>
  <c r="EY36" i="2"/>
  <c r="ER36" i="2"/>
  <c r="ED36" i="2"/>
  <c r="DW36" i="2"/>
  <c r="DP36" i="2"/>
  <c r="DI36" i="2"/>
  <c r="DB36" i="2"/>
  <c r="CU36" i="2"/>
  <c r="CN36" i="2"/>
  <c r="CG36" i="2"/>
  <c r="BZ36" i="2"/>
  <c r="BS36" i="2"/>
  <c r="BL36" i="2"/>
  <c r="BE36" i="2"/>
  <c r="AX36" i="2"/>
  <c r="AQ36" i="2"/>
  <c r="AJ36" i="2"/>
  <c r="AC36" i="2"/>
  <c r="V36" i="2"/>
  <c r="O36" i="2"/>
  <c r="H36" i="2"/>
  <c r="HJ35" i="2"/>
  <c r="HC35" i="2"/>
  <c r="GV35" i="2"/>
  <c r="GH35" i="2"/>
  <c r="GA35" i="2"/>
  <c r="FT35" i="2"/>
  <c r="FF35" i="2"/>
  <c r="EY35" i="2"/>
  <c r="ER35" i="2"/>
  <c r="ED35" i="2"/>
  <c r="DW35" i="2"/>
  <c r="DP35" i="2"/>
  <c r="DI35" i="2"/>
  <c r="DB35" i="2"/>
  <c r="CU35" i="2"/>
  <c r="CN35" i="2"/>
  <c r="CG35" i="2"/>
  <c r="BZ35" i="2"/>
  <c r="BS35" i="2"/>
  <c r="BL35" i="2"/>
  <c r="BE35" i="2"/>
  <c r="AX35" i="2"/>
  <c r="AQ35" i="2"/>
  <c r="AJ35" i="2"/>
  <c r="AC35" i="2"/>
  <c r="V35" i="2"/>
  <c r="O35" i="2"/>
  <c r="H35" i="2"/>
  <c r="HJ34" i="2"/>
  <c r="HC34" i="2"/>
  <c r="GV34" i="2"/>
  <c r="GH34" i="2"/>
  <c r="GA34" i="2"/>
  <c r="FT34" i="2"/>
  <c r="FF34" i="2"/>
  <c r="EY34" i="2"/>
  <c r="ER34" i="2"/>
  <c r="ED34" i="2"/>
  <c r="DW34" i="2"/>
  <c r="DP34" i="2"/>
  <c r="DI34" i="2"/>
  <c r="DB34" i="2"/>
  <c r="CU34" i="2"/>
  <c r="CN34" i="2"/>
  <c r="CG34" i="2"/>
  <c r="BZ34" i="2"/>
  <c r="BS34" i="2"/>
  <c r="BL34" i="2"/>
  <c r="BE34" i="2"/>
  <c r="AX34" i="2"/>
  <c r="AQ34" i="2"/>
  <c r="AJ34" i="2"/>
  <c r="AC34" i="2"/>
  <c r="V34" i="2"/>
  <c r="O34" i="2"/>
  <c r="H34" i="2"/>
  <c r="HJ33" i="2"/>
  <c r="HC33" i="2"/>
  <c r="GV33" i="2"/>
  <c r="GH33" i="2"/>
  <c r="GA33" i="2"/>
  <c r="FT33" i="2"/>
  <c r="FF33" i="2"/>
  <c r="EY33" i="2"/>
  <c r="ER33" i="2"/>
  <c r="ED33" i="2"/>
  <c r="DW33" i="2"/>
  <c r="DP33" i="2"/>
  <c r="DI33" i="2"/>
  <c r="DB33" i="2"/>
  <c r="CU33" i="2"/>
  <c r="CN33" i="2"/>
  <c r="CG33" i="2"/>
  <c r="BZ33" i="2"/>
  <c r="BS33" i="2"/>
  <c r="BL33" i="2"/>
  <c r="BE33" i="2"/>
  <c r="AX33" i="2"/>
  <c r="AQ33" i="2"/>
  <c r="AJ33" i="2"/>
  <c r="AC33" i="2"/>
  <c r="V33" i="2"/>
  <c r="O33" i="2"/>
  <c r="H33" i="2"/>
  <c r="HJ32" i="2"/>
  <c r="HC32" i="2"/>
  <c r="GV32" i="2"/>
  <c r="GH32" i="2"/>
  <c r="GA32" i="2"/>
  <c r="FT32" i="2"/>
  <c r="FF32" i="2"/>
  <c r="EY32" i="2"/>
  <c r="ER32" i="2"/>
  <c r="ED32" i="2"/>
  <c r="DW32" i="2"/>
  <c r="DP32" i="2"/>
  <c r="DI32" i="2"/>
  <c r="DB32" i="2"/>
  <c r="CU32" i="2"/>
  <c r="CN32" i="2"/>
  <c r="CG32" i="2"/>
  <c r="BZ32" i="2"/>
  <c r="BS32" i="2"/>
  <c r="BL32" i="2"/>
  <c r="BE32" i="2"/>
  <c r="AX32" i="2"/>
  <c r="AQ32" i="2"/>
  <c r="AJ32" i="2"/>
  <c r="AC32" i="2"/>
  <c r="V32" i="2"/>
  <c r="O32" i="2"/>
  <c r="H32" i="2"/>
  <c r="HJ31" i="2"/>
  <c r="HC31" i="2"/>
  <c r="GV31" i="2"/>
  <c r="GH31" i="2"/>
  <c r="GA31" i="2"/>
  <c r="FT31" i="2"/>
  <c r="FF31" i="2"/>
  <c r="EY31" i="2"/>
  <c r="ER31" i="2"/>
  <c r="ED31" i="2"/>
  <c r="DW31" i="2"/>
  <c r="DP31" i="2"/>
  <c r="DI31" i="2"/>
  <c r="DB31" i="2"/>
  <c r="CU31" i="2"/>
  <c r="CN31" i="2"/>
  <c r="CG31" i="2"/>
  <c r="BZ31" i="2"/>
  <c r="BS31" i="2"/>
  <c r="BL31" i="2"/>
  <c r="BE31" i="2"/>
  <c r="AX31" i="2"/>
  <c r="AQ31" i="2"/>
  <c r="AJ31" i="2"/>
  <c r="AC31" i="2"/>
  <c r="V31" i="2"/>
  <c r="O31" i="2"/>
  <c r="H31" i="2"/>
  <c r="HJ30" i="2"/>
  <c r="HC30" i="2"/>
  <c r="GV30" i="2"/>
  <c r="GH30" i="2"/>
  <c r="GA30" i="2"/>
  <c r="FT30" i="2"/>
  <c r="FF30" i="2"/>
  <c r="EY30" i="2"/>
  <c r="ER30" i="2"/>
  <c r="ED30" i="2"/>
  <c r="DW30" i="2"/>
  <c r="DP30" i="2"/>
  <c r="DI30" i="2"/>
  <c r="DB30" i="2"/>
  <c r="CU30" i="2"/>
  <c r="CN30" i="2"/>
  <c r="CG30" i="2"/>
  <c r="BZ30" i="2"/>
  <c r="BS30" i="2"/>
  <c r="BL30" i="2"/>
  <c r="BE30" i="2"/>
  <c r="AX30" i="2"/>
  <c r="AQ30" i="2"/>
  <c r="AJ30" i="2"/>
  <c r="AC30" i="2"/>
  <c r="V30" i="2"/>
  <c r="O30" i="2"/>
  <c r="H30" i="2"/>
  <c r="HJ29" i="2"/>
  <c r="HC29" i="2"/>
  <c r="GV29" i="2"/>
  <c r="GH29" i="2"/>
  <c r="GA29" i="2"/>
  <c r="FT29" i="2"/>
  <c r="FF29" i="2"/>
  <c r="EY29" i="2"/>
  <c r="ER29" i="2"/>
  <c r="ED29" i="2"/>
  <c r="DW29" i="2"/>
  <c r="DP29" i="2"/>
  <c r="DI29" i="2"/>
  <c r="DB29" i="2"/>
  <c r="CU29" i="2"/>
  <c r="CN29" i="2"/>
  <c r="CG29" i="2"/>
  <c r="BZ29" i="2"/>
  <c r="BS29" i="2"/>
  <c r="BL29" i="2"/>
  <c r="BE29" i="2"/>
  <c r="AX29" i="2"/>
  <c r="AQ29" i="2"/>
  <c r="AJ29" i="2"/>
  <c r="AC29" i="2"/>
  <c r="V29" i="2"/>
  <c r="O29" i="2"/>
  <c r="H29" i="2"/>
  <c r="HJ28" i="2"/>
  <c r="HC28" i="2"/>
  <c r="GV28" i="2"/>
  <c r="GH28" i="2"/>
  <c r="GA28" i="2"/>
  <c r="FT28" i="2"/>
  <c r="FF28" i="2"/>
  <c r="EY28" i="2"/>
  <c r="ER28" i="2"/>
  <c r="ED28" i="2"/>
  <c r="DW28" i="2"/>
  <c r="DP28" i="2"/>
  <c r="DI28" i="2"/>
  <c r="DB28" i="2"/>
  <c r="CU28" i="2"/>
  <c r="CN28" i="2"/>
  <c r="CG28" i="2"/>
  <c r="BZ28" i="2"/>
  <c r="BS28" i="2"/>
  <c r="BL28" i="2"/>
  <c r="BE28" i="2"/>
  <c r="AX28" i="2"/>
  <c r="AQ28" i="2"/>
  <c r="AJ28" i="2"/>
  <c r="AC28" i="2"/>
  <c r="V28" i="2"/>
  <c r="O28" i="2"/>
  <c r="H28" i="2"/>
  <c r="HJ27" i="2"/>
  <c r="HC27" i="2"/>
  <c r="GV27" i="2"/>
  <c r="GH27" i="2"/>
  <c r="GA27" i="2"/>
  <c r="FT27" i="2"/>
  <c r="FF27" i="2"/>
  <c r="EY27" i="2"/>
  <c r="ER27" i="2"/>
  <c r="ED27" i="2"/>
  <c r="DW27" i="2"/>
  <c r="DP27" i="2"/>
  <c r="DI27" i="2"/>
  <c r="DB27" i="2"/>
  <c r="CU27" i="2"/>
  <c r="CN27" i="2"/>
  <c r="CG27" i="2"/>
  <c r="BZ27" i="2"/>
  <c r="BS27" i="2"/>
  <c r="BL27" i="2"/>
  <c r="BE27" i="2"/>
  <c r="AX27" i="2"/>
  <c r="AQ27" i="2"/>
  <c r="AJ27" i="2"/>
  <c r="AC27" i="2"/>
  <c r="V27" i="2"/>
  <c r="O27" i="2"/>
  <c r="H27" i="2"/>
  <c r="HJ26" i="2"/>
  <c r="HC26" i="2"/>
  <c r="GV26" i="2"/>
  <c r="GH26" i="2"/>
  <c r="GA26" i="2"/>
  <c r="FT26" i="2"/>
  <c r="FF26" i="2"/>
  <c r="EY26" i="2"/>
  <c r="ER26" i="2"/>
  <c r="ED26" i="2"/>
  <c r="DW26" i="2"/>
  <c r="DP26" i="2"/>
  <c r="DI26" i="2"/>
  <c r="DB26" i="2"/>
  <c r="CU26" i="2"/>
  <c r="CN26" i="2"/>
  <c r="CG26" i="2"/>
  <c r="BZ26" i="2"/>
  <c r="BS26" i="2"/>
  <c r="BL26" i="2"/>
  <c r="BE26" i="2"/>
  <c r="AX26" i="2"/>
  <c r="AQ26" i="2"/>
  <c r="AJ26" i="2"/>
  <c r="AC26" i="2"/>
  <c r="V26" i="2"/>
  <c r="O26" i="2"/>
  <c r="H26" i="2"/>
  <c r="HJ25" i="2"/>
  <c r="HC25" i="2"/>
  <c r="GV25" i="2"/>
  <c r="GH25" i="2"/>
  <c r="GA25" i="2"/>
  <c r="FT25" i="2"/>
  <c r="FF25" i="2"/>
  <c r="EY25" i="2"/>
  <c r="ER25" i="2"/>
  <c r="ED25" i="2"/>
  <c r="DW25" i="2"/>
  <c r="DP25" i="2"/>
  <c r="DI25" i="2"/>
  <c r="DB25" i="2"/>
  <c r="CU25" i="2"/>
  <c r="CN25" i="2"/>
  <c r="CG25" i="2"/>
  <c r="BZ25" i="2"/>
  <c r="BS25" i="2"/>
  <c r="BL25" i="2"/>
  <c r="BE25" i="2"/>
  <c r="AX25" i="2"/>
  <c r="AQ25" i="2"/>
  <c r="AJ25" i="2"/>
  <c r="AC25" i="2"/>
  <c r="V25" i="2"/>
  <c r="O25" i="2"/>
  <c r="H25" i="2"/>
  <c r="HJ24" i="2"/>
  <c r="HC24" i="2"/>
  <c r="GV24" i="2"/>
  <c r="GH24" i="2"/>
  <c r="GA24" i="2"/>
  <c r="FT24" i="2"/>
  <c r="FF24" i="2"/>
  <c r="EY24" i="2"/>
  <c r="ER24" i="2"/>
  <c r="ED24" i="2"/>
  <c r="DW24" i="2"/>
  <c r="DP24" i="2"/>
  <c r="DI24" i="2"/>
  <c r="DB24" i="2"/>
  <c r="CU24" i="2"/>
  <c r="CN24" i="2"/>
  <c r="CG24" i="2"/>
  <c r="BZ24" i="2"/>
  <c r="BS24" i="2"/>
  <c r="BL24" i="2"/>
  <c r="BE24" i="2"/>
  <c r="AX24" i="2"/>
  <c r="AQ24" i="2"/>
  <c r="AJ24" i="2"/>
  <c r="AC24" i="2"/>
  <c r="V24" i="2"/>
  <c r="O24" i="2"/>
  <c r="H24" i="2"/>
  <c r="HJ23" i="2"/>
  <c r="HC23" i="2"/>
  <c r="GV23" i="2"/>
  <c r="GH23" i="2"/>
  <c r="GA23" i="2"/>
  <c r="FT23" i="2"/>
  <c r="FF23" i="2"/>
  <c r="EY23" i="2"/>
  <c r="ER23" i="2"/>
  <c r="ED23" i="2"/>
  <c r="DW23" i="2"/>
  <c r="DP23" i="2"/>
  <c r="DI23" i="2"/>
  <c r="DB23" i="2"/>
  <c r="CU23" i="2"/>
  <c r="CN23" i="2"/>
  <c r="CG23" i="2"/>
  <c r="BZ23" i="2"/>
  <c r="BS23" i="2"/>
  <c r="BL23" i="2"/>
  <c r="BE23" i="2"/>
  <c r="AX23" i="2"/>
  <c r="AQ23" i="2"/>
  <c r="AJ23" i="2"/>
  <c r="AC23" i="2"/>
  <c r="V23" i="2"/>
  <c r="O23" i="2"/>
  <c r="H23" i="2"/>
  <c r="HJ22" i="2"/>
  <c r="HC22" i="2"/>
  <c r="GV22" i="2"/>
  <c r="GH22" i="2"/>
  <c r="GA22" i="2"/>
  <c r="FT22" i="2"/>
  <c r="FF22" i="2"/>
  <c r="EY22" i="2"/>
  <c r="ER22" i="2"/>
  <c r="ED22" i="2"/>
  <c r="DW22" i="2"/>
  <c r="DP22" i="2"/>
  <c r="DI22" i="2"/>
  <c r="DB22" i="2"/>
  <c r="CU22" i="2"/>
  <c r="CN22" i="2"/>
  <c r="CG22" i="2"/>
  <c r="BZ22" i="2"/>
  <c r="BS22" i="2"/>
  <c r="BL22" i="2"/>
  <c r="BE22" i="2"/>
  <c r="AX22" i="2"/>
  <c r="AQ22" i="2"/>
  <c r="AJ22" i="2"/>
  <c r="AC22" i="2"/>
  <c r="V22" i="2"/>
  <c r="O22" i="2"/>
  <c r="H22" i="2"/>
  <c r="HJ21" i="2"/>
  <c r="HC21" i="2"/>
  <c r="GV21" i="2"/>
  <c r="GH21" i="2"/>
  <c r="GA21" i="2"/>
  <c r="FT21" i="2"/>
  <c r="FF21" i="2"/>
  <c r="EY21" i="2"/>
  <c r="ER21" i="2"/>
  <c r="ED21" i="2"/>
  <c r="DW21" i="2"/>
  <c r="DP21" i="2"/>
  <c r="DI21" i="2"/>
  <c r="DB21" i="2"/>
  <c r="CU21" i="2"/>
  <c r="CN21" i="2"/>
  <c r="CG21" i="2"/>
  <c r="BZ21" i="2"/>
  <c r="BS21" i="2"/>
  <c r="BL21" i="2"/>
  <c r="BE21" i="2"/>
  <c r="AX21" i="2"/>
  <c r="AQ21" i="2"/>
  <c r="AJ21" i="2"/>
  <c r="AC21" i="2"/>
  <c r="V21" i="2"/>
  <c r="O21" i="2"/>
  <c r="H21" i="2"/>
  <c r="HJ20" i="2"/>
  <c r="HC20" i="2"/>
  <c r="GV20" i="2"/>
  <c r="GH20" i="2"/>
  <c r="GA20" i="2"/>
  <c r="FT20" i="2"/>
  <c r="FF20" i="2"/>
  <c r="EY20" i="2"/>
  <c r="ER20" i="2"/>
  <c r="ED20" i="2"/>
  <c r="DW20" i="2"/>
  <c r="DP20" i="2"/>
  <c r="DI20" i="2"/>
  <c r="DB20" i="2"/>
  <c r="CU20" i="2"/>
  <c r="CN20" i="2"/>
  <c r="CG20" i="2"/>
  <c r="BZ20" i="2"/>
  <c r="BS20" i="2"/>
  <c r="BL20" i="2"/>
  <c r="BE20" i="2"/>
  <c r="AX20" i="2"/>
  <c r="AQ20" i="2"/>
  <c r="AJ20" i="2"/>
  <c r="AC20" i="2"/>
  <c r="V20" i="2"/>
  <c r="O20" i="2"/>
  <c r="H20" i="2"/>
  <c r="HJ19" i="2"/>
  <c r="HC19" i="2"/>
  <c r="GV19" i="2"/>
  <c r="GH19" i="2"/>
  <c r="GA19" i="2"/>
  <c r="FT19" i="2"/>
  <c r="FF19" i="2"/>
  <c r="EY19" i="2"/>
  <c r="ER19" i="2"/>
  <c r="ED19" i="2"/>
  <c r="DW19" i="2"/>
  <c r="DP19" i="2"/>
  <c r="DI19" i="2"/>
  <c r="DB19" i="2"/>
  <c r="CU19" i="2"/>
  <c r="CN19" i="2"/>
  <c r="CG19" i="2"/>
  <c r="BZ19" i="2"/>
  <c r="BS19" i="2"/>
  <c r="BL19" i="2"/>
  <c r="BE19" i="2"/>
  <c r="AX19" i="2"/>
  <c r="AQ19" i="2"/>
  <c r="AJ19" i="2"/>
  <c r="AC19" i="2"/>
  <c r="V19" i="2"/>
  <c r="O19" i="2"/>
  <c r="H19" i="2"/>
  <c r="HJ18" i="2"/>
  <c r="HC18" i="2"/>
  <c r="GV18" i="2"/>
  <c r="GH18" i="2"/>
  <c r="GA18" i="2"/>
  <c r="FT18" i="2"/>
  <c r="FF18" i="2"/>
  <c r="EY18" i="2"/>
  <c r="ER18" i="2"/>
  <c r="ED18" i="2"/>
  <c r="DW18" i="2"/>
  <c r="DP18" i="2"/>
  <c r="DI18" i="2"/>
  <c r="DB18" i="2"/>
  <c r="CU18" i="2"/>
  <c r="CN18" i="2"/>
  <c r="CG18" i="2"/>
  <c r="BZ18" i="2"/>
  <c r="BS18" i="2"/>
  <c r="BL18" i="2"/>
  <c r="BE18" i="2"/>
  <c r="AX18" i="2"/>
  <c r="AQ18" i="2"/>
  <c r="AJ18" i="2"/>
  <c r="AC18" i="2"/>
  <c r="V18" i="2"/>
  <c r="O18" i="2"/>
  <c r="H18" i="2"/>
  <c r="HJ17" i="2"/>
  <c r="HC17" i="2"/>
  <c r="GV17" i="2"/>
  <c r="GH17" i="2"/>
  <c r="GA17" i="2"/>
  <c r="FT17" i="2"/>
  <c r="FF17" i="2"/>
  <c r="EY17" i="2"/>
  <c r="ER17" i="2"/>
  <c r="ED17" i="2"/>
  <c r="DW17" i="2"/>
  <c r="DP17" i="2"/>
  <c r="DI17" i="2"/>
  <c r="DB17" i="2"/>
  <c r="CU17" i="2"/>
  <c r="CN17" i="2"/>
  <c r="CG17" i="2"/>
  <c r="BZ17" i="2"/>
  <c r="BS17" i="2"/>
  <c r="BL17" i="2"/>
  <c r="BE17" i="2"/>
  <c r="AX17" i="2"/>
  <c r="AQ17" i="2"/>
  <c r="AJ17" i="2"/>
  <c r="AC17" i="2"/>
  <c r="V17" i="2"/>
  <c r="O17" i="2"/>
  <c r="H17" i="2"/>
  <c r="HJ16" i="2"/>
  <c r="HC16" i="2"/>
  <c r="GV16" i="2"/>
  <c r="GH16" i="2"/>
  <c r="GA16" i="2"/>
  <c r="FT16" i="2"/>
  <c r="FF16" i="2"/>
  <c r="EY16" i="2"/>
  <c r="ER16" i="2"/>
  <c r="ED16" i="2"/>
  <c r="DW16" i="2"/>
  <c r="DP16" i="2"/>
  <c r="DI16" i="2"/>
  <c r="DB16" i="2"/>
  <c r="CU16" i="2"/>
  <c r="CN16" i="2"/>
  <c r="CG16" i="2"/>
  <c r="BZ16" i="2"/>
  <c r="BS16" i="2"/>
  <c r="BL16" i="2"/>
  <c r="BE16" i="2"/>
  <c r="AX16" i="2"/>
  <c r="AQ16" i="2"/>
  <c r="AJ16" i="2"/>
  <c r="AC16" i="2"/>
  <c r="V16" i="2"/>
  <c r="O16" i="2"/>
  <c r="H16" i="2"/>
  <c r="HJ15" i="2"/>
  <c r="HC15" i="2"/>
  <c r="GV15" i="2"/>
  <c r="GH15" i="2"/>
  <c r="GA15" i="2"/>
  <c r="FT15" i="2"/>
  <c r="FF15" i="2"/>
  <c r="EY15" i="2"/>
  <c r="ER15" i="2"/>
  <c r="ED15" i="2"/>
  <c r="DW15" i="2"/>
  <c r="DP15" i="2"/>
  <c r="DI15" i="2"/>
  <c r="DB15" i="2"/>
  <c r="CU15" i="2"/>
  <c r="CN15" i="2"/>
  <c r="CG15" i="2"/>
  <c r="BZ15" i="2"/>
  <c r="BS15" i="2"/>
  <c r="BL15" i="2"/>
  <c r="BE15" i="2"/>
  <c r="AX15" i="2"/>
  <c r="AQ15" i="2"/>
  <c r="AJ15" i="2"/>
  <c r="AC15" i="2"/>
  <c r="V15" i="2"/>
  <c r="O15" i="2"/>
  <c r="H15" i="2"/>
  <c r="HJ14" i="2"/>
  <c r="HC14" i="2"/>
  <c r="GV14" i="2"/>
  <c r="GH14" i="2"/>
  <c r="GA14" i="2"/>
  <c r="FT14" i="2"/>
  <c r="FF14" i="2"/>
  <c r="EY14" i="2"/>
  <c r="ER14" i="2"/>
  <c r="ED14" i="2"/>
  <c r="DW14" i="2"/>
  <c r="DP14" i="2"/>
  <c r="DI14" i="2"/>
  <c r="DB14" i="2"/>
  <c r="CU14" i="2"/>
  <c r="CN14" i="2"/>
  <c r="CG14" i="2"/>
  <c r="BZ14" i="2"/>
  <c r="BS14" i="2"/>
  <c r="BL14" i="2"/>
  <c r="BE14" i="2"/>
  <c r="AX14" i="2"/>
  <c r="AQ14" i="2"/>
  <c r="AJ14" i="2"/>
  <c r="AC14" i="2"/>
  <c r="V14" i="2"/>
  <c r="O14" i="2"/>
  <c r="H14" i="2"/>
  <c r="HJ13" i="2"/>
  <c r="HC13" i="2"/>
  <c r="GV13" i="2"/>
  <c r="GH13" i="2"/>
  <c r="GA13" i="2"/>
  <c r="FT13" i="2"/>
  <c r="FF13" i="2"/>
  <c r="EY13" i="2"/>
  <c r="ER13" i="2"/>
  <c r="ED13" i="2"/>
  <c r="DW13" i="2"/>
  <c r="DP13" i="2"/>
  <c r="DI13" i="2"/>
  <c r="DB13" i="2"/>
  <c r="CU13" i="2"/>
  <c r="CN13" i="2"/>
  <c r="CG13" i="2"/>
  <c r="BZ13" i="2"/>
  <c r="BS13" i="2"/>
  <c r="BL13" i="2"/>
  <c r="BE13" i="2"/>
  <c r="AX13" i="2"/>
  <c r="AQ13" i="2"/>
  <c r="AJ13" i="2"/>
  <c r="AC13" i="2"/>
  <c r="V13" i="2"/>
  <c r="O13" i="2"/>
  <c r="H13" i="2"/>
  <c r="HJ12" i="2"/>
  <c r="HC12" i="2"/>
  <c r="GV12" i="2"/>
  <c r="GH12" i="2"/>
  <c r="GA12" i="2"/>
  <c r="FT12" i="2"/>
  <c r="FF12" i="2"/>
  <c r="EY12" i="2"/>
  <c r="ER12" i="2"/>
  <c r="ED12" i="2"/>
  <c r="DW12" i="2"/>
  <c r="DP12" i="2"/>
  <c r="DI12" i="2"/>
  <c r="DB12" i="2"/>
  <c r="CU12" i="2"/>
  <c r="CN12" i="2"/>
  <c r="CG12" i="2"/>
  <c r="BZ12" i="2"/>
  <c r="BS12" i="2"/>
  <c r="BL12" i="2"/>
  <c r="BE12" i="2"/>
  <c r="AX12" i="2"/>
  <c r="AQ12" i="2"/>
  <c r="AJ12" i="2"/>
  <c r="AC12" i="2"/>
  <c r="V12" i="2"/>
  <c r="O12" i="2"/>
  <c r="H12" i="2"/>
  <c r="HJ11" i="2"/>
  <c r="HC11" i="2"/>
  <c r="GV11" i="2"/>
  <c r="GH11" i="2"/>
  <c r="GA11" i="2"/>
  <c r="FT11" i="2"/>
  <c r="FF11" i="2"/>
  <c r="EY11" i="2"/>
  <c r="ER11" i="2"/>
  <c r="ED11" i="2"/>
  <c r="DW11" i="2"/>
  <c r="DP11" i="2"/>
  <c r="DI11" i="2"/>
  <c r="DB11" i="2"/>
  <c r="CU11" i="2"/>
  <c r="CN11" i="2"/>
  <c r="CG11" i="2"/>
  <c r="BZ11" i="2"/>
  <c r="BS11" i="2"/>
  <c r="BL11" i="2"/>
  <c r="BE11" i="2"/>
  <c r="AX11" i="2"/>
  <c r="AQ11" i="2"/>
  <c r="AJ11" i="2"/>
  <c r="AC11" i="2"/>
  <c r="V11" i="2"/>
  <c r="O11" i="2"/>
  <c r="H11" i="2"/>
  <c r="HJ10" i="2"/>
  <c r="HC10" i="2"/>
  <c r="GV10" i="2"/>
  <c r="GH10" i="2"/>
  <c r="GA10" i="2"/>
  <c r="FT10" i="2"/>
  <c r="FF10" i="2"/>
  <c r="EY10" i="2"/>
  <c r="ER10" i="2"/>
  <c r="ED10" i="2"/>
  <c r="DW10" i="2"/>
  <c r="DP10" i="2"/>
  <c r="DI10" i="2"/>
  <c r="DB10" i="2"/>
  <c r="CU10" i="2"/>
  <c r="CN10" i="2"/>
  <c r="CG10" i="2"/>
  <c r="BZ10" i="2"/>
  <c r="BS10" i="2"/>
  <c r="BL10" i="2"/>
  <c r="BE10" i="2"/>
  <c r="AX10" i="2"/>
  <c r="AQ10" i="2"/>
  <c r="AJ10" i="2"/>
  <c r="AC10" i="2"/>
  <c r="V10" i="2"/>
  <c r="O10" i="2"/>
  <c r="H10" i="2"/>
  <c r="HJ9" i="2"/>
  <c r="HC9" i="2"/>
  <c r="GV9" i="2"/>
  <c r="GH9" i="2"/>
  <c r="GA9" i="2"/>
  <c r="FT9" i="2"/>
  <c r="FF9" i="2"/>
  <c r="EY9" i="2"/>
  <c r="ER9" i="2"/>
  <c r="ED9" i="2"/>
  <c r="DW9" i="2"/>
  <c r="DP9" i="2"/>
  <c r="DI9" i="2"/>
  <c r="DB9" i="2"/>
  <c r="CU9" i="2"/>
  <c r="CN9" i="2"/>
  <c r="CG9" i="2"/>
  <c r="BZ9" i="2"/>
  <c r="BS9" i="2"/>
  <c r="BL9" i="2"/>
  <c r="BE9" i="2"/>
  <c r="AX9" i="2"/>
  <c r="AQ9" i="2"/>
  <c r="AJ9" i="2"/>
  <c r="AC9" i="2"/>
  <c r="V9" i="2"/>
  <c r="O9" i="2"/>
  <c r="H9" i="2"/>
  <c r="HJ8" i="2"/>
  <c r="HC8" i="2"/>
  <c r="GV8" i="2"/>
  <c r="GH8" i="2"/>
  <c r="GA8" i="2"/>
  <c r="FT8" i="2"/>
  <c r="FF8" i="2"/>
  <c r="EY8" i="2"/>
  <c r="ER8" i="2"/>
  <c r="ED8" i="2"/>
  <c r="DW8" i="2"/>
  <c r="DP8" i="2"/>
  <c r="DI8" i="2"/>
  <c r="DB8" i="2"/>
  <c r="CU8" i="2"/>
  <c r="CN8" i="2"/>
  <c r="CG8" i="2"/>
  <c r="BZ8" i="2"/>
  <c r="BS8" i="2"/>
  <c r="BL8" i="2"/>
  <c r="BE8" i="2"/>
  <c r="AX8" i="2"/>
  <c r="AQ8" i="2"/>
  <c r="AJ8" i="2"/>
  <c r="AC8" i="2"/>
  <c r="V8" i="2"/>
  <c r="O8" i="2"/>
  <c r="H8" i="2"/>
  <c r="HJ7" i="2"/>
  <c r="HC7" i="2"/>
  <c r="GV7" i="2"/>
  <c r="GH7" i="2"/>
  <c r="GA7" i="2"/>
  <c r="FT7" i="2"/>
  <c r="FF7" i="2"/>
  <c r="EY7" i="2"/>
  <c r="ER7" i="2"/>
  <c r="ED7" i="2"/>
  <c r="DW7" i="2"/>
  <c r="DP7" i="2"/>
  <c r="DI7" i="2"/>
  <c r="DB7" i="2"/>
  <c r="CU7" i="2"/>
  <c r="CN7" i="2"/>
  <c r="CG7" i="2"/>
  <c r="BZ7" i="2"/>
  <c r="BS7" i="2"/>
  <c r="BL7" i="2"/>
  <c r="BE7" i="2"/>
  <c r="AX7" i="2"/>
  <c r="AQ7" i="2"/>
  <c r="AJ7" i="2"/>
  <c r="AC7" i="2"/>
  <c r="V7" i="2"/>
  <c r="O7" i="2"/>
  <c r="H7" i="2"/>
  <c r="HJ6" i="2"/>
  <c r="HC6" i="2"/>
  <c r="GV6" i="2"/>
  <c r="GH6" i="2"/>
  <c r="GA6" i="2"/>
  <c r="FT6" i="2"/>
  <c r="FF6" i="2"/>
  <c r="EY6" i="2"/>
  <c r="ER6" i="2"/>
  <c r="ED6" i="2"/>
  <c r="DW6" i="2"/>
  <c r="DP6" i="2"/>
  <c r="DI6" i="2"/>
  <c r="DB6" i="2"/>
  <c r="CU6" i="2"/>
  <c r="CN6" i="2"/>
  <c r="CG6" i="2"/>
  <c r="BZ6" i="2"/>
  <c r="BS6" i="2"/>
  <c r="BL6" i="2"/>
  <c r="BE6" i="2"/>
  <c r="AX6" i="2"/>
  <c r="AQ6" i="2"/>
  <c r="AJ6" i="2"/>
  <c r="AC6" i="2"/>
  <c r="V6" i="2"/>
  <c r="O6" i="2"/>
  <c r="H6" i="2"/>
  <c r="HJ5" i="2"/>
  <c r="HC5" i="2"/>
  <c r="GV5" i="2"/>
  <c r="GH5" i="2"/>
  <c r="GA5" i="2"/>
  <c r="FT5" i="2"/>
  <c r="FF5" i="2"/>
  <c r="EY5" i="2"/>
  <c r="ER5" i="2"/>
  <c r="ED5" i="2"/>
  <c r="DW5" i="2"/>
  <c r="DP5" i="2"/>
  <c r="DI5" i="2"/>
  <c r="DB5" i="2"/>
  <c r="CU5" i="2"/>
  <c r="CN5" i="2"/>
  <c r="CG5" i="2"/>
  <c r="BZ5" i="2"/>
  <c r="BS5" i="2"/>
  <c r="BL5" i="2"/>
  <c r="BE5" i="2"/>
  <c r="AX5" i="2"/>
  <c r="AQ5" i="2"/>
  <c r="AJ5" i="2"/>
  <c r="AC5" i="2"/>
  <c r="V5" i="2"/>
  <c r="O5" i="2"/>
  <c r="H5" i="2"/>
  <c r="HJ4" i="2"/>
  <c r="HC4" i="2"/>
  <c r="GV4" i="2"/>
  <c r="GH4" i="2"/>
  <c r="GA4" i="2"/>
  <c r="FT4" i="2"/>
  <c r="FF4" i="2"/>
  <c r="EY4" i="2"/>
  <c r="ER4" i="2"/>
  <c r="ED4" i="2"/>
  <c r="DW4" i="2"/>
  <c r="DP4" i="2"/>
  <c r="DI4" i="2"/>
  <c r="DB4" i="2"/>
  <c r="CU4" i="2"/>
  <c r="CN4" i="2"/>
  <c r="CG4" i="2"/>
  <c r="BZ4" i="2"/>
  <c r="BS4" i="2"/>
  <c r="BL4" i="2"/>
  <c r="BE4" i="2"/>
  <c r="AX4" i="2"/>
  <c r="AQ4" i="2"/>
  <c r="AJ4" i="2"/>
  <c r="AC4" i="2"/>
  <c r="V4" i="2"/>
  <c r="O4" i="2"/>
  <c r="H4" i="2"/>
  <c r="HJ3" i="2"/>
  <c r="HC3" i="2"/>
  <c r="GV3" i="2"/>
  <c r="GH3" i="2"/>
  <c r="GA3" i="2"/>
  <c r="FT3" i="2"/>
  <c r="FF3" i="2"/>
  <c r="EY3" i="2"/>
  <c r="ER3" i="2"/>
  <c r="ED3" i="2"/>
  <c r="DW3" i="2"/>
  <c r="DP3" i="2"/>
  <c r="DI3" i="2"/>
  <c r="DB3" i="2"/>
  <c r="CU3" i="2"/>
  <c r="CN3" i="2"/>
  <c r="CG3" i="2"/>
  <c r="BZ3" i="2"/>
  <c r="BS3" i="2"/>
  <c r="BL3" i="2"/>
  <c r="BE3" i="2"/>
  <c r="AX3" i="2"/>
  <c r="AQ3" i="2"/>
  <c r="AJ3" i="2"/>
  <c r="AC3" i="2"/>
  <c r="V3" i="2"/>
  <c r="O3" i="2"/>
  <c r="H3" i="2"/>
  <c r="CL59" i="5" l="1"/>
  <c r="CL88" i="5" s="1"/>
  <c r="CL57" i="5"/>
  <c r="CL86" i="5" s="1"/>
  <c r="CL55" i="5"/>
  <c r="AV63" i="5"/>
  <c r="AV92" i="5" s="1"/>
  <c r="AV62" i="5"/>
  <c r="AV91" i="5" s="1"/>
  <c r="AS53" i="5"/>
  <c r="AH54" i="5"/>
  <c r="AH83" i="5" s="1"/>
  <c r="T62" i="5"/>
  <c r="T91" i="5" s="1"/>
  <c r="T55" i="5"/>
  <c r="F59" i="5"/>
  <c r="F88" i="5" s="1"/>
  <c r="F57" i="5"/>
  <c r="F86" i="5" s="1"/>
  <c r="F54" i="5"/>
  <c r="F83" i="5" s="1"/>
  <c r="CQ59" i="5"/>
  <c r="CQ88" i="5" s="1"/>
  <c r="AH62" i="5"/>
  <c r="AH91" i="5" s="1"/>
  <c r="U59" i="5"/>
  <c r="U88" i="5" s="1"/>
  <c r="CV58" i="5"/>
  <c r="CV87" i="5" s="1"/>
  <c r="BP57" i="5"/>
  <c r="BP86" i="5" s="1"/>
  <c r="M64" i="5"/>
  <c r="M93" i="5" s="1"/>
  <c r="FX58" i="5"/>
  <c r="FX87" i="5" s="1"/>
  <c r="AM53" i="5"/>
  <c r="AM82" i="5" s="1"/>
  <c r="DE63" i="5"/>
  <c r="DE92" i="5" s="1"/>
  <c r="FN64" i="5"/>
  <c r="FN93" i="5" s="1"/>
  <c r="G62" i="5"/>
  <c r="G91" i="5" s="1"/>
  <c r="GC64" i="5"/>
  <c r="GC93" i="5" s="1"/>
  <c r="CL53" i="5"/>
  <c r="CL82" i="5" s="1"/>
  <c r="BT62" i="5"/>
  <c r="BT91" i="5" s="1"/>
  <c r="DL57" i="5"/>
  <c r="DL86" i="5" s="1"/>
  <c r="CJ58" i="5"/>
  <c r="CJ87" i="5" s="1"/>
  <c r="GS64" i="5"/>
  <c r="GS93" i="5" s="1"/>
  <c r="Y63" i="5"/>
  <c r="FR64" i="5"/>
  <c r="FR93" i="5" s="1"/>
  <c r="K92" i="5"/>
  <c r="P92" i="5"/>
  <c r="T92" i="5"/>
  <c r="Y92" i="5"/>
  <c r="T84" i="5"/>
  <c r="Q84" i="5"/>
  <c r="U84" i="5"/>
  <c r="Z84" i="5"/>
  <c r="L92" i="5"/>
  <c r="Q92" i="5"/>
  <c r="U92" i="5"/>
  <c r="K84" i="5"/>
  <c r="Y84" i="5"/>
  <c r="BT60" i="5"/>
  <c r="BT89" i="5" s="1"/>
  <c r="CJ97" i="5"/>
  <c r="K73" i="4" s="1"/>
  <c r="I84" i="5"/>
  <c r="M84" i="5"/>
  <c r="R84" i="5"/>
  <c r="W84" i="5"/>
  <c r="AA84" i="5"/>
  <c r="I92" i="5"/>
  <c r="M92" i="5"/>
  <c r="W92" i="5"/>
  <c r="AA92" i="5"/>
  <c r="AG101" i="5"/>
  <c r="AG109" i="5" s="1"/>
  <c r="J84" i="5"/>
  <c r="N84" i="5"/>
  <c r="S84" i="5"/>
  <c r="S92" i="5"/>
  <c r="CK103" i="5"/>
  <c r="CK111" i="5" s="1"/>
  <c r="X92" i="5"/>
  <c r="AB92" i="5"/>
  <c r="BM53" i="5"/>
  <c r="AY55" i="5"/>
  <c r="AY84" i="5" s="1"/>
  <c r="BC55" i="5"/>
  <c r="BC84" i="5" s="1"/>
  <c r="R59" i="5"/>
  <c r="R88" i="5" s="1"/>
  <c r="V88" i="5" s="1"/>
  <c r="AA61" i="5"/>
  <c r="AA90" i="5" s="1"/>
  <c r="AF61" i="5"/>
  <c r="AF90" i="5" s="1"/>
  <c r="HD62" i="5"/>
  <c r="HD91" i="5" s="1"/>
  <c r="HH62" i="5"/>
  <c r="HH91" i="5" s="1"/>
  <c r="GB56" i="5"/>
  <c r="GB85" i="5" s="1"/>
  <c r="Y58" i="5"/>
  <c r="Y87" i="5" s="1"/>
  <c r="AF64" i="5"/>
  <c r="AF93" i="5" s="1"/>
  <c r="BH58" i="5"/>
  <c r="BH87" i="5" s="1"/>
  <c r="CA62" i="5"/>
  <c r="CA91" i="5" s="1"/>
  <c r="CH53" i="5"/>
  <c r="CH82" i="5" s="1"/>
  <c r="HF55" i="5"/>
  <c r="HF84" i="5" s="1"/>
  <c r="AH60" i="5"/>
  <c r="AH89" i="5" s="1"/>
  <c r="GQ57" i="5"/>
  <c r="GQ86" i="5" s="1"/>
  <c r="GT64" i="5"/>
  <c r="GT93" i="5" s="1"/>
  <c r="BT61" i="5"/>
  <c r="BT90" i="5" s="1"/>
  <c r="FN63" i="5"/>
  <c r="FN92" i="5" s="1"/>
  <c r="DG58" i="5"/>
  <c r="DG87" i="5" s="1"/>
  <c r="AG84" i="5"/>
  <c r="BI84" i="5"/>
  <c r="CK84" i="5"/>
  <c r="AG92" i="5"/>
  <c r="BI92" i="5"/>
  <c r="CK92" i="5"/>
  <c r="CJ84" i="5"/>
  <c r="AX4" i="5"/>
  <c r="BZ4" i="5"/>
  <c r="DB4" i="5"/>
  <c r="ED4" i="5"/>
  <c r="FT4" i="5"/>
  <c r="HC4" i="5"/>
  <c r="AX5" i="5"/>
  <c r="BZ5" i="5"/>
  <c r="DB5" i="5"/>
  <c r="ED5" i="5"/>
  <c r="FT5" i="5"/>
  <c r="HC5" i="5"/>
  <c r="AX6" i="5"/>
  <c r="BZ6" i="5"/>
  <c r="DB6" i="5"/>
  <c r="ED6" i="5"/>
  <c r="FT6" i="5"/>
  <c r="AX8" i="5"/>
  <c r="BZ8" i="5"/>
  <c r="DB8" i="5"/>
  <c r="ED8" i="5"/>
  <c r="FT8" i="5"/>
  <c r="HC8" i="5"/>
  <c r="AX9" i="5"/>
  <c r="BZ9" i="5"/>
  <c r="DB9" i="5"/>
  <c r="ED9" i="5"/>
  <c r="FT9" i="5"/>
  <c r="HC9" i="5"/>
  <c r="AX10" i="5"/>
  <c r="BZ10" i="5"/>
  <c r="DB10" i="5"/>
  <c r="ED10" i="5"/>
  <c r="FT10" i="5"/>
  <c r="HC10" i="5"/>
  <c r="AD84" i="5"/>
  <c r="AH84" i="5"/>
  <c r="BF84" i="5"/>
  <c r="BJ84" i="5"/>
  <c r="CH84" i="5"/>
  <c r="AE84" i="5"/>
  <c r="AI84" i="5"/>
  <c r="BG84" i="5"/>
  <c r="BK84" i="5"/>
  <c r="CI84" i="5"/>
  <c r="CM84" i="5"/>
  <c r="AE92" i="5"/>
  <c r="AI92" i="5"/>
  <c r="BG92" i="5"/>
  <c r="BK92" i="5"/>
  <c r="BK99" i="5"/>
  <c r="CI92" i="5"/>
  <c r="CM92" i="5"/>
  <c r="DI37" i="5"/>
  <c r="ED37" i="5"/>
  <c r="ER37" i="5"/>
  <c r="FT37" i="5"/>
  <c r="HC37" i="5"/>
  <c r="DB38" i="5"/>
  <c r="ED38" i="5"/>
  <c r="ER38" i="5"/>
  <c r="FT38" i="5"/>
  <c r="GA38" i="5"/>
  <c r="HC38" i="5"/>
  <c r="AF92" i="5"/>
  <c r="BH92" i="5"/>
  <c r="CJ92" i="5"/>
  <c r="CL84" i="5"/>
  <c r="AX12" i="5"/>
  <c r="BZ12" i="5"/>
  <c r="DB12" i="5"/>
  <c r="ED12" i="5"/>
  <c r="FT12" i="5"/>
  <c r="HC12" i="5"/>
  <c r="AX13" i="5"/>
  <c r="BZ13" i="5"/>
  <c r="DB13" i="5"/>
  <c r="ED13" i="5"/>
  <c r="FT13" i="5"/>
  <c r="HC13" i="5"/>
  <c r="AX14" i="5"/>
  <c r="BZ14" i="5"/>
  <c r="DB14" i="5"/>
  <c r="ED14" i="5"/>
  <c r="FT14" i="5"/>
  <c r="HC14" i="5"/>
  <c r="AX16" i="5"/>
  <c r="BZ16" i="5"/>
  <c r="DB16" i="5"/>
  <c r="ED16" i="5"/>
  <c r="FT16" i="5"/>
  <c r="HC16" i="5"/>
  <c r="AX17" i="5"/>
  <c r="BZ17" i="5"/>
  <c r="DB17" i="5"/>
  <c r="ED17" i="5"/>
  <c r="FT17" i="5"/>
  <c r="HC17" i="5"/>
  <c r="CN18" i="5"/>
  <c r="CU18" i="5"/>
  <c r="ER18" i="5"/>
  <c r="GA18" i="5"/>
  <c r="CG20" i="5"/>
  <c r="EY20" i="5"/>
  <c r="HJ20" i="5"/>
  <c r="ER21" i="5"/>
  <c r="GH21" i="5"/>
  <c r="DP22" i="5"/>
  <c r="EY22" i="5"/>
  <c r="GH22" i="5"/>
  <c r="H23" i="5"/>
  <c r="CN23" i="5"/>
  <c r="DP23" i="5"/>
  <c r="GH23" i="5"/>
  <c r="CN24" i="5"/>
  <c r="DP24" i="5"/>
  <c r="EY24" i="5"/>
  <c r="GH24" i="5"/>
  <c r="CN25" i="5"/>
  <c r="DP25" i="5"/>
  <c r="EY25" i="5"/>
  <c r="GH25" i="5"/>
  <c r="CN26" i="5"/>
  <c r="EY26" i="5"/>
  <c r="GH26" i="5"/>
  <c r="CN27" i="5"/>
  <c r="DP27" i="5"/>
  <c r="GH27" i="5"/>
  <c r="CN28" i="5"/>
  <c r="DP28" i="5"/>
  <c r="EY28" i="5"/>
  <c r="GH28" i="5"/>
  <c r="CN29" i="5"/>
  <c r="DP29" i="5"/>
  <c r="EY29" i="5"/>
  <c r="GH29" i="5"/>
  <c r="CN30" i="5"/>
  <c r="DP30" i="5"/>
  <c r="EY30" i="5"/>
  <c r="GH30" i="5"/>
  <c r="CN32" i="5"/>
  <c r="DP32" i="5"/>
  <c r="EY32" i="5"/>
  <c r="GH32" i="5"/>
  <c r="CN33" i="5"/>
  <c r="DP33" i="5"/>
  <c r="EY33" i="5"/>
  <c r="AH92" i="5"/>
  <c r="DU60" i="5"/>
  <c r="DU89" i="5" s="1"/>
  <c r="HC33" i="5"/>
  <c r="DB34" i="5"/>
  <c r="ED34" i="5"/>
  <c r="HC6" i="5"/>
  <c r="B84" i="5"/>
  <c r="F84" i="5"/>
  <c r="ER34" i="5"/>
  <c r="FT34" i="5"/>
  <c r="GA34" i="5"/>
  <c r="HC34" i="5"/>
  <c r="CG36" i="5"/>
  <c r="DB36" i="5"/>
  <c r="DI36" i="5"/>
  <c r="ED36" i="5"/>
  <c r="FT36" i="5"/>
  <c r="HC36" i="5"/>
  <c r="HJ36" i="5"/>
  <c r="DB37" i="5"/>
  <c r="AO62" i="5"/>
  <c r="AO91" i="5" s="1"/>
  <c r="CG40" i="5"/>
  <c r="DB40" i="5"/>
  <c r="DI40" i="5"/>
  <c r="ED40" i="5"/>
  <c r="FT40" i="5"/>
  <c r="GA40" i="5"/>
  <c r="HC40" i="5"/>
  <c r="HJ40" i="5"/>
  <c r="CG41" i="5"/>
  <c r="DI41" i="5"/>
  <c r="ED41" i="5"/>
  <c r="ER41" i="5"/>
  <c r="FT41" i="5"/>
  <c r="HC41" i="5"/>
  <c r="HJ41" i="5"/>
  <c r="DB42" i="5"/>
  <c r="DI42" i="5"/>
  <c r="ED42" i="5"/>
  <c r="ER42" i="5"/>
  <c r="FT42" i="5"/>
  <c r="GA42" i="5"/>
  <c r="HC42" i="5"/>
  <c r="D92" i="5"/>
  <c r="CG44" i="5"/>
  <c r="DB44" i="5"/>
  <c r="DI44" i="5"/>
  <c r="ED44" i="5"/>
  <c r="FT44" i="5"/>
  <c r="GA44" i="5"/>
  <c r="HC44" i="5"/>
  <c r="HJ44" i="5"/>
  <c r="CG45" i="5"/>
  <c r="DB45" i="5"/>
  <c r="DI45" i="5"/>
  <c r="ED45" i="5"/>
  <c r="ER45" i="5"/>
  <c r="FT45" i="5"/>
  <c r="HC45" i="5"/>
  <c r="HJ45" i="5"/>
  <c r="DB46" i="5"/>
  <c r="DI46" i="5"/>
  <c r="ED46" i="5"/>
  <c r="ER46" i="5"/>
  <c r="FT46" i="5"/>
  <c r="GA46" i="5"/>
  <c r="HC46" i="5"/>
  <c r="O48" i="5"/>
  <c r="CG48" i="5"/>
  <c r="DB48" i="5"/>
  <c r="DI48" i="5"/>
  <c r="DW48" i="5"/>
  <c r="ED48" i="5"/>
  <c r="FT48" i="5"/>
  <c r="GA48" i="5"/>
  <c r="HC48" i="5"/>
  <c r="HJ48" i="5"/>
  <c r="AQ49" i="5"/>
  <c r="DB49" i="5"/>
  <c r="DI49" i="5"/>
  <c r="ED49" i="5"/>
  <c r="ER49" i="5"/>
  <c r="FT49" i="5"/>
  <c r="HC49" i="5"/>
  <c r="HJ49" i="5"/>
  <c r="DB50" i="5"/>
  <c r="DI50" i="5"/>
  <c r="ED50" i="5"/>
  <c r="ER50" i="5"/>
  <c r="FT50" i="5"/>
  <c r="GA50" i="5"/>
  <c r="HC50" i="5"/>
  <c r="E84" i="5"/>
  <c r="E92" i="5"/>
  <c r="C84" i="5"/>
  <c r="G84" i="5"/>
  <c r="C92" i="5"/>
  <c r="G92" i="5"/>
  <c r="GH5" i="5"/>
  <c r="H6" i="5"/>
  <c r="O6" i="5"/>
  <c r="AQ6" i="5"/>
  <c r="DP6" i="5"/>
  <c r="DW6" i="5"/>
  <c r="EY6" i="5"/>
  <c r="GH6" i="5"/>
  <c r="H8" i="5"/>
  <c r="AQ8" i="5"/>
  <c r="DP8" i="5"/>
  <c r="EY8" i="5"/>
  <c r="GH8" i="5"/>
  <c r="H9" i="5"/>
  <c r="O9" i="5"/>
  <c r="DP9" i="5"/>
  <c r="DW9" i="5"/>
  <c r="EY9" i="5"/>
  <c r="GH9" i="5"/>
  <c r="H10" i="5"/>
  <c r="AQ10" i="5"/>
  <c r="DP10" i="5"/>
  <c r="DW10" i="5"/>
  <c r="EY10" i="5"/>
  <c r="GH10" i="5"/>
  <c r="H12" i="5"/>
  <c r="AQ12" i="5"/>
  <c r="DP12" i="5"/>
  <c r="EY12" i="5"/>
  <c r="GH12" i="5"/>
  <c r="H13" i="5"/>
  <c r="O13" i="5"/>
  <c r="DP13" i="5"/>
  <c r="DW13" i="5"/>
  <c r="EY13" i="5"/>
  <c r="GH13" i="5"/>
  <c r="H14" i="5"/>
  <c r="O14" i="5"/>
  <c r="AQ14" i="5"/>
  <c r="DP14" i="5"/>
  <c r="DW14" i="5"/>
  <c r="EY14" i="5"/>
  <c r="GH14" i="5"/>
  <c r="H16" i="5"/>
  <c r="DP16" i="5"/>
  <c r="EY16" i="5"/>
  <c r="GH16" i="5"/>
  <c r="O17" i="5"/>
  <c r="DP17" i="5"/>
  <c r="DW17" i="5"/>
  <c r="EY17" i="5"/>
  <c r="GH17" i="5"/>
  <c r="H18" i="5"/>
  <c r="O18" i="5"/>
  <c r="AQ18" i="5"/>
  <c r="DI18" i="5"/>
  <c r="DW18" i="5"/>
  <c r="GY56" i="5"/>
  <c r="GY85" i="5" s="1"/>
  <c r="HJ18" i="5"/>
  <c r="ED20" i="5"/>
  <c r="GA20" i="5"/>
  <c r="O21" i="5"/>
  <c r="CG21" i="5"/>
  <c r="DW21" i="5"/>
  <c r="FT21" i="5"/>
  <c r="HJ21" i="5"/>
  <c r="O22" i="5"/>
  <c r="AQ22" i="5"/>
  <c r="ED22" i="5"/>
  <c r="FT22" i="5"/>
  <c r="GA22" i="5"/>
  <c r="HC22" i="5"/>
  <c r="CG23" i="5"/>
  <c r="ED23" i="5"/>
  <c r="HC23" i="5"/>
  <c r="HJ23" i="5"/>
  <c r="CG24" i="5"/>
  <c r="DB24" i="5"/>
  <c r="DI24" i="5"/>
  <c r="DZ58" i="5"/>
  <c r="DZ87" i="5" s="1"/>
  <c r="ED87" i="5" s="1"/>
  <c r="FT24" i="5"/>
  <c r="HC24" i="5"/>
  <c r="HJ24" i="5"/>
  <c r="DB25" i="5"/>
  <c r="DI25" i="5"/>
  <c r="ED25" i="5"/>
  <c r="ER25" i="5"/>
  <c r="FT25" i="5"/>
  <c r="HC25" i="5"/>
  <c r="O26" i="5"/>
  <c r="DW26" i="5"/>
  <c r="ED26" i="5"/>
  <c r="FT26" i="5"/>
  <c r="GA26" i="5"/>
  <c r="HC26" i="5"/>
  <c r="CG27" i="5"/>
  <c r="FT27" i="5"/>
  <c r="HJ27" i="5"/>
  <c r="AQ28" i="5"/>
  <c r="CG28" i="5"/>
  <c r="DB28" i="5"/>
  <c r="DI28" i="5"/>
  <c r="ED28" i="5"/>
  <c r="FT28" i="5"/>
  <c r="HC28" i="5"/>
  <c r="AQ29" i="5"/>
  <c r="DB29" i="5"/>
  <c r="DI29" i="5"/>
  <c r="ED29" i="5"/>
  <c r="ER29" i="5"/>
  <c r="FP59" i="5"/>
  <c r="FP88" i="5" s="1"/>
  <c r="HC29" i="5"/>
  <c r="DB30" i="5"/>
  <c r="ED30" i="5"/>
  <c r="ER30" i="5"/>
  <c r="FT30" i="5"/>
  <c r="GA30" i="5"/>
  <c r="HC30" i="5"/>
  <c r="CG31" i="5"/>
  <c r="CG32" i="5"/>
  <c r="DB32" i="5"/>
  <c r="DI32" i="5"/>
  <c r="ED32" i="5"/>
  <c r="FT32" i="5"/>
  <c r="HC32" i="5"/>
  <c r="HJ32" i="5"/>
  <c r="DB33" i="5"/>
  <c r="DI33" i="5"/>
  <c r="ED33" i="5"/>
  <c r="ER33" i="5"/>
  <c r="FT33" i="5"/>
  <c r="GF59" i="5"/>
  <c r="GF88" i="5" s="1"/>
  <c r="FU53" i="5"/>
  <c r="FU82" i="5" s="1"/>
  <c r="H4" i="5"/>
  <c r="AQ4" i="5"/>
  <c r="DP4" i="5"/>
  <c r="EY4" i="5"/>
  <c r="GH4" i="5"/>
  <c r="H5" i="5"/>
  <c r="O5" i="5"/>
  <c r="DP5" i="5"/>
  <c r="DW5" i="5"/>
  <c r="EY5" i="5"/>
  <c r="AC4" i="5"/>
  <c r="CG4" i="5"/>
  <c r="ER4" i="5"/>
  <c r="HJ4" i="5"/>
  <c r="AC5" i="5"/>
  <c r="CG5" i="5"/>
  <c r="ER5" i="5"/>
  <c r="HJ5" i="5"/>
  <c r="AC6" i="5"/>
  <c r="CG6" i="5"/>
  <c r="ER6" i="5"/>
  <c r="HJ6" i="5"/>
  <c r="AC8" i="5"/>
  <c r="CG8" i="5"/>
  <c r="ER8" i="5"/>
  <c r="HJ8" i="5"/>
  <c r="AC9" i="5"/>
  <c r="CG9" i="5"/>
  <c r="ER9" i="5"/>
  <c r="HJ9" i="5"/>
  <c r="AC10" i="5"/>
  <c r="CG10" i="5"/>
  <c r="ER10" i="5"/>
  <c r="HJ10" i="5"/>
  <c r="AC12" i="5"/>
  <c r="CG12" i="5"/>
  <c r="ER12" i="5"/>
  <c r="HJ12" i="5"/>
  <c r="AC13" i="5"/>
  <c r="CG13" i="5"/>
  <c r="ER13" i="5"/>
  <c r="HJ13" i="5"/>
  <c r="AC14" i="5"/>
  <c r="CG14" i="5"/>
  <c r="ER14" i="5"/>
  <c r="HJ14" i="5"/>
  <c r="AC16" i="5"/>
  <c r="CG16" i="5"/>
  <c r="ER16" i="5"/>
  <c r="HJ16" i="5"/>
  <c r="AC17" i="5"/>
  <c r="CG17" i="5"/>
  <c r="ER17" i="5"/>
  <c r="HJ17" i="5"/>
  <c r="BS18" i="5"/>
  <c r="GV18" i="5"/>
  <c r="O20" i="5"/>
  <c r="DW20" i="5"/>
  <c r="BS22" i="5"/>
  <c r="DW22" i="5"/>
  <c r="GV22" i="5"/>
  <c r="O23" i="5"/>
  <c r="DW23" i="5"/>
  <c r="O24" i="5"/>
  <c r="BS24" i="5"/>
  <c r="DW24" i="5"/>
  <c r="GV24" i="5"/>
  <c r="BS25" i="5"/>
  <c r="DW25" i="5"/>
  <c r="O28" i="5"/>
  <c r="BS28" i="5"/>
  <c r="DW28" i="5"/>
  <c r="GV28" i="5"/>
  <c r="O29" i="5"/>
  <c r="N59" i="5"/>
  <c r="N88" i="5" s="1"/>
  <c r="O88" i="5" s="1"/>
  <c r="DW29" i="5"/>
  <c r="DV59" i="5"/>
  <c r="DV88" i="5" s="1"/>
  <c r="DW88" i="5" s="1"/>
  <c r="GV29" i="5"/>
  <c r="O30" i="5"/>
  <c r="BS30" i="5"/>
  <c r="DW30" i="5"/>
  <c r="GV30" i="5"/>
  <c r="O31" i="5"/>
  <c r="O32" i="5"/>
  <c r="BS32" i="5"/>
  <c r="DW32" i="5"/>
  <c r="GV32" i="5"/>
  <c r="BS33" i="5"/>
  <c r="DW33" i="5"/>
  <c r="GV33" i="5"/>
  <c r="O34" i="5"/>
  <c r="BS34" i="5"/>
  <c r="DW34" i="5"/>
  <c r="GV34" i="5"/>
  <c r="O36" i="5"/>
  <c r="BS36" i="5"/>
  <c r="DW36" i="5"/>
  <c r="GV36" i="5"/>
  <c r="O37" i="5"/>
  <c r="BS37" i="5"/>
  <c r="DW37" i="5"/>
  <c r="GV37" i="5"/>
  <c r="O38" i="5"/>
  <c r="DW38" i="5"/>
  <c r="GV38" i="5"/>
  <c r="O40" i="5"/>
  <c r="BS40" i="5"/>
  <c r="DW40" i="5"/>
  <c r="GV40" i="5"/>
  <c r="FS83" i="5"/>
  <c r="I37" i="4"/>
  <c r="FS84" i="5"/>
  <c r="J37" i="4"/>
  <c r="ED18" i="5"/>
  <c r="FT18" i="5"/>
  <c r="FS86" i="5"/>
  <c r="L37" i="4"/>
  <c r="FT20" i="5"/>
  <c r="HC20" i="5"/>
  <c r="ED21" i="5"/>
  <c r="HC21" i="5"/>
  <c r="FS87" i="5"/>
  <c r="FT87" i="5" s="1"/>
  <c r="M37" i="4"/>
  <c r="CD58" i="5"/>
  <c r="CD87" i="5" s="1"/>
  <c r="HG58" i="5"/>
  <c r="HG87" i="5" s="1"/>
  <c r="FS88" i="5"/>
  <c r="N37" i="4"/>
  <c r="FS89" i="5"/>
  <c r="O37" i="4"/>
  <c r="FS90" i="5"/>
  <c r="P37" i="4"/>
  <c r="FS91" i="5"/>
  <c r="Q37" i="4"/>
  <c r="FS92" i="5"/>
  <c r="R37" i="4"/>
  <c r="GH33" i="5"/>
  <c r="CN34" i="5"/>
  <c r="DP34" i="5"/>
  <c r="EY34" i="5"/>
  <c r="GH34" i="5"/>
  <c r="CN36" i="5"/>
  <c r="DP36" i="5"/>
  <c r="EY36" i="5"/>
  <c r="GH36" i="5"/>
  <c r="CN37" i="5"/>
  <c r="DP37" i="5"/>
  <c r="EY37" i="5"/>
  <c r="GH37" i="5"/>
  <c r="CN38" i="5"/>
  <c r="DP38" i="5"/>
  <c r="EY38" i="5"/>
  <c r="GH38" i="5"/>
  <c r="CN40" i="5"/>
  <c r="DP40" i="5"/>
  <c r="EY40" i="5"/>
  <c r="GH40" i="5"/>
  <c r="CN41" i="5"/>
  <c r="DP41" i="5"/>
  <c r="EY41" i="5"/>
  <c r="GH41" i="5"/>
  <c r="CN42" i="5"/>
  <c r="DP42" i="5"/>
  <c r="EY42" i="5"/>
  <c r="GH42" i="5"/>
  <c r="CN44" i="5"/>
  <c r="DP44" i="5"/>
  <c r="EY44" i="5"/>
  <c r="GH44" i="5"/>
  <c r="CN45" i="5"/>
  <c r="DP45" i="5"/>
  <c r="EY45" i="5"/>
  <c r="GH45" i="5"/>
  <c r="CN46" i="5"/>
  <c r="DP46" i="5"/>
  <c r="EY46" i="5"/>
  <c r="GH46" i="5"/>
  <c r="CN48" i="5"/>
  <c r="DP48" i="5"/>
  <c r="EY48" i="5"/>
  <c r="GH48" i="5"/>
  <c r="CN49" i="5"/>
  <c r="DP49" i="5"/>
  <c r="EY49" i="5"/>
  <c r="GH49" i="5"/>
  <c r="CN50" i="5"/>
  <c r="DP50" i="5"/>
  <c r="EY50" i="5"/>
  <c r="GH50" i="5"/>
  <c r="FS93" i="5"/>
  <c r="S37" i="4"/>
  <c r="CG49" i="5"/>
  <c r="O41" i="5"/>
  <c r="BS41" i="5"/>
  <c r="DW41" i="5"/>
  <c r="GV41" i="5"/>
  <c r="O42" i="5"/>
  <c r="BS42" i="5"/>
  <c r="DW42" i="5"/>
  <c r="GV42" i="5"/>
  <c r="O44" i="5"/>
  <c r="DW44" i="5"/>
  <c r="GV44" i="5"/>
  <c r="O45" i="5"/>
  <c r="BS45" i="5"/>
  <c r="DW45" i="5"/>
  <c r="GV45" i="5"/>
  <c r="O46" i="5"/>
  <c r="BS46" i="5"/>
  <c r="DW46" i="5"/>
  <c r="GV46" i="5"/>
  <c r="GV4" i="5"/>
  <c r="GV5" i="5"/>
  <c r="GV9" i="5"/>
  <c r="GV12" i="5"/>
  <c r="GV13" i="5"/>
  <c r="GV16" i="5"/>
  <c r="GV20" i="5"/>
  <c r="GV25" i="5"/>
  <c r="GV26" i="5"/>
  <c r="GV50" i="5"/>
  <c r="GV21" i="5"/>
  <c r="DI20" i="5"/>
  <c r="DI21" i="5"/>
  <c r="DI4" i="5"/>
  <c r="DI5" i="5"/>
  <c r="DI6" i="5"/>
  <c r="DI8" i="5"/>
  <c r="DI9" i="5"/>
  <c r="DI10" i="5"/>
  <c r="DI12" i="5"/>
  <c r="DI13" i="5"/>
  <c r="DI14" i="5"/>
  <c r="DI16" i="5"/>
  <c r="DI17" i="5"/>
  <c r="DB18" i="5"/>
  <c r="DB20" i="5"/>
  <c r="DB21" i="5"/>
  <c r="DB22" i="5"/>
  <c r="DB26" i="5"/>
  <c r="DB41" i="5"/>
  <c r="CU4" i="5"/>
  <c r="CU5" i="5"/>
  <c r="CU6" i="5"/>
  <c r="CU8" i="5"/>
  <c r="CU10" i="5"/>
  <c r="CU12" i="5"/>
  <c r="CU13" i="5"/>
  <c r="CU14" i="5"/>
  <c r="CU16" i="5"/>
  <c r="CU17" i="5"/>
  <c r="CU20" i="5"/>
  <c r="CU21" i="5"/>
  <c r="CU26" i="5"/>
  <c r="CU22" i="5"/>
  <c r="CU23" i="5"/>
  <c r="CU24" i="5"/>
  <c r="CT58" i="5"/>
  <c r="CT87" i="5" s="1"/>
  <c r="CU25" i="5"/>
  <c r="CU30" i="5"/>
  <c r="CU32" i="5"/>
  <c r="CU33" i="5"/>
  <c r="CU34" i="5"/>
  <c r="CU36" i="5"/>
  <c r="CU37" i="5"/>
  <c r="CU38" i="5"/>
  <c r="CU40" i="5"/>
  <c r="CU41" i="5"/>
  <c r="CU42" i="5"/>
  <c r="CU44" i="5"/>
  <c r="CU45" i="5"/>
  <c r="CU46" i="5"/>
  <c r="CN4" i="5"/>
  <c r="CN5" i="5"/>
  <c r="CN6" i="5"/>
  <c r="CN8" i="5"/>
  <c r="CN9" i="5"/>
  <c r="CN10" i="5"/>
  <c r="CN12" i="5"/>
  <c r="CN13" i="5"/>
  <c r="CN14" i="5"/>
  <c r="CN16" i="5"/>
  <c r="CN17" i="5"/>
  <c r="CL56" i="5"/>
  <c r="CL85" i="5" s="1"/>
  <c r="CN85" i="5" s="1"/>
  <c r="FX57" i="5"/>
  <c r="FX86" i="5" s="1"/>
  <c r="GA4" i="5"/>
  <c r="GA5" i="5"/>
  <c r="GA6" i="5"/>
  <c r="GA8" i="5"/>
  <c r="GA9" i="5"/>
  <c r="GA10" i="5"/>
  <c r="GA12" i="5"/>
  <c r="GA13" i="5"/>
  <c r="GA14" i="5"/>
  <c r="GA16" i="5"/>
  <c r="GA17" i="5"/>
  <c r="BV56" i="5"/>
  <c r="BV85" i="5" s="1"/>
  <c r="BZ22" i="5"/>
  <c r="BZ23" i="5"/>
  <c r="BZ24" i="5"/>
  <c r="BZ25" i="5"/>
  <c r="BZ26" i="5"/>
  <c r="BZ28" i="5"/>
  <c r="BZ29" i="5"/>
  <c r="BZ30" i="5"/>
  <c r="BZ31" i="5"/>
  <c r="BZ32" i="5"/>
  <c r="BZ33" i="5"/>
  <c r="BV60" i="5"/>
  <c r="BV89" i="5" s="1"/>
  <c r="BZ36" i="5"/>
  <c r="BZ37" i="5"/>
  <c r="BZ38" i="5"/>
  <c r="BZ40" i="5"/>
  <c r="BZ41" i="5"/>
  <c r="BZ42" i="5"/>
  <c r="BZ44" i="5"/>
  <c r="BZ45" i="5"/>
  <c r="BZ46" i="5"/>
  <c r="BZ48" i="5"/>
  <c r="BZ49" i="5"/>
  <c r="BZ50" i="5"/>
  <c r="BZ20" i="5"/>
  <c r="BZ21" i="5"/>
  <c r="BR57" i="5"/>
  <c r="BR86" i="5" s="1"/>
  <c r="BS38" i="5"/>
  <c r="BS5" i="5"/>
  <c r="BS9" i="5"/>
  <c r="BS13" i="5"/>
  <c r="BS20" i="5"/>
  <c r="BS26" i="5"/>
  <c r="BS29" i="5"/>
  <c r="BS50" i="5"/>
  <c r="BS21" i="5"/>
  <c r="BL21" i="5"/>
  <c r="BL23" i="5"/>
  <c r="BL24" i="5"/>
  <c r="BL25" i="5"/>
  <c r="BL26" i="5"/>
  <c r="BL27" i="5"/>
  <c r="BL28" i="5"/>
  <c r="BJ59" i="5"/>
  <c r="BJ88" i="5" s="1"/>
  <c r="BL29" i="5"/>
  <c r="BL30" i="5"/>
  <c r="BL31" i="5"/>
  <c r="BL33" i="5"/>
  <c r="BL34" i="5"/>
  <c r="BL36" i="5"/>
  <c r="BL37" i="5"/>
  <c r="BL38" i="5"/>
  <c r="BL40" i="5"/>
  <c r="BL41" i="5"/>
  <c r="BL42" i="5"/>
  <c r="BL44" i="5"/>
  <c r="BL45" i="5"/>
  <c r="BL46" i="5"/>
  <c r="BL48" i="5"/>
  <c r="BL49" i="5"/>
  <c r="BL50" i="5"/>
  <c r="BL4" i="5"/>
  <c r="BL5" i="5"/>
  <c r="BL6" i="5"/>
  <c r="BL8" i="5"/>
  <c r="BL9" i="5"/>
  <c r="BL10" i="5"/>
  <c r="BL12" i="5"/>
  <c r="BL13" i="5"/>
  <c r="BL14" i="5"/>
  <c r="BL16" i="5"/>
  <c r="BL17" i="5"/>
  <c r="FF22" i="5"/>
  <c r="FF23" i="5"/>
  <c r="FF24" i="5"/>
  <c r="FF28" i="5"/>
  <c r="FF29" i="5"/>
  <c r="FF30" i="5"/>
  <c r="FF32" i="5"/>
  <c r="FF33" i="5"/>
  <c r="FF34" i="5"/>
  <c r="FF36" i="5"/>
  <c r="FF37" i="5"/>
  <c r="FF38" i="5"/>
  <c r="FF40" i="5"/>
  <c r="FF41" i="5"/>
  <c r="FF42" i="5"/>
  <c r="FF44" i="5"/>
  <c r="FF45" i="5"/>
  <c r="FF20" i="5"/>
  <c r="FF4" i="5"/>
  <c r="FF6" i="5"/>
  <c r="FF8" i="5"/>
  <c r="FF10" i="5"/>
  <c r="FF12" i="5"/>
  <c r="FF14" i="5"/>
  <c r="FF18" i="5"/>
  <c r="FF25" i="5"/>
  <c r="FF49" i="5"/>
  <c r="BE4" i="5"/>
  <c r="BE5" i="5"/>
  <c r="BE6" i="5"/>
  <c r="BE8" i="5"/>
  <c r="BE9" i="5"/>
  <c r="BE10" i="5"/>
  <c r="BE12" i="5"/>
  <c r="BE13" i="5"/>
  <c r="BE14" i="5"/>
  <c r="BE17" i="5"/>
  <c r="BE16" i="5"/>
  <c r="BE18" i="5"/>
  <c r="BE22" i="5"/>
  <c r="BB57" i="5"/>
  <c r="BB86" i="5" s="1"/>
  <c r="BE20" i="5"/>
  <c r="BE21" i="5"/>
  <c r="BE26" i="5"/>
  <c r="BE30" i="5"/>
  <c r="BE31" i="5"/>
  <c r="BE32" i="5"/>
  <c r="BE34" i="5"/>
  <c r="BE36" i="5"/>
  <c r="BE38" i="5"/>
  <c r="BE40" i="5"/>
  <c r="BE42" i="5"/>
  <c r="BE44" i="5"/>
  <c r="BE46" i="5"/>
  <c r="BE48" i="5"/>
  <c r="BE50" i="5"/>
  <c r="AX21" i="5"/>
  <c r="AX24" i="5"/>
  <c r="AX25" i="5"/>
  <c r="AX26" i="5"/>
  <c r="AX27" i="5"/>
  <c r="AX28" i="5"/>
  <c r="AT59" i="5"/>
  <c r="AT88" i="5" s="1"/>
  <c r="AX88" i="5" s="1"/>
  <c r="AX30" i="5"/>
  <c r="AX31" i="5"/>
  <c r="AX32" i="5"/>
  <c r="AX33" i="5"/>
  <c r="AX34" i="5"/>
  <c r="AX36" i="5"/>
  <c r="AX37" i="5"/>
  <c r="AX38" i="5"/>
  <c r="AX40" i="5"/>
  <c r="AX41" i="5"/>
  <c r="AX42" i="5"/>
  <c r="AX44" i="5"/>
  <c r="AX45" i="5"/>
  <c r="AX46" i="5"/>
  <c r="AX48" i="5"/>
  <c r="AX49" i="5"/>
  <c r="AX50" i="5"/>
  <c r="AX18" i="5"/>
  <c r="AX22" i="5"/>
  <c r="AQ20" i="5"/>
  <c r="AQ23" i="5"/>
  <c r="AQ24" i="5"/>
  <c r="AQ25" i="5"/>
  <c r="AQ30" i="5"/>
  <c r="AQ31" i="5"/>
  <c r="AQ32" i="5"/>
  <c r="AQ33" i="5"/>
  <c r="AQ34" i="5"/>
  <c r="AP60" i="5"/>
  <c r="AP89" i="5" s="1"/>
  <c r="AQ36" i="5"/>
  <c r="AQ37" i="5"/>
  <c r="AQ38" i="5"/>
  <c r="AQ40" i="5"/>
  <c r="AQ41" i="5"/>
  <c r="AQ42" i="5"/>
  <c r="AQ44" i="5"/>
  <c r="AQ45" i="5"/>
  <c r="AQ46" i="5"/>
  <c r="AJ4" i="5"/>
  <c r="AJ5" i="5"/>
  <c r="AJ6" i="5"/>
  <c r="AJ8" i="5"/>
  <c r="AJ9" i="5"/>
  <c r="AJ10" i="5"/>
  <c r="AJ12" i="5"/>
  <c r="AJ13" i="5"/>
  <c r="AJ14" i="5"/>
  <c r="AJ16" i="5"/>
  <c r="AJ17" i="5"/>
  <c r="AJ20" i="5"/>
  <c r="AJ24" i="5"/>
  <c r="AJ25" i="5"/>
  <c r="AJ26" i="5"/>
  <c r="AJ28" i="5"/>
  <c r="AJ29" i="5"/>
  <c r="AJ30" i="5"/>
  <c r="AJ32" i="5"/>
  <c r="AJ33" i="5"/>
  <c r="AJ34" i="5"/>
  <c r="AJ36" i="5"/>
  <c r="AJ37" i="5"/>
  <c r="AJ38" i="5"/>
  <c r="AJ40" i="5"/>
  <c r="AJ41" i="5"/>
  <c r="AJ42" i="5"/>
  <c r="AJ44" i="5"/>
  <c r="AJ45" i="5"/>
  <c r="AJ46" i="5"/>
  <c r="AJ48" i="5"/>
  <c r="AJ49" i="5"/>
  <c r="AJ50" i="5"/>
  <c r="Z60" i="5"/>
  <c r="Z89" i="5" s="1"/>
  <c r="AC20" i="5"/>
  <c r="AC25" i="5"/>
  <c r="AC26" i="5"/>
  <c r="AC29" i="5"/>
  <c r="AC30" i="5"/>
  <c r="AC33" i="5"/>
  <c r="AC34" i="5"/>
  <c r="AC37" i="5"/>
  <c r="AC38" i="5"/>
  <c r="AC41" i="5"/>
  <c r="AC42" i="5"/>
  <c r="AC45" i="5"/>
  <c r="AC46" i="5"/>
  <c r="AC49" i="5"/>
  <c r="AC50" i="5"/>
  <c r="AC18" i="5"/>
  <c r="AC21" i="5"/>
  <c r="AC22" i="5"/>
  <c r="V21" i="5"/>
  <c r="V22" i="5"/>
  <c r="V20" i="5"/>
  <c r="V23" i="5"/>
  <c r="R58" i="5"/>
  <c r="R87" i="5" s="1"/>
  <c r="V87" i="5" s="1"/>
  <c r="V25" i="5"/>
  <c r="V26" i="5"/>
  <c r="V28" i="5"/>
  <c r="V29" i="5"/>
  <c r="V30" i="5"/>
  <c r="V32" i="5"/>
  <c r="V33" i="5"/>
  <c r="V34" i="5"/>
  <c r="V36" i="5"/>
  <c r="V37" i="5"/>
  <c r="V38" i="5"/>
  <c r="V40" i="5"/>
  <c r="V41" i="5"/>
  <c r="V42" i="5"/>
  <c r="V44" i="5"/>
  <c r="V45" i="5"/>
  <c r="V46" i="5"/>
  <c r="V48" i="5"/>
  <c r="V49" i="5"/>
  <c r="V50" i="5"/>
  <c r="V4" i="5"/>
  <c r="V5" i="5"/>
  <c r="V6" i="5"/>
  <c r="V8" i="5"/>
  <c r="V9" i="5"/>
  <c r="V10" i="5"/>
  <c r="V12" i="5"/>
  <c r="V13" i="5"/>
  <c r="V14" i="5"/>
  <c r="V16" i="5"/>
  <c r="V17" i="5"/>
  <c r="V18" i="5"/>
  <c r="H24" i="5"/>
  <c r="H25" i="5"/>
  <c r="H27" i="5"/>
  <c r="H28" i="5"/>
  <c r="H29" i="5"/>
  <c r="H30" i="5"/>
  <c r="H31" i="5"/>
  <c r="H32" i="5"/>
  <c r="H33" i="5"/>
  <c r="H34" i="5"/>
  <c r="H36" i="5"/>
  <c r="H37" i="5"/>
  <c r="H38" i="5"/>
  <c r="H40" i="5"/>
  <c r="H17" i="5"/>
  <c r="H41" i="5"/>
  <c r="H42" i="5"/>
  <c r="H44" i="5"/>
  <c r="H45" i="5"/>
  <c r="H46" i="5"/>
  <c r="H48" i="5"/>
  <c r="H49" i="5"/>
  <c r="H50" i="5"/>
  <c r="P53" i="5"/>
  <c r="V3" i="5"/>
  <c r="T82" i="5"/>
  <c r="T65" i="5"/>
  <c r="AD82" i="5"/>
  <c r="AH82" i="5"/>
  <c r="AP82" i="5"/>
  <c r="AZ53" i="5"/>
  <c r="BE3" i="5"/>
  <c r="BD82" i="5"/>
  <c r="BD65" i="5"/>
  <c r="BV82" i="5"/>
  <c r="CJ82" i="5"/>
  <c r="CN3" i="5"/>
  <c r="CR82" i="5"/>
  <c r="CR65" i="5"/>
  <c r="DF82" i="5"/>
  <c r="DF65" i="5"/>
  <c r="DX53" i="5"/>
  <c r="ED3" i="5"/>
  <c r="EB82" i="5"/>
  <c r="EB65" i="5"/>
  <c r="ES82" i="5"/>
  <c r="EW82" i="5"/>
  <c r="EW65" i="5"/>
  <c r="FE82" i="5"/>
  <c r="FV53" i="5"/>
  <c r="GA3" i="5"/>
  <c r="FZ82" i="5"/>
  <c r="FZ65" i="5"/>
  <c r="GY82" i="5"/>
  <c r="P54" i="5"/>
  <c r="P83" i="5" s="1"/>
  <c r="V83" i="5" s="1"/>
  <c r="V7" i="5"/>
  <c r="AZ54" i="5"/>
  <c r="AZ83" i="5" s="1"/>
  <c r="BE83" i="5" s="1"/>
  <c r="BE7" i="5"/>
  <c r="CN7" i="5"/>
  <c r="DX54" i="5"/>
  <c r="DX83" i="5" s="1"/>
  <c r="ED83" i="5" s="1"/>
  <c r="ED7" i="5"/>
  <c r="FV54" i="5"/>
  <c r="FV83" i="5" s="1"/>
  <c r="GA83" i="5" s="1"/>
  <c r="GA7" i="5"/>
  <c r="P55" i="5"/>
  <c r="V11" i="5"/>
  <c r="AZ55" i="5"/>
  <c r="AZ84" i="5" s="1"/>
  <c r="BE11" i="5"/>
  <c r="CN11" i="5"/>
  <c r="DX55" i="5"/>
  <c r="DX84" i="5" s="1"/>
  <c r="ED84" i="5" s="1"/>
  <c r="ED11" i="5"/>
  <c r="FV55" i="5"/>
  <c r="FV84" i="5" s="1"/>
  <c r="GA84" i="5" s="1"/>
  <c r="GA11" i="5"/>
  <c r="P56" i="5"/>
  <c r="P85" i="5" s="1"/>
  <c r="V85" i="5" s="1"/>
  <c r="V15" i="5"/>
  <c r="AZ56" i="5"/>
  <c r="AZ85" i="5" s="1"/>
  <c r="BE15" i="5"/>
  <c r="CN15" i="5"/>
  <c r="DX56" i="5"/>
  <c r="DX85" i="5" s="1"/>
  <c r="ED85" i="5" s="1"/>
  <c r="ED15" i="5"/>
  <c r="FV56" i="5"/>
  <c r="FV85" i="5" s="1"/>
  <c r="GA15" i="5"/>
  <c r="BZ18" i="5"/>
  <c r="BU57" i="5"/>
  <c r="BU86" i="5" s="1"/>
  <c r="BZ19" i="5"/>
  <c r="EL57" i="5"/>
  <c r="EL86" i="5" s="1"/>
  <c r="ER19" i="5"/>
  <c r="GP57" i="5"/>
  <c r="GP86" i="5" s="1"/>
  <c r="GV19" i="5"/>
  <c r="AQ21" i="5"/>
  <c r="AL57" i="5"/>
  <c r="AL86" i="5" s="1"/>
  <c r="BS23" i="5"/>
  <c r="BN58" i="5"/>
  <c r="BN87" i="5" s="1"/>
  <c r="BS87" i="5" s="1"/>
  <c r="V24" i="5"/>
  <c r="AJ27" i="5"/>
  <c r="AD59" i="5"/>
  <c r="AD88" i="5" s="1"/>
  <c r="AJ88" i="5" s="1"/>
  <c r="GV27" i="5"/>
  <c r="GQ59" i="5"/>
  <c r="GQ88" i="5" s="1"/>
  <c r="GV88" i="5" s="1"/>
  <c r="ES60" i="5"/>
  <c r="ES89" i="5" s="1"/>
  <c r="EY89" i="5" s="1"/>
  <c r="EY31" i="5"/>
  <c r="DB35" i="5"/>
  <c r="BN62" i="5"/>
  <c r="BN91" i="5" s="1"/>
  <c r="BS91" i="5" s="1"/>
  <c r="BS39" i="5"/>
  <c r="AD63" i="5"/>
  <c r="AJ43" i="5"/>
  <c r="GQ63" i="5"/>
  <c r="GQ92" i="5" s="1"/>
  <c r="GV92" i="5" s="1"/>
  <c r="GV43" i="5"/>
  <c r="D53" i="5"/>
  <c r="H3" i="5"/>
  <c r="L53" i="5"/>
  <c r="Z82" i="5"/>
  <c r="AR53" i="5"/>
  <c r="AX3" i="5"/>
  <c r="AV53" i="5"/>
  <c r="BF82" i="5"/>
  <c r="BJ82" i="5"/>
  <c r="BN82" i="5"/>
  <c r="CB53" i="5"/>
  <c r="CG3" i="5"/>
  <c r="CF53" i="5"/>
  <c r="DL53" i="5"/>
  <c r="DP3" i="5"/>
  <c r="DT53" i="5"/>
  <c r="EO82" i="5"/>
  <c r="FN53" i="5"/>
  <c r="FT3" i="5"/>
  <c r="FR53" i="5"/>
  <c r="GB82" i="5"/>
  <c r="GF82" i="5"/>
  <c r="GQ82" i="5"/>
  <c r="HE53" i="5"/>
  <c r="HJ3" i="5"/>
  <c r="HI53" i="5"/>
  <c r="O4" i="5"/>
  <c r="DW4" i="5"/>
  <c r="AQ5" i="5"/>
  <c r="FF5" i="5"/>
  <c r="BS6" i="5"/>
  <c r="GV6" i="5"/>
  <c r="D54" i="5"/>
  <c r="D83" i="5" s="1"/>
  <c r="H83" i="5" s="1"/>
  <c r="H7" i="5"/>
  <c r="L54" i="5"/>
  <c r="L83" i="5" s="1"/>
  <c r="O83" i="5" s="1"/>
  <c r="AR54" i="5"/>
  <c r="AR83" i="5" s="1"/>
  <c r="AX7" i="5"/>
  <c r="AV54" i="5"/>
  <c r="AV83" i="5" s="1"/>
  <c r="CB54" i="5"/>
  <c r="CB83" i="5" s="1"/>
  <c r="CG7" i="5"/>
  <c r="CF54" i="5"/>
  <c r="CF83" i="5" s="1"/>
  <c r="DL54" i="5"/>
  <c r="DL83" i="5" s="1"/>
  <c r="DP83" i="5" s="1"/>
  <c r="DP7" i="5"/>
  <c r="DT54" i="5"/>
  <c r="DT83" i="5" s="1"/>
  <c r="DW83" i="5" s="1"/>
  <c r="FN54" i="5"/>
  <c r="FN83" i="5" s="1"/>
  <c r="FT7" i="5"/>
  <c r="FR54" i="5"/>
  <c r="FR83" i="5" s="1"/>
  <c r="HE54" i="5"/>
  <c r="HE83" i="5" s="1"/>
  <c r="HJ7" i="5"/>
  <c r="HI54" i="5"/>
  <c r="HI83" i="5" s="1"/>
  <c r="O8" i="5"/>
  <c r="DW8" i="5"/>
  <c r="AQ9" i="5"/>
  <c r="FF9" i="5"/>
  <c r="BS10" i="5"/>
  <c r="GV10" i="5"/>
  <c r="D55" i="5"/>
  <c r="H11" i="5"/>
  <c r="L55" i="5"/>
  <c r="AR55" i="5"/>
  <c r="AR84" i="5" s="1"/>
  <c r="AX11" i="5"/>
  <c r="AV55" i="5"/>
  <c r="AV84" i="5" s="1"/>
  <c r="CB55" i="5"/>
  <c r="CB84" i="5" s="1"/>
  <c r="CG11" i="5"/>
  <c r="CF55" i="5"/>
  <c r="CF84" i="5" s="1"/>
  <c r="DL55" i="5"/>
  <c r="DL84" i="5" s="1"/>
  <c r="DP84" i="5" s="1"/>
  <c r="DP11" i="5"/>
  <c r="DT55" i="5"/>
  <c r="DT84" i="5" s="1"/>
  <c r="DW84" i="5" s="1"/>
  <c r="FN55" i="5"/>
  <c r="FN84" i="5" s="1"/>
  <c r="FT11" i="5"/>
  <c r="FR55" i="5"/>
  <c r="FR84" i="5" s="1"/>
  <c r="HE55" i="5"/>
  <c r="HE84" i="5" s="1"/>
  <c r="HJ11" i="5"/>
  <c r="HI55" i="5"/>
  <c r="HI84" i="5" s="1"/>
  <c r="O12" i="5"/>
  <c r="DW12" i="5"/>
  <c r="AQ13" i="5"/>
  <c r="FF13" i="5"/>
  <c r="BS14" i="5"/>
  <c r="GV14" i="5"/>
  <c r="D56" i="5"/>
  <c r="D85" i="5" s="1"/>
  <c r="H85" i="5" s="1"/>
  <c r="H15" i="5"/>
  <c r="L56" i="5"/>
  <c r="L85" i="5" s="1"/>
  <c r="O85" i="5" s="1"/>
  <c r="AR56" i="5"/>
  <c r="AR85" i="5" s="1"/>
  <c r="AX15" i="5"/>
  <c r="AV56" i="5"/>
  <c r="AV85" i="5" s="1"/>
  <c r="CB56" i="5"/>
  <c r="CB85" i="5" s="1"/>
  <c r="CG15" i="5"/>
  <c r="CF56" i="5"/>
  <c r="CF85" i="5" s="1"/>
  <c r="DL56" i="5"/>
  <c r="DL85" i="5" s="1"/>
  <c r="DP15" i="5"/>
  <c r="DT56" i="5"/>
  <c r="DT85" i="5" s="1"/>
  <c r="DW85" i="5" s="1"/>
  <c r="FN56" i="5"/>
  <c r="FN85" i="5" s="1"/>
  <c r="FT15" i="5"/>
  <c r="FR56" i="5"/>
  <c r="FR85" i="5" s="1"/>
  <c r="GQ56" i="5"/>
  <c r="GQ85" i="5" s="1"/>
  <c r="GU56" i="5"/>
  <c r="GU85" i="5" s="1"/>
  <c r="HE56" i="5"/>
  <c r="HE85" i="5" s="1"/>
  <c r="HJ15" i="5"/>
  <c r="HI56" i="5"/>
  <c r="HI85" i="5" s="1"/>
  <c r="O16" i="5"/>
  <c r="DW16" i="5"/>
  <c r="AQ17" i="5"/>
  <c r="FF17" i="5"/>
  <c r="CG18" i="5"/>
  <c r="W57" i="5"/>
  <c r="W86" i="5" s="1"/>
  <c r="AC19" i="5"/>
  <c r="BM57" i="5"/>
  <c r="BM86" i="5" s="1"/>
  <c r="BS19" i="5"/>
  <c r="DP19" i="5"/>
  <c r="DJ57" i="5"/>
  <c r="DJ86" i="5" s="1"/>
  <c r="DN57" i="5"/>
  <c r="DN86" i="5" s="1"/>
  <c r="DW19" i="5"/>
  <c r="ER20" i="5"/>
  <c r="AJ23" i="5"/>
  <c r="AD58" i="5"/>
  <c r="AD87" i="5" s="1"/>
  <c r="AJ87" i="5" s="1"/>
  <c r="AX87" i="5"/>
  <c r="DV58" i="5"/>
  <c r="DV87" i="5" s="1"/>
  <c r="GV23" i="5"/>
  <c r="GQ58" i="5"/>
  <c r="GQ87" i="5" s="1"/>
  <c r="GV87" i="5" s="1"/>
  <c r="ED24" i="5"/>
  <c r="EY27" i="5"/>
  <c r="ES59" i="5"/>
  <c r="ES88" i="5" s="1"/>
  <c r="EY88" i="5" s="1"/>
  <c r="CU28" i="5"/>
  <c r="CP59" i="5"/>
  <c r="CP88" i="5" s="1"/>
  <c r="CU88" i="5" s="1"/>
  <c r="AX29" i="5"/>
  <c r="DB31" i="5"/>
  <c r="BL32" i="5"/>
  <c r="BF60" i="5"/>
  <c r="BF89" i="5" s="1"/>
  <c r="BL89" i="5" s="1"/>
  <c r="O33" i="5"/>
  <c r="J60" i="5"/>
  <c r="J89" i="5" s="1"/>
  <c r="O89" i="5" s="1"/>
  <c r="BN61" i="5"/>
  <c r="BN90" i="5" s="1"/>
  <c r="BS90" i="5" s="1"/>
  <c r="BS35" i="5"/>
  <c r="AD62" i="5"/>
  <c r="AD91" i="5" s="1"/>
  <c r="AJ91" i="5" s="1"/>
  <c r="AJ39" i="5"/>
  <c r="GQ62" i="5"/>
  <c r="GQ91" i="5" s="1"/>
  <c r="GV91" i="5" s="1"/>
  <c r="GV39" i="5"/>
  <c r="ES63" i="5"/>
  <c r="ES92" i="5" s="1"/>
  <c r="EY92" i="5" s="1"/>
  <c r="EY43" i="5"/>
  <c r="R82" i="5"/>
  <c r="AF53" i="5"/>
  <c r="AJ3" i="5"/>
  <c r="AN53" i="5"/>
  <c r="BT53" i="5"/>
  <c r="BZ3" i="5"/>
  <c r="BX53" i="5"/>
  <c r="CP82" i="5"/>
  <c r="CT82" i="5"/>
  <c r="DD53" i="5"/>
  <c r="DI3" i="5"/>
  <c r="DH53" i="5"/>
  <c r="DZ82" i="5"/>
  <c r="EU53" i="5"/>
  <c r="EY3" i="5"/>
  <c r="FC53" i="5"/>
  <c r="GW53" i="5"/>
  <c r="HC3" i="5"/>
  <c r="HA53" i="5"/>
  <c r="AF54" i="5"/>
  <c r="AF83" i="5" s="1"/>
  <c r="AJ83" i="5" s="1"/>
  <c r="AJ7" i="5"/>
  <c r="AN54" i="5"/>
  <c r="AN83" i="5" s="1"/>
  <c r="AQ83" i="5" s="1"/>
  <c r="BT54" i="5"/>
  <c r="BT83" i="5" s="1"/>
  <c r="BZ7" i="5"/>
  <c r="BX54" i="5"/>
  <c r="BX83" i="5" s="1"/>
  <c r="CN83" i="5"/>
  <c r="DD54" i="5"/>
  <c r="DD83" i="5" s="1"/>
  <c r="DI7" i="5"/>
  <c r="DH54" i="5"/>
  <c r="DH83" i="5" s="1"/>
  <c r="EU54" i="5"/>
  <c r="EU83" i="5" s="1"/>
  <c r="EY83" i="5" s="1"/>
  <c r="EY7" i="5"/>
  <c r="FC54" i="5"/>
  <c r="FC83" i="5" s="1"/>
  <c r="FF83" i="5" s="1"/>
  <c r="GW54" i="5"/>
  <c r="GW83" i="5" s="1"/>
  <c r="HC7" i="5"/>
  <c r="HA54" i="5"/>
  <c r="HA83" i="5" s="1"/>
  <c r="AF55" i="5"/>
  <c r="AJ11" i="5"/>
  <c r="AN55" i="5"/>
  <c r="AN84" i="5" s="1"/>
  <c r="AQ84" i="5" s="1"/>
  <c r="BT55" i="5"/>
  <c r="BT84" i="5" s="1"/>
  <c r="BZ11" i="5"/>
  <c r="BX55" i="5"/>
  <c r="BX84" i="5" s="1"/>
  <c r="DD55" i="5"/>
  <c r="DD84" i="5" s="1"/>
  <c r="DI11" i="5"/>
  <c r="DH55" i="5"/>
  <c r="DH84" i="5" s="1"/>
  <c r="EU55" i="5"/>
  <c r="EU84" i="5" s="1"/>
  <c r="EY84" i="5" s="1"/>
  <c r="EY11" i="5"/>
  <c r="FC55" i="5"/>
  <c r="FC84" i="5" s="1"/>
  <c r="FF84" i="5" s="1"/>
  <c r="GW55" i="5"/>
  <c r="GW84" i="5" s="1"/>
  <c r="HC11" i="5"/>
  <c r="HA55" i="5"/>
  <c r="HA84" i="5" s="1"/>
  <c r="AF56" i="5"/>
  <c r="AF85" i="5" s="1"/>
  <c r="AJ85" i="5" s="1"/>
  <c r="AJ15" i="5"/>
  <c r="AN56" i="5"/>
  <c r="AN85" i="5" s="1"/>
  <c r="BT56" i="5"/>
  <c r="BT85" i="5" s="1"/>
  <c r="BZ15" i="5"/>
  <c r="BX56" i="5"/>
  <c r="BX85" i="5" s="1"/>
  <c r="DD56" i="5"/>
  <c r="DD85" i="5" s="1"/>
  <c r="DI15" i="5"/>
  <c r="DH56" i="5"/>
  <c r="DH85" i="5" s="1"/>
  <c r="EU56" i="5"/>
  <c r="EU85" i="5" s="1"/>
  <c r="EY85" i="5" s="1"/>
  <c r="EY15" i="5"/>
  <c r="FC56" i="5"/>
  <c r="FC85" i="5" s="1"/>
  <c r="GW56" i="5"/>
  <c r="GW85" i="5" s="1"/>
  <c r="HC15" i="5"/>
  <c r="HA56" i="5"/>
  <c r="HA85" i="5" s="1"/>
  <c r="AQ16" i="5"/>
  <c r="FF16" i="5"/>
  <c r="BS17" i="5"/>
  <c r="GV17" i="5"/>
  <c r="H19" i="5"/>
  <c r="B57" i="5"/>
  <c r="B86" i="5" s="1"/>
  <c r="O19" i="5"/>
  <c r="AP57" i="5"/>
  <c r="AP86" i="5" s="1"/>
  <c r="DB19" i="5"/>
  <c r="HJ19" i="5"/>
  <c r="AX20" i="5"/>
  <c r="Z58" i="5"/>
  <c r="Z87" i="5" s="1"/>
  <c r="EY23" i="5"/>
  <c r="ES58" i="5"/>
  <c r="ES87" i="5" s="1"/>
  <c r="EY87" i="5" s="1"/>
  <c r="GF58" i="5"/>
  <c r="GF87" i="5" s="1"/>
  <c r="H26" i="5"/>
  <c r="B58" i="5"/>
  <c r="B87" i="5" s="1"/>
  <c r="H87" i="5" s="1"/>
  <c r="DB27" i="5"/>
  <c r="EO59" i="5"/>
  <c r="EO88" i="5" s="1"/>
  <c r="HG59" i="5"/>
  <c r="HG88" i="5" s="1"/>
  <c r="FT29" i="5"/>
  <c r="BS31" i="5"/>
  <c r="BN60" i="5"/>
  <c r="BN89" i="5" s="1"/>
  <c r="BS89" i="5" s="1"/>
  <c r="BZ34" i="5"/>
  <c r="AD61" i="5"/>
  <c r="AD90" i="5" s="1"/>
  <c r="AJ35" i="5"/>
  <c r="GQ61" i="5"/>
  <c r="GQ90" i="5" s="1"/>
  <c r="GV90" i="5" s="1"/>
  <c r="GV35" i="5"/>
  <c r="ES62" i="5"/>
  <c r="ES91" i="5" s="1"/>
  <c r="EY91" i="5" s="1"/>
  <c r="EY39" i="5"/>
  <c r="DB43" i="5"/>
  <c r="B82" i="5"/>
  <c r="J82" i="5"/>
  <c r="N82" i="5"/>
  <c r="X53" i="5"/>
  <c r="AC3" i="5"/>
  <c r="AB53" i="5"/>
  <c r="AT82" i="5"/>
  <c r="BH53" i="5"/>
  <c r="BL3" i="5"/>
  <c r="BP53" i="5"/>
  <c r="CD82" i="5"/>
  <c r="CV53" i="5"/>
  <c r="DB3" i="5"/>
  <c r="CZ53" i="5"/>
  <c r="DJ82" i="5"/>
  <c r="DR82" i="5"/>
  <c r="DV82" i="5"/>
  <c r="EM53" i="5"/>
  <c r="ER3" i="5"/>
  <c r="EQ53" i="5"/>
  <c r="FP82" i="5"/>
  <c r="GD53" i="5"/>
  <c r="GH3" i="5"/>
  <c r="GS53" i="5"/>
  <c r="HG82" i="5"/>
  <c r="BS4" i="5"/>
  <c r="X54" i="5"/>
  <c r="X83" i="5" s="1"/>
  <c r="AC7" i="5"/>
  <c r="AB54" i="5"/>
  <c r="AB83" i="5" s="1"/>
  <c r="BH54" i="5"/>
  <c r="BH83" i="5" s="1"/>
  <c r="BL83" i="5" s="1"/>
  <c r="BL7" i="5"/>
  <c r="BP54" i="5"/>
  <c r="BP83" i="5" s="1"/>
  <c r="BS83" i="5" s="1"/>
  <c r="CV54" i="5"/>
  <c r="CV83" i="5" s="1"/>
  <c r="DB7" i="5"/>
  <c r="CZ54" i="5"/>
  <c r="CZ83" i="5" s="1"/>
  <c r="EM54" i="5"/>
  <c r="EM83" i="5" s="1"/>
  <c r="ER7" i="5"/>
  <c r="EQ54" i="5"/>
  <c r="EQ83" i="5" s="1"/>
  <c r="GD54" i="5"/>
  <c r="GD83" i="5" s="1"/>
  <c r="GH83" i="5" s="1"/>
  <c r="GH7" i="5"/>
  <c r="GS54" i="5"/>
  <c r="GS83" i="5" s="1"/>
  <c r="GV83" i="5" s="1"/>
  <c r="BS8" i="5"/>
  <c r="GV8" i="5"/>
  <c r="CU9" i="5"/>
  <c r="O10" i="5"/>
  <c r="X55" i="5"/>
  <c r="AC11" i="5"/>
  <c r="AB55" i="5"/>
  <c r="BH55" i="5"/>
  <c r="BL11" i="5"/>
  <c r="BP55" i="5"/>
  <c r="BP84" i="5" s="1"/>
  <c r="BS84" i="5" s="1"/>
  <c r="CV55" i="5"/>
  <c r="CV84" i="5" s="1"/>
  <c r="DB11" i="5"/>
  <c r="CZ55" i="5"/>
  <c r="CZ84" i="5" s="1"/>
  <c r="EM55" i="5"/>
  <c r="EM84" i="5" s="1"/>
  <c r="ER11" i="5"/>
  <c r="EQ55" i="5"/>
  <c r="EQ84" i="5" s="1"/>
  <c r="GD55" i="5"/>
  <c r="GD84" i="5" s="1"/>
  <c r="GH84" i="5" s="1"/>
  <c r="GH11" i="5"/>
  <c r="GS55" i="5"/>
  <c r="GS84" i="5" s="1"/>
  <c r="GV84" i="5" s="1"/>
  <c r="BS12" i="5"/>
  <c r="X56" i="5"/>
  <c r="X85" i="5" s="1"/>
  <c r="AC85" i="5" s="1"/>
  <c r="AC15" i="5"/>
  <c r="BL15" i="5"/>
  <c r="CD56" i="5"/>
  <c r="CD85" i="5" s="1"/>
  <c r="CV56" i="5"/>
  <c r="CV85" i="5" s="1"/>
  <c r="DB15" i="5"/>
  <c r="EM56" i="5"/>
  <c r="EM85" i="5" s="1"/>
  <c r="ER85" i="5" s="1"/>
  <c r="ER15" i="5"/>
  <c r="GH15" i="5"/>
  <c r="BS16" i="5"/>
  <c r="HC18" i="5"/>
  <c r="AD57" i="5"/>
  <c r="AD86" i="5" s="1"/>
  <c r="AH57" i="5"/>
  <c r="AH86" i="5" s="1"/>
  <c r="CG19" i="5"/>
  <c r="CP57" i="5"/>
  <c r="CP86" i="5" s="1"/>
  <c r="CU19" i="5"/>
  <c r="EO57" i="5"/>
  <c r="EO86" i="5" s="1"/>
  <c r="GX57" i="5"/>
  <c r="GX86" i="5" s="1"/>
  <c r="HC19" i="5"/>
  <c r="FF21" i="5"/>
  <c r="FA57" i="5"/>
  <c r="FA86" i="5" s="1"/>
  <c r="GA21" i="5"/>
  <c r="DB23" i="5"/>
  <c r="DP26" i="5"/>
  <c r="DJ58" i="5"/>
  <c r="DJ87" i="5" s="1"/>
  <c r="DP87" i="5" s="1"/>
  <c r="AL59" i="5"/>
  <c r="AL88" i="5" s="1"/>
  <c r="AP59" i="5"/>
  <c r="AP88" i="5" s="1"/>
  <c r="DZ59" i="5"/>
  <c r="DZ88" i="5" s="1"/>
  <c r="ED88" i="5" s="1"/>
  <c r="GY59" i="5"/>
  <c r="GY88" i="5" s="1"/>
  <c r="HC88" i="5" s="1"/>
  <c r="F60" i="5"/>
  <c r="F89" i="5" s="1"/>
  <c r="AJ31" i="5"/>
  <c r="AD60" i="5"/>
  <c r="AD89" i="5" s="1"/>
  <c r="GQ60" i="5"/>
  <c r="GQ89" i="5" s="1"/>
  <c r="GV89" i="5" s="1"/>
  <c r="GV31" i="5"/>
  <c r="ES61" i="5"/>
  <c r="ES90" i="5" s="1"/>
  <c r="EY90" i="5" s="1"/>
  <c r="EY35" i="5"/>
  <c r="DB39" i="5"/>
  <c r="BN63" i="5"/>
  <c r="BN92" i="5" s="1"/>
  <c r="BS92" i="5" s="1"/>
  <c r="BS43" i="5"/>
  <c r="AD64" i="5"/>
  <c r="AD93" i="5" s="1"/>
  <c r="AJ47" i="5"/>
  <c r="BN64" i="5"/>
  <c r="BN93" i="5" s="1"/>
  <c r="BS93" i="5" s="1"/>
  <c r="BS47" i="5"/>
  <c r="DB47" i="5"/>
  <c r="ES64" i="5"/>
  <c r="ES93" i="5" s="1"/>
  <c r="EY93" i="5" s="1"/>
  <c r="EY47" i="5"/>
  <c r="GQ64" i="5"/>
  <c r="GQ93" i="5" s="1"/>
  <c r="GV47" i="5"/>
  <c r="F82" i="5"/>
  <c r="AL82" i="5"/>
  <c r="BB82" i="5"/>
  <c r="BR82" i="5"/>
  <c r="CX82" i="5"/>
  <c r="CX65" i="5"/>
  <c r="DN82" i="5"/>
  <c r="FA82" i="5"/>
  <c r="FX82" i="5"/>
  <c r="GU82" i="5"/>
  <c r="DB90" i="5"/>
  <c r="E82" i="5"/>
  <c r="I82" i="5"/>
  <c r="M82" i="5"/>
  <c r="Q82" i="5"/>
  <c r="U82" i="5"/>
  <c r="Y82" i="5"/>
  <c r="AG82" i="5"/>
  <c r="AK82" i="5"/>
  <c r="AO82" i="5"/>
  <c r="AS82" i="5"/>
  <c r="AW82" i="5"/>
  <c r="BA82" i="5"/>
  <c r="BM82" i="5"/>
  <c r="BQ82" i="5"/>
  <c r="BQ65" i="5"/>
  <c r="BU82" i="5"/>
  <c r="BY65" i="5"/>
  <c r="BY82" i="5"/>
  <c r="CC82" i="5"/>
  <c r="CC65" i="5"/>
  <c r="CK82" i="5"/>
  <c r="CK65" i="5"/>
  <c r="CO82" i="5"/>
  <c r="CS82" i="5"/>
  <c r="CW82" i="5"/>
  <c r="DA82" i="5"/>
  <c r="DE82" i="5"/>
  <c r="DM82" i="5"/>
  <c r="DQ82" i="5"/>
  <c r="DY82" i="5"/>
  <c r="EC82" i="5"/>
  <c r="EN82" i="5"/>
  <c r="EZ82" i="5"/>
  <c r="FD82" i="5"/>
  <c r="FO82" i="5"/>
  <c r="FS82" i="5"/>
  <c r="FW82" i="5"/>
  <c r="GE82" i="5"/>
  <c r="GP82" i="5"/>
  <c r="GT82" i="5"/>
  <c r="GX82" i="5"/>
  <c r="HB65" i="5"/>
  <c r="HF82" i="5"/>
  <c r="CU83" i="5"/>
  <c r="CU84" i="5"/>
  <c r="AK56" i="5"/>
  <c r="AK85" i="5" s="1"/>
  <c r="AO56" i="5"/>
  <c r="AO85" i="5" s="1"/>
  <c r="AS56" i="5"/>
  <c r="AS85" i="5" s="1"/>
  <c r="AW56" i="5"/>
  <c r="AW85" i="5" s="1"/>
  <c r="BA56" i="5"/>
  <c r="BA85" i="5" s="1"/>
  <c r="BI56" i="5"/>
  <c r="BI85" i="5" s="1"/>
  <c r="BL85" i="5" s="1"/>
  <c r="BS85" i="5"/>
  <c r="EZ56" i="5"/>
  <c r="EZ85" i="5" s="1"/>
  <c r="FD56" i="5"/>
  <c r="FD85" i="5" s="1"/>
  <c r="FO56" i="5"/>
  <c r="FO85" i="5" s="1"/>
  <c r="FS56" i="5"/>
  <c r="FW56" i="5"/>
  <c r="FW85" i="5" s="1"/>
  <c r="GE56" i="5"/>
  <c r="GE85" i="5" s="1"/>
  <c r="GH85" i="5" s="1"/>
  <c r="BL18" i="5"/>
  <c r="GH18" i="5"/>
  <c r="C57" i="5"/>
  <c r="C86" i="5" s="1"/>
  <c r="G57" i="5"/>
  <c r="G86" i="5" s="1"/>
  <c r="AK57" i="5"/>
  <c r="AK86" i="5" s="1"/>
  <c r="AO57" i="5"/>
  <c r="AO86" i="5" s="1"/>
  <c r="AS57" i="5"/>
  <c r="AS86" i="5" s="1"/>
  <c r="AW57" i="5"/>
  <c r="AW86" i="5" s="1"/>
  <c r="BA57" i="5"/>
  <c r="BA86" i="5" s="1"/>
  <c r="BE19" i="5"/>
  <c r="BI57" i="5"/>
  <c r="BI86" i="5" s="1"/>
  <c r="CN19" i="5"/>
  <c r="GA19" i="5"/>
  <c r="H20" i="5"/>
  <c r="DP20" i="5"/>
  <c r="AJ21" i="5"/>
  <c r="EY21" i="5"/>
  <c r="BL22" i="5"/>
  <c r="CG22" i="5"/>
  <c r="HJ22" i="5"/>
  <c r="DI23" i="5"/>
  <c r="AC24" i="5"/>
  <c r="ER24" i="5"/>
  <c r="BE25" i="5"/>
  <c r="GA25" i="5"/>
  <c r="CG26" i="5"/>
  <c r="HJ26" i="5"/>
  <c r="V27" i="5"/>
  <c r="BZ88" i="5"/>
  <c r="DI27" i="5"/>
  <c r="ED27" i="5"/>
  <c r="AC28" i="5"/>
  <c r="ER28" i="5"/>
  <c r="BE29" i="5"/>
  <c r="GA29" i="5"/>
  <c r="CG30" i="5"/>
  <c r="HJ30" i="5"/>
  <c r="V31" i="5"/>
  <c r="CP60" i="5"/>
  <c r="CP89" i="5" s="1"/>
  <c r="CT60" i="5"/>
  <c r="CT89" i="5" s="1"/>
  <c r="DZ60" i="5"/>
  <c r="DZ89" i="5" s="1"/>
  <c r="ED89" i="5" s="1"/>
  <c r="ED31" i="5"/>
  <c r="EO60" i="5"/>
  <c r="EO89" i="5" s="1"/>
  <c r="ER89" i="5" s="1"/>
  <c r="GB60" i="5"/>
  <c r="GB89" i="5" s="1"/>
  <c r="GH31" i="5"/>
  <c r="GF60" i="5"/>
  <c r="GF89" i="5" s="1"/>
  <c r="AC32" i="5"/>
  <c r="ER32" i="5"/>
  <c r="BE33" i="5"/>
  <c r="GA33" i="5"/>
  <c r="CG34" i="5"/>
  <c r="HJ34" i="5"/>
  <c r="R61" i="5"/>
  <c r="R90" i="5" s="1"/>
  <c r="V90" i="5" s="1"/>
  <c r="V35" i="5"/>
  <c r="Z61" i="5"/>
  <c r="Z90" i="5" s="1"/>
  <c r="AC90" i="5" s="1"/>
  <c r="BF61" i="5"/>
  <c r="BF90" i="5" s="1"/>
  <c r="BL35" i="5"/>
  <c r="BJ61" i="5"/>
  <c r="BJ90" i="5" s="1"/>
  <c r="CP61" i="5"/>
  <c r="CP90" i="5" s="1"/>
  <c r="CU35" i="5"/>
  <c r="CT61" i="5"/>
  <c r="CT90" i="5" s="1"/>
  <c r="DZ61" i="5"/>
  <c r="DZ90" i="5" s="1"/>
  <c r="ED90" i="5" s="1"/>
  <c r="ED35" i="5"/>
  <c r="EO61" i="5"/>
  <c r="EO90" i="5" s="1"/>
  <c r="ER90" i="5" s="1"/>
  <c r="GB61" i="5"/>
  <c r="GB90" i="5" s="1"/>
  <c r="GH35" i="5"/>
  <c r="GF61" i="5"/>
  <c r="GF90" i="5" s="1"/>
  <c r="AC36" i="5"/>
  <c r="ER36" i="5"/>
  <c r="BE37" i="5"/>
  <c r="GA37" i="5"/>
  <c r="CG38" i="5"/>
  <c r="HJ38" i="5"/>
  <c r="R62" i="5"/>
  <c r="R91" i="5" s="1"/>
  <c r="V91" i="5" s="1"/>
  <c r="V39" i="5"/>
  <c r="Z62" i="5"/>
  <c r="Z91" i="5" s="1"/>
  <c r="AC91" i="5" s="1"/>
  <c r="BF62" i="5"/>
  <c r="BF91" i="5" s="1"/>
  <c r="BL39" i="5"/>
  <c r="BJ62" i="5"/>
  <c r="BJ91" i="5" s="1"/>
  <c r="CP62" i="5"/>
  <c r="CP91" i="5" s="1"/>
  <c r="CU39" i="5"/>
  <c r="CT62" i="5"/>
  <c r="CT91" i="5" s="1"/>
  <c r="DZ62" i="5"/>
  <c r="DZ91" i="5" s="1"/>
  <c r="ED91" i="5" s="1"/>
  <c r="ED39" i="5"/>
  <c r="EO62" i="5"/>
  <c r="EO91" i="5" s="1"/>
  <c r="ER91" i="5" s="1"/>
  <c r="GB62" i="5"/>
  <c r="GB91" i="5" s="1"/>
  <c r="GH39" i="5"/>
  <c r="GF62" i="5"/>
  <c r="GF91" i="5" s="1"/>
  <c r="AC40" i="5"/>
  <c r="ER40" i="5"/>
  <c r="BE41" i="5"/>
  <c r="GA41" i="5"/>
  <c r="CG42" i="5"/>
  <c r="HJ42" i="5"/>
  <c r="R63" i="5"/>
  <c r="V43" i="5"/>
  <c r="Z63" i="5"/>
  <c r="BF63" i="5"/>
  <c r="BL43" i="5"/>
  <c r="BJ63" i="5"/>
  <c r="CP63" i="5"/>
  <c r="CP92" i="5" s="1"/>
  <c r="CU43" i="5"/>
  <c r="CT63" i="5"/>
  <c r="CT92" i="5" s="1"/>
  <c r="DZ63" i="5"/>
  <c r="DZ92" i="5" s="1"/>
  <c r="ED92" i="5" s="1"/>
  <c r="ED43" i="5"/>
  <c r="EO63" i="5"/>
  <c r="EO92" i="5" s="1"/>
  <c r="ER92" i="5" s="1"/>
  <c r="GB63" i="5"/>
  <c r="GB92" i="5" s="1"/>
  <c r="GH43" i="5"/>
  <c r="GF63" i="5"/>
  <c r="GF92" i="5" s="1"/>
  <c r="AC44" i="5"/>
  <c r="ER44" i="5"/>
  <c r="BE45" i="5"/>
  <c r="GA45" i="5"/>
  <c r="CG46" i="5"/>
  <c r="HJ46" i="5"/>
  <c r="R64" i="5"/>
  <c r="R93" i="5" s="1"/>
  <c r="V93" i="5" s="1"/>
  <c r="V47" i="5"/>
  <c r="Z64" i="5"/>
  <c r="Z93" i="5" s="1"/>
  <c r="AC93" i="5" s="1"/>
  <c r="BF64" i="5"/>
  <c r="BF93" i="5" s="1"/>
  <c r="BL47" i="5"/>
  <c r="BJ64" i="5"/>
  <c r="BJ93" i="5" s="1"/>
  <c r="CP64" i="5"/>
  <c r="CP93" i="5" s="1"/>
  <c r="CU47" i="5"/>
  <c r="CT64" i="5"/>
  <c r="CT93" i="5" s="1"/>
  <c r="DZ64" i="5"/>
  <c r="DZ93" i="5" s="1"/>
  <c r="ED93" i="5" s="1"/>
  <c r="ED47" i="5"/>
  <c r="EO64" i="5"/>
  <c r="EO93" i="5" s="1"/>
  <c r="ER93" i="5" s="1"/>
  <c r="GB64" i="5"/>
  <c r="GB93" i="5" s="1"/>
  <c r="GH47" i="5"/>
  <c r="GF64" i="5"/>
  <c r="GF93" i="5" s="1"/>
  <c r="AC48" i="5"/>
  <c r="AQ48" i="5"/>
  <c r="ER48" i="5"/>
  <c r="FF48" i="5"/>
  <c r="BE49" i="5"/>
  <c r="BS49" i="5"/>
  <c r="GA49" i="5"/>
  <c r="GV49" i="5"/>
  <c r="CG50" i="5"/>
  <c r="CU50" i="5"/>
  <c r="HJ50" i="5"/>
  <c r="AL58" i="5"/>
  <c r="AL87" i="5" s="1"/>
  <c r="AQ87" i="5" s="1"/>
  <c r="CH58" i="5"/>
  <c r="CH87" i="5" s="1"/>
  <c r="FA58" i="5"/>
  <c r="FA87" i="5" s="1"/>
  <c r="FF87" i="5" s="1"/>
  <c r="B59" i="5"/>
  <c r="B88" i="5" s="1"/>
  <c r="H88" i="5" s="1"/>
  <c r="DJ59" i="5"/>
  <c r="DJ88" i="5" s="1"/>
  <c r="DP88" i="5" s="1"/>
  <c r="AT60" i="5"/>
  <c r="AT89" i="5" s="1"/>
  <c r="AX89" i="5" s="1"/>
  <c r="HB82" i="5"/>
  <c r="AJ18" i="5"/>
  <c r="EY18" i="5"/>
  <c r="I57" i="5"/>
  <c r="I86" i="5" s="1"/>
  <c r="M57" i="5"/>
  <c r="M86" i="5" s="1"/>
  <c r="Q57" i="5"/>
  <c r="Q86" i="5" s="1"/>
  <c r="U57" i="5"/>
  <c r="U86" i="5" s="1"/>
  <c r="Y57" i="5"/>
  <c r="Y86" i="5" s="1"/>
  <c r="AG57" i="5"/>
  <c r="AG86" i="5" s="1"/>
  <c r="AX19" i="5"/>
  <c r="BL19" i="5"/>
  <c r="BO57" i="5"/>
  <c r="BO86" i="5" s="1"/>
  <c r="BW57" i="5"/>
  <c r="BW86" i="5" s="1"/>
  <c r="CA57" i="5"/>
  <c r="CA86" i="5" s="1"/>
  <c r="CE57" i="5"/>
  <c r="CE86" i="5" s="1"/>
  <c r="CI57" i="5"/>
  <c r="CI86" i="5" s="1"/>
  <c r="CM57" i="5"/>
  <c r="CM86" i="5" s="1"/>
  <c r="DQ57" i="5"/>
  <c r="DQ86" i="5" s="1"/>
  <c r="DU57" i="5"/>
  <c r="DU86" i="5" s="1"/>
  <c r="DY57" i="5"/>
  <c r="DY86" i="5" s="1"/>
  <c r="EC57" i="5"/>
  <c r="EC86" i="5" s="1"/>
  <c r="EN57" i="5"/>
  <c r="EN86" i="5" s="1"/>
  <c r="EV57" i="5"/>
  <c r="EV86" i="5" s="1"/>
  <c r="EY86" i="5" s="1"/>
  <c r="FT19" i="5"/>
  <c r="GH19" i="5"/>
  <c r="GR57" i="5"/>
  <c r="GR86" i="5" s="1"/>
  <c r="GZ57" i="5"/>
  <c r="GZ86" i="5" s="1"/>
  <c r="HD57" i="5"/>
  <c r="HD86" i="5" s="1"/>
  <c r="HH57" i="5"/>
  <c r="HH86" i="5" s="1"/>
  <c r="CN20" i="5"/>
  <c r="H21" i="5"/>
  <c r="DP21" i="5"/>
  <c r="AJ22" i="5"/>
  <c r="DI22" i="5"/>
  <c r="AC23" i="5"/>
  <c r="AX23" i="5"/>
  <c r="DB87" i="5"/>
  <c r="ER23" i="5"/>
  <c r="FT23" i="5"/>
  <c r="BE24" i="5"/>
  <c r="GA24" i="5"/>
  <c r="CG25" i="5"/>
  <c r="HJ25" i="5"/>
  <c r="DI26" i="5"/>
  <c r="AC27" i="5"/>
  <c r="DB88" i="5"/>
  <c r="ER27" i="5"/>
  <c r="FF88" i="5"/>
  <c r="BE28" i="5"/>
  <c r="GA28" i="5"/>
  <c r="CG29" i="5"/>
  <c r="CU29" i="5"/>
  <c r="HJ29" i="5"/>
  <c r="DI30" i="5"/>
  <c r="AC31" i="5"/>
  <c r="CH60" i="5"/>
  <c r="CH89" i="5" s="1"/>
  <c r="CN31" i="5"/>
  <c r="CL60" i="5"/>
  <c r="CL89" i="5" s="1"/>
  <c r="DB89" i="5"/>
  <c r="DR60" i="5"/>
  <c r="DR89" i="5" s="1"/>
  <c r="DV60" i="5"/>
  <c r="DV89" i="5" s="1"/>
  <c r="FP60" i="5"/>
  <c r="FP89" i="5" s="1"/>
  <c r="FT31" i="5"/>
  <c r="FX60" i="5"/>
  <c r="FX89" i="5" s="1"/>
  <c r="GA89" i="5" s="1"/>
  <c r="GA32" i="5"/>
  <c r="CG33" i="5"/>
  <c r="HJ33" i="5"/>
  <c r="DI34" i="5"/>
  <c r="J61" i="5"/>
  <c r="J90" i="5" s="1"/>
  <c r="O35" i="5"/>
  <c r="N61" i="5"/>
  <c r="N90" i="5" s="1"/>
  <c r="AT61" i="5"/>
  <c r="AT90" i="5" s="1"/>
  <c r="AX90" i="5" s="1"/>
  <c r="AX35" i="5"/>
  <c r="BB61" i="5"/>
  <c r="BB90" i="5" s="1"/>
  <c r="BE90" i="5" s="1"/>
  <c r="CH61" i="5"/>
  <c r="CH90" i="5" s="1"/>
  <c r="CN35" i="5"/>
  <c r="CL61" i="5"/>
  <c r="CL90" i="5" s="1"/>
  <c r="DR61" i="5"/>
  <c r="DR90" i="5" s="1"/>
  <c r="DW35" i="5"/>
  <c r="DV61" i="5"/>
  <c r="DV90" i="5" s="1"/>
  <c r="FP61" i="5"/>
  <c r="FP90" i="5" s="1"/>
  <c r="FT35" i="5"/>
  <c r="FX61" i="5"/>
  <c r="FX90" i="5" s="1"/>
  <c r="GA90" i="5" s="1"/>
  <c r="GA36" i="5"/>
  <c r="CG37" i="5"/>
  <c r="HJ37" i="5"/>
  <c r="DI38" i="5"/>
  <c r="J62" i="5"/>
  <c r="J91" i="5" s="1"/>
  <c r="O39" i="5"/>
  <c r="N62" i="5"/>
  <c r="N91" i="5" s="1"/>
  <c r="AT62" i="5"/>
  <c r="AT91" i="5" s="1"/>
  <c r="AX91" i="5" s="1"/>
  <c r="AX39" i="5"/>
  <c r="BB62" i="5"/>
  <c r="BB91" i="5" s="1"/>
  <c r="BE91" i="5" s="1"/>
  <c r="CH62" i="5"/>
  <c r="CH91" i="5" s="1"/>
  <c r="CN39" i="5"/>
  <c r="CL62" i="5"/>
  <c r="CL91" i="5" s="1"/>
  <c r="DB91" i="5"/>
  <c r="DR62" i="5"/>
  <c r="DR91" i="5" s="1"/>
  <c r="DV62" i="5"/>
  <c r="DV91" i="5" s="1"/>
  <c r="FP62" i="5"/>
  <c r="FP91" i="5" s="1"/>
  <c r="FT39" i="5"/>
  <c r="FX62" i="5"/>
  <c r="FX91" i="5" s="1"/>
  <c r="GA91" i="5" s="1"/>
  <c r="J63" i="5"/>
  <c r="O43" i="5"/>
  <c r="N63" i="5"/>
  <c r="AT63" i="5"/>
  <c r="AT92" i="5" s="1"/>
  <c r="AX92" i="5" s="1"/>
  <c r="AX43" i="5"/>
  <c r="BB63" i="5"/>
  <c r="BB92" i="5" s="1"/>
  <c r="BE92" i="5" s="1"/>
  <c r="CH63" i="5"/>
  <c r="CN43" i="5"/>
  <c r="CL63" i="5"/>
  <c r="DB92" i="5"/>
  <c r="DR63" i="5"/>
  <c r="DR92" i="5" s="1"/>
  <c r="DW43" i="5"/>
  <c r="DV63" i="5"/>
  <c r="DV92" i="5" s="1"/>
  <c r="FP63" i="5"/>
  <c r="FP92" i="5" s="1"/>
  <c r="FT43" i="5"/>
  <c r="FX63" i="5"/>
  <c r="FX92" i="5" s="1"/>
  <c r="GA92" i="5" s="1"/>
  <c r="BS44" i="5"/>
  <c r="J64" i="5"/>
  <c r="J93" i="5" s="1"/>
  <c r="O47" i="5"/>
  <c r="N64" i="5"/>
  <c r="N93" i="5" s="1"/>
  <c r="AT64" i="5"/>
  <c r="AT93" i="5" s="1"/>
  <c r="AX93" i="5" s="1"/>
  <c r="AX47" i="5"/>
  <c r="BB64" i="5"/>
  <c r="BB93" i="5" s="1"/>
  <c r="BE93" i="5" s="1"/>
  <c r="CH64" i="5"/>
  <c r="CH93" i="5" s="1"/>
  <c r="CN47" i="5"/>
  <c r="CL64" i="5"/>
  <c r="CL93" i="5" s="1"/>
  <c r="DB93" i="5"/>
  <c r="DR64" i="5"/>
  <c r="DR93" i="5" s="1"/>
  <c r="DW47" i="5"/>
  <c r="DV64" i="5"/>
  <c r="DV93" i="5" s="1"/>
  <c r="FP64" i="5"/>
  <c r="FP93" i="5" s="1"/>
  <c r="FT47" i="5"/>
  <c r="FX64" i="5"/>
  <c r="FX93" i="5" s="1"/>
  <c r="GA93" i="5" s="1"/>
  <c r="BS48" i="5"/>
  <c r="GV48" i="5"/>
  <c r="CU49" i="5"/>
  <c r="O50" i="5"/>
  <c r="DW50" i="5"/>
  <c r="J58" i="5"/>
  <c r="J87" i="5" s="1"/>
  <c r="O87" i="5" s="1"/>
  <c r="BF58" i="5"/>
  <c r="BF87" i="5" s="1"/>
  <c r="BV58" i="5"/>
  <c r="BV87" i="5" s="1"/>
  <c r="BZ87" i="5" s="1"/>
  <c r="DR58" i="5"/>
  <c r="DR87" i="5" s="1"/>
  <c r="GB58" i="5"/>
  <c r="GB87" i="5" s="1"/>
  <c r="GY58" i="5"/>
  <c r="GY87" i="5" s="1"/>
  <c r="HC87" i="5" s="1"/>
  <c r="CH59" i="5"/>
  <c r="CH88" i="5" s="1"/>
  <c r="CN88" i="5" s="1"/>
  <c r="B60" i="5"/>
  <c r="B89" i="5" s="1"/>
  <c r="C82" i="5"/>
  <c r="G82" i="5"/>
  <c r="K82" i="5"/>
  <c r="K65" i="5"/>
  <c r="O3" i="5"/>
  <c r="S82" i="5"/>
  <c r="S65" i="5"/>
  <c r="W82" i="5"/>
  <c r="AA82" i="5"/>
  <c r="AA65" i="5"/>
  <c r="AE82" i="5"/>
  <c r="AE65" i="5"/>
  <c r="AI82" i="5"/>
  <c r="AI65" i="5"/>
  <c r="AQ3" i="5"/>
  <c r="AU82" i="5"/>
  <c r="AY82" i="5"/>
  <c r="BC82" i="5"/>
  <c r="BG82" i="5"/>
  <c r="BK82" i="5"/>
  <c r="BO82" i="5"/>
  <c r="BS3" i="5"/>
  <c r="BW82" i="5"/>
  <c r="CA82" i="5"/>
  <c r="CE82" i="5"/>
  <c r="CI82" i="5"/>
  <c r="CM82" i="5"/>
  <c r="CQ82" i="5"/>
  <c r="CU3" i="5"/>
  <c r="CY82" i="5"/>
  <c r="DC82" i="5"/>
  <c r="DG82" i="5"/>
  <c r="DK82" i="5"/>
  <c r="DO82" i="5"/>
  <c r="DS82" i="5"/>
  <c r="DS65" i="5"/>
  <c r="DW3" i="5"/>
  <c r="EA82" i="5"/>
  <c r="EA65" i="5"/>
  <c r="EL82" i="5"/>
  <c r="EP82" i="5"/>
  <c r="EP65" i="5"/>
  <c r="ET82" i="5"/>
  <c r="ET65" i="5"/>
  <c r="EX82" i="5"/>
  <c r="EX65" i="5"/>
  <c r="FB82" i="5"/>
  <c r="FF3" i="5"/>
  <c r="FQ82" i="5"/>
  <c r="FY82" i="5"/>
  <c r="GC82" i="5"/>
  <c r="GG82" i="5"/>
  <c r="GR82" i="5"/>
  <c r="GV3" i="5"/>
  <c r="GZ82" i="5"/>
  <c r="HD82" i="5"/>
  <c r="HH82" i="5"/>
  <c r="O7" i="5"/>
  <c r="AQ7" i="5"/>
  <c r="BS7" i="5"/>
  <c r="CU7" i="5"/>
  <c r="DW7" i="5"/>
  <c r="FF7" i="5"/>
  <c r="GV7" i="5"/>
  <c r="O11" i="5"/>
  <c r="AQ11" i="5"/>
  <c r="BS11" i="5"/>
  <c r="CU11" i="5"/>
  <c r="DW11" i="5"/>
  <c r="FF11" i="5"/>
  <c r="GV11" i="5"/>
  <c r="O15" i="5"/>
  <c r="AQ15" i="5"/>
  <c r="BS15" i="5"/>
  <c r="CQ56" i="5"/>
  <c r="CQ85" i="5" s="1"/>
  <c r="CU85" i="5" s="1"/>
  <c r="CU15" i="5"/>
  <c r="CY56" i="5"/>
  <c r="CY85" i="5" s="1"/>
  <c r="DC56" i="5"/>
  <c r="DC85" i="5" s="1"/>
  <c r="DG56" i="5"/>
  <c r="DG85" i="5" s="1"/>
  <c r="DK56" i="5"/>
  <c r="DK85" i="5" s="1"/>
  <c r="DO56" i="5"/>
  <c r="DO85" i="5" s="1"/>
  <c r="DW15" i="5"/>
  <c r="FF15" i="5"/>
  <c r="GV15" i="5"/>
  <c r="DP18" i="5"/>
  <c r="E57" i="5"/>
  <c r="E86" i="5" s="1"/>
  <c r="V19" i="5"/>
  <c r="AJ19" i="5"/>
  <c r="AM57" i="5"/>
  <c r="AM86" i="5" s="1"/>
  <c r="AQ19" i="5"/>
  <c r="AU57" i="5"/>
  <c r="AU86" i="5" s="1"/>
  <c r="AY57" i="5"/>
  <c r="AY86" i="5" s="1"/>
  <c r="BC57" i="5"/>
  <c r="BC86" i="5" s="1"/>
  <c r="BG57" i="5"/>
  <c r="BG86" i="5" s="1"/>
  <c r="BK57" i="5"/>
  <c r="BK86" i="5" s="1"/>
  <c r="CO57" i="5"/>
  <c r="CO86" i="5" s="1"/>
  <c r="CS57" i="5"/>
  <c r="CS86" i="5" s="1"/>
  <c r="CW57" i="5"/>
  <c r="CW86" i="5" s="1"/>
  <c r="DA57" i="5"/>
  <c r="DA86" i="5" s="1"/>
  <c r="DE57" i="5"/>
  <c r="DE86" i="5" s="1"/>
  <c r="DI86" i="5" s="1"/>
  <c r="DI19" i="5"/>
  <c r="DM57" i="5"/>
  <c r="DM86" i="5" s="1"/>
  <c r="ED19" i="5"/>
  <c r="EY19" i="5"/>
  <c r="FB57" i="5"/>
  <c r="FB86" i="5" s="1"/>
  <c r="FF19" i="5"/>
  <c r="FQ57" i="5"/>
  <c r="FQ86" i="5" s="1"/>
  <c r="FU57" i="5"/>
  <c r="FU86" i="5" s="1"/>
  <c r="FY57" i="5"/>
  <c r="FY86" i="5" s="1"/>
  <c r="GC57" i="5"/>
  <c r="GC86" i="5" s="1"/>
  <c r="GG57" i="5"/>
  <c r="GG86" i="5" s="1"/>
  <c r="BL20" i="5"/>
  <c r="GH20" i="5"/>
  <c r="CN21" i="5"/>
  <c r="H22" i="5"/>
  <c r="CN22" i="5"/>
  <c r="ER22" i="5"/>
  <c r="BE23" i="5"/>
  <c r="GA23" i="5"/>
  <c r="O25" i="5"/>
  <c r="AQ26" i="5"/>
  <c r="ER26" i="5"/>
  <c r="FF26" i="5"/>
  <c r="BE27" i="5"/>
  <c r="BS88" i="5"/>
  <c r="BZ27" i="5"/>
  <c r="GA27" i="5"/>
  <c r="HC27" i="5"/>
  <c r="HJ28" i="5"/>
  <c r="V89" i="5"/>
  <c r="CD60" i="5"/>
  <c r="CD89" i="5" s="1"/>
  <c r="DJ60" i="5"/>
  <c r="DJ89" i="5" s="1"/>
  <c r="DP31" i="5"/>
  <c r="DN60" i="5"/>
  <c r="DN89" i="5" s="1"/>
  <c r="FA60" i="5"/>
  <c r="FA89" i="5" s="1"/>
  <c r="FE60" i="5"/>
  <c r="FE89" i="5" s="1"/>
  <c r="GY60" i="5"/>
  <c r="GY89" i="5" s="1"/>
  <c r="HC89" i="5" s="1"/>
  <c r="HC31" i="5"/>
  <c r="HG60" i="5"/>
  <c r="HG89" i="5" s="1"/>
  <c r="HJ89" i="5" s="1"/>
  <c r="B61" i="5"/>
  <c r="B90" i="5" s="1"/>
  <c r="H35" i="5"/>
  <c r="F61" i="5"/>
  <c r="F90" i="5" s="1"/>
  <c r="AL61" i="5"/>
  <c r="AL90" i="5" s="1"/>
  <c r="AQ35" i="5"/>
  <c r="AP61" i="5"/>
  <c r="AP90" i="5" s="1"/>
  <c r="BV61" i="5"/>
  <c r="BV90" i="5" s="1"/>
  <c r="BZ35" i="5"/>
  <c r="CD61" i="5"/>
  <c r="CD90" i="5" s="1"/>
  <c r="CG90" i="5" s="1"/>
  <c r="DJ61" i="5"/>
  <c r="DJ90" i="5" s="1"/>
  <c r="DP35" i="5"/>
  <c r="DN61" i="5"/>
  <c r="DN90" i="5" s="1"/>
  <c r="FA61" i="5"/>
  <c r="FA90" i="5" s="1"/>
  <c r="FF35" i="5"/>
  <c r="FE61" i="5"/>
  <c r="FE90" i="5" s="1"/>
  <c r="GY61" i="5"/>
  <c r="GY90" i="5" s="1"/>
  <c r="HC90" i="5" s="1"/>
  <c r="HC35" i="5"/>
  <c r="HG61" i="5"/>
  <c r="HG90" i="5" s="1"/>
  <c r="HJ90" i="5" s="1"/>
  <c r="B62" i="5"/>
  <c r="B91" i="5" s="1"/>
  <c r="H39" i="5"/>
  <c r="F62" i="5"/>
  <c r="F91" i="5" s="1"/>
  <c r="AL62" i="5"/>
  <c r="AL91" i="5" s="1"/>
  <c r="AQ39" i="5"/>
  <c r="AP62" i="5"/>
  <c r="AP91" i="5" s="1"/>
  <c r="BV62" i="5"/>
  <c r="BV91" i="5" s="1"/>
  <c r="BZ91" i="5" s="1"/>
  <c r="BZ39" i="5"/>
  <c r="CD62" i="5"/>
  <c r="CD91" i="5" s="1"/>
  <c r="CG91" i="5" s="1"/>
  <c r="DJ62" i="5"/>
  <c r="DJ91" i="5" s="1"/>
  <c r="DP39" i="5"/>
  <c r="DN62" i="5"/>
  <c r="DN91" i="5" s="1"/>
  <c r="FA62" i="5"/>
  <c r="FA91" i="5" s="1"/>
  <c r="FF39" i="5"/>
  <c r="FE62" i="5"/>
  <c r="FE91" i="5" s="1"/>
  <c r="GY62" i="5"/>
  <c r="GY91" i="5" s="1"/>
  <c r="HC91" i="5" s="1"/>
  <c r="HC39" i="5"/>
  <c r="HG62" i="5"/>
  <c r="HG91" i="5" s="1"/>
  <c r="B63" i="5"/>
  <c r="H43" i="5"/>
  <c r="F63" i="5"/>
  <c r="AL63" i="5"/>
  <c r="AL92" i="5" s="1"/>
  <c r="AQ43" i="5"/>
  <c r="AP63" i="5"/>
  <c r="AP92" i="5" s="1"/>
  <c r="BV63" i="5"/>
  <c r="BV92" i="5" s="1"/>
  <c r="BZ92" i="5" s="1"/>
  <c r="BZ43" i="5"/>
  <c r="CD63" i="5"/>
  <c r="CD92" i="5" s="1"/>
  <c r="CG92" i="5" s="1"/>
  <c r="DJ63" i="5"/>
  <c r="DJ92" i="5" s="1"/>
  <c r="DP43" i="5"/>
  <c r="DN63" i="5"/>
  <c r="DN92" i="5" s="1"/>
  <c r="FA63" i="5"/>
  <c r="FA92" i="5" s="1"/>
  <c r="FF43" i="5"/>
  <c r="FE63" i="5"/>
  <c r="FE92" i="5" s="1"/>
  <c r="GY63" i="5"/>
  <c r="GY92" i="5" s="1"/>
  <c r="HC92" i="5" s="1"/>
  <c r="HC43" i="5"/>
  <c r="HG63" i="5"/>
  <c r="HG92" i="5" s="1"/>
  <c r="HJ92" i="5" s="1"/>
  <c r="FF46" i="5"/>
  <c r="B64" i="5"/>
  <c r="B93" i="5" s="1"/>
  <c r="H47" i="5"/>
  <c r="F64" i="5"/>
  <c r="F93" i="5" s="1"/>
  <c r="AL64" i="5"/>
  <c r="AL93" i="5" s="1"/>
  <c r="AQ47" i="5"/>
  <c r="AP64" i="5"/>
  <c r="AP93" i="5" s="1"/>
  <c r="BV64" i="5"/>
  <c r="BV93" i="5" s="1"/>
  <c r="BZ93" i="5" s="1"/>
  <c r="BZ47" i="5"/>
  <c r="CD64" i="5"/>
  <c r="CD93" i="5" s="1"/>
  <c r="CG93" i="5" s="1"/>
  <c r="DJ64" i="5"/>
  <c r="DJ93" i="5" s="1"/>
  <c r="DP47" i="5"/>
  <c r="DN64" i="5"/>
  <c r="DN93" i="5" s="1"/>
  <c r="FA64" i="5"/>
  <c r="FA93" i="5" s="1"/>
  <c r="FF47" i="5"/>
  <c r="FE64" i="5"/>
  <c r="FE93" i="5" s="1"/>
  <c r="GY64" i="5"/>
  <c r="GY93" i="5" s="1"/>
  <c r="HC93" i="5" s="1"/>
  <c r="HC47" i="5"/>
  <c r="HG64" i="5"/>
  <c r="HG93" i="5" s="1"/>
  <c r="HJ93" i="5" s="1"/>
  <c r="CU48" i="5"/>
  <c r="O49" i="5"/>
  <c r="DW49" i="5"/>
  <c r="AQ50" i="5"/>
  <c r="FF50" i="5"/>
  <c r="CP58" i="5"/>
  <c r="CP87" i="5" s="1"/>
  <c r="BF59" i="5"/>
  <c r="BF88" i="5" s="1"/>
  <c r="GB59" i="5"/>
  <c r="GB88" i="5" s="1"/>
  <c r="AL60" i="5"/>
  <c r="AL89" i="5" s="1"/>
  <c r="BI82" i="5"/>
  <c r="O27" i="5"/>
  <c r="AQ27" i="5"/>
  <c r="BS27" i="5"/>
  <c r="CU27" i="5"/>
  <c r="DW27" i="5"/>
  <c r="FF27" i="5"/>
  <c r="CU31" i="5"/>
  <c r="DI89" i="5"/>
  <c r="DW31" i="5"/>
  <c r="FF31" i="5"/>
  <c r="DI90" i="5"/>
  <c r="DI91" i="5"/>
  <c r="DW39" i="5"/>
  <c r="DI92" i="5"/>
  <c r="DI93" i="5"/>
  <c r="W58" i="5"/>
  <c r="W87" i="5" s="1"/>
  <c r="AY58" i="5"/>
  <c r="AY87" i="5" s="1"/>
  <c r="BE87" i="5" s="1"/>
  <c r="CA58" i="5"/>
  <c r="CA87" i="5" s="1"/>
  <c r="DC58" i="5"/>
  <c r="DC87" i="5" s="1"/>
  <c r="DI87" i="5" s="1"/>
  <c r="EL58" i="5"/>
  <c r="EL87" i="5" s="1"/>
  <c r="ER87" i="5" s="1"/>
  <c r="FU58" i="5"/>
  <c r="FU87" i="5" s="1"/>
  <c r="GA87" i="5" s="1"/>
  <c r="HD58" i="5"/>
  <c r="HD87" i="5" s="1"/>
  <c r="W59" i="5"/>
  <c r="W88" i="5" s="1"/>
  <c r="AC88" i="5" s="1"/>
  <c r="AY59" i="5"/>
  <c r="AY88" i="5" s="1"/>
  <c r="BE88" i="5" s="1"/>
  <c r="CA59" i="5"/>
  <c r="CA88" i="5" s="1"/>
  <c r="CG88" i="5" s="1"/>
  <c r="DC59" i="5"/>
  <c r="DC88" i="5" s="1"/>
  <c r="DI88" i="5" s="1"/>
  <c r="EL59" i="5"/>
  <c r="EL88" i="5" s="1"/>
  <c r="FU59" i="5"/>
  <c r="FU88" i="5" s="1"/>
  <c r="GA88" i="5" s="1"/>
  <c r="HD59" i="5"/>
  <c r="HD88" i="5" s="1"/>
  <c r="W60" i="5"/>
  <c r="W89" i="5" s="1"/>
  <c r="AY60" i="5"/>
  <c r="AY89" i="5" s="1"/>
  <c r="BE89" i="5" s="1"/>
  <c r="CA60" i="5"/>
  <c r="CA89" i="5" s="1"/>
  <c r="DI31" i="5"/>
  <c r="ER31" i="5"/>
  <c r="GA31" i="5"/>
  <c r="HJ31" i="5"/>
  <c r="AC35" i="5"/>
  <c r="BE35" i="5"/>
  <c r="CG35" i="5"/>
  <c r="DI35" i="5"/>
  <c r="ER35" i="5"/>
  <c r="GA35" i="5"/>
  <c r="HJ35" i="5"/>
  <c r="AC39" i="5"/>
  <c r="BE39" i="5"/>
  <c r="CG39" i="5"/>
  <c r="DI39" i="5"/>
  <c r="ER39" i="5"/>
  <c r="GA39" i="5"/>
  <c r="HJ39" i="5"/>
  <c r="AC43" i="5"/>
  <c r="BE43" i="5"/>
  <c r="CG43" i="5"/>
  <c r="DI43" i="5"/>
  <c r="ER43" i="5"/>
  <c r="GA43" i="5"/>
  <c r="HJ43" i="5"/>
  <c r="AC47" i="5"/>
  <c r="BE47" i="5"/>
  <c r="CG47" i="5"/>
  <c r="DI47" i="5"/>
  <c r="ER47" i="5"/>
  <c r="GA47" i="5"/>
  <c r="HJ47" i="5"/>
  <c r="AH99" i="5" l="1"/>
  <c r="S75" i="4" s="1"/>
  <c r="F97" i="5"/>
  <c r="F105" i="5" s="1"/>
  <c r="BZ89" i="5"/>
  <c r="BJ103" i="5"/>
  <c r="BJ111" i="5" s="1"/>
  <c r="B68" i="5"/>
  <c r="CN87" i="5"/>
  <c r="CJ65" i="5"/>
  <c r="AJ89" i="5"/>
  <c r="HJ64" i="5"/>
  <c r="S53" i="4" s="1"/>
  <c r="DU95" i="5"/>
  <c r="C101" i="5"/>
  <c r="C109" i="5" s="1"/>
  <c r="O61" i="5"/>
  <c r="P6" i="4" s="1"/>
  <c r="AC53" i="5"/>
  <c r="DW92" i="5"/>
  <c r="B103" i="5"/>
  <c r="B111" i="5" s="1"/>
  <c r="CL103" i="5"/>
  <c r="CL111" i="5" s="1"/>
  <c r="BF101" i="5"/>
  <c r="BF109" i="5" s="1"/>
  <c r="CJ101" i="5"/>
  <c r="CJ109" i="5" s="1"/>
  <c r="BZ55" i="5"/>
  <c r="J35" i="4" s="1"/>
  <c r="BH102" i="5"/>
  <c r="BH110" i="5" s="1"/>
  <c r="CM101" i="5"/>
  <c r="CM109" i="5" s="1"/>
  <c r="AD101" i="5"/>
  <c r="AD109" i="5" s="1"/>
  <c r="HJ84" i="5"/>
  <c r="CL101" i="5"/>
  <c r="CL109" i="5" s="1"/>
  <c r="ED55" i="5"/>
  <c r="J11" i="4" s="1"/>
  <c r="AE101" i="5"/>
  <c r="AE109" i="5" s="1"/>
  <c r="GH59" i="5"/>
  <c r="N39" i="4" s="1"/>
  <c r="FF86" i="5"/>
  <c r="FT61" i="5"/>
  <c r="EY61" i="5"/>
  <c r="P24" i="4" s="1"/>
  <c r="GH58" i="5"/>
  <c r="M39" i="4" s="1"/>
  <c r="AC89" i="5"/>
  <c r="EY64" i="5"/>
  <c r="S24" i="4" s="1"/>
  <c r="ER84" i="5"/>
  <c r="AC55" i="5"/>
  <c r="EY62" i="5"/>
  <c r="Q24" i="4" s="1"/>
  <c r="EY63" i="5"/>
  <c r="R24" i="4" s="1"/>
  <c r="F101" i="5"/>
  <c r="F109" i="5" s="1"/>
  <c r="DP59" i="5"/>
  <c r="N9" i="4" s="1"/>
  <c r="HJ87" i="5"/>
  <c r="F103" i="5"/>
  <c r="F111" i="5" s="1"/>
  <c r="CH103" i="5"/>
  <c r="CH111" i="5" s="1"/>
  <c r="DB54" i="5"/>
  <c r="I49" i="4" s="1"/>
  <c r="BJ101" i="5"/>
  <c r="BJ109" i="5" s="1"/>
  <c r="E101" i="5"/>
  <c r="E109" i="5" s="1"/>
  <c r="CI101" i="5"/>
  <c r="CI109" i="5" s="1"/>
  <c r="AH101" i="5"/>
  <c r="AH109" i="5" s="1"/>
  <c r="CJ105" i="5"/>
  <c r="HC61" i="5"/>
  <c r="P52" i="4" s="1"/>
  <c r="ER53" i="5"/>
  <c r="H23" i="4" s="1"/>
  <c r="EY54" i="5"/>
  <c r="I24" i="4" s="1"/>
  <c r="BG101" i="5"/>
  <c r="BG109" i="5" s="1"/>
  <c r="HC64" i="5"/>
  <c r="S52" i="4" s="1"/>
  <c r="BZ90" i="5"/>
  <c r="DW63" i="5"/>
  <c r="R10" i="4" s="1"/>
  <c r="HF65" i="5"/>
  <c r="AJ93" i="5"/>
  <c r="HC55" i="5"/>
  <c r="J52" i="4" s="1"/>
  <c r="BZ53" i="5"/>
  <c r="H35" i="4" s="1"/>
  <c r="BH101" i="5"/>
  <c r="BH109" i="5" s="1"/>
  <c r="AX54" i="5"/>
  <c r="I21" i="4" s="1"/>
  <c r="BK101" i="5"/>
  <c r="BK109" i="5" s="1"/>
  <c r="B101" i="5"/>
  <c r="B109" i="5" s="1"/>
  <c r="BF103" i="5"/>
  <c r="BF111" i="5" s="1"/>
  <c r="ED53" i="5"/>
  <c r="H11" i="4" s="1"/>
  <c r="B97" i="5"/>
  <c r="R92" i="5"/>
  <c r="V92" i="5" s="1"/>
  <c r="CJ103" i="5"/>
  <c r="AB84" i="5"/>
  <c r="G102" i="5"/>
  <c r="G110" i="5" s="1"/>
  <c r="BK102" i="5"/>
  <c r="BK110" i="5" s="1"/>
  <c r="AG102" i="5"/>
  <c r="AG110" i="5" s="1"/>
  <c r="AF103" i="5"/>
  <c r="AF111" i="5" s="1"/>
  <c r="CI103" i="5"/>
  <c r="CI111" i="5" s="1"/>
  <c r="AI103" i="5"/>
  <c r="AI111" i="5" s="1"/>
  <c r="CM102" i="5"/>
  <c r="CM110" i="5" s="1"/>
  <c r="AI102" i="5"/>
  <c r="AI110" i="5" s="1"/>
  <c r="D103" i="5"/>
  <c r="D111" i="5" s="1"/>
  <c r="AH102" i="5"/>
  <c r="AH110" i="5" s="1"/>
  <c r="BM65" i="5"/>
  <c r="BZ56" i="5"/>
  <c r="K35" i="4" s="1"/>
  <c r="AG97" i="5"/>
  <c r="AG105" i="5" s="1"/>
  <c r="L84" i="5"/>
  <c r="O84" i="5" s="1"/>
  <c r="BI102" i="5"/>
  <c r="BI110" i="5" s="1"/>
  <c r="AH97" i="5"/>
  <c r="AH105" i="5" s="1"/>
  <c r="BI101" i="5"/>
  <c r="BI109" i="5" s="1"/>
  <c r="C103" i="5"/>
  <c r="C111" i="5" s="1"/>
  <c r="AG103" i="5"/>
  <c r="AG111" i="5" s="1"/>
  <c r="CK101" i="5"/>
  <c r="CK109" i="5" s="1"/>
  <c r="F102" i="5"/>
  <c r="F110" i="5" s="1"/>
  <c r="CJ102" i="5"/>
  <c r="CJ110" i="5" s="1"/>
  <c r="BF102" i="5"/>
  <c r="D102" i="5"/>
  <c r="D110" i="5" s="1"/>
  <c r="AE103" i="5"/>
  <c r="AE111" i="5" s="1"/>
  <c r="AE102" i="5"/>
  <c r="AE110" i="5" s="1"/>
  <c r="AD103" i="5"/>
  <c r="AH103" i="5"/>
  <c r="AH111" i="5" s="1"/>
  <c r="H91" i="5"/>
  <c r="Z92" i="5"/>
  <c r="AC92" i="5" s="1"/>
  <c r="E103" i="5"/>
  <c r="E111" i="5" s="1"/>
  <c r="X84" i="5"/>
  <c r="AC84" i="5" s="1"/>
  <c r="C102" i="5"/>
  <c r="C110" i="5" s="1"/>
  <c r="G101" i="5"/>
  <c r="G109" i="5" s="1"/>
  <c r="P84" i="5"/>
  <c r="V84" i="5" s="1"/>
  <c r="CH102" i="5"/>
  <c r="CK102" i="5"/>
  <c r="CK110" i="5" s="1"/>
  <c r="BG102" i="5"/>
  <c r="BG110" i="5" s="1"/>
  <c r="AD102" i="5"/>
  <c r="CM103" i="5"/>
  <c r="CM111" i="5" s="1"/>
  <c r="BI103" i="5"/>
  <c r="BI111" i="5" s="1"/>
  <c r="E102" i="5"/>
  <c r="E110" i="5" s="1"/>
  <c r="CI102" i="5"/>
  <c r="CI110" i="5" s="1"/>
  <c r="CL102" i="5"/>
  <c r="CL110" i="5" s="1"/>
  <c r="BH103" i="5"/>
  <c r="BH111" i="5" s="1"/>
  <c r="J92" i="5"/>
  <c r="J94" i="5" s="1"/>
  <c r="BG103" i="5"/>
  <c r="BG111" i="5" s="1"/>
  <c r="N92" i="5"/>
  <c r="N94" i="5" s="1"/>
  <c r="BK103" i="5"/>
  <c r="BK111" i="5" s="1"/>
  <c r="AF97" i="5"/>
  <c r="I73" i="4" s="1"/>
  <c r="AE74" i="4" s="1"/>
  <c r="GV62" i="5"/>
  <c r="Q51" i="4" s="1"/>
  <c r="ED58" i="5"/>
  <c r="M11" i="4" s="1"/>
  <c r="AF102" i="5"/>
  <c r="AF110" i="5" s="1"/>
  <c r="AD97" i="5"/>
  <c r="AD105" i="5" s="1"/>
  <c r="AF101" i="5"/>
  <c r="CH101" i="5"/>
  <c r="DW58" i="5"/>
  <c r="M10" i="4" s="1"/>
  <c r="G103" i="5"/>
  <c r="G111" i="5" s="1"/>
  <c r="B102" i="5"/>
  <c r="BJ102" i="5"/>
  <c r="BJ110" i="5" s="1"/>
  <c r="HJ63" i="5"/>
  <c r="R53" i="4" s="1"/>
  <c r="HJ91" i="5"/>
  <c r="GH61" i="5"/>
  <c r="P39" i="4" s="1"/>
  <c r="AI97" i="5"/>
  <c r="I76" i="4" s="1"/>
  <c r="BE84" i="5"/>
  <c r="H60" i="5"/>
  <c r="CI65" i="5"/>
  <c r="AJ90" i="5"/>
  <c r="GH86" i="5"/>
  <c r="FT86" i="5"/>
  <c r="ED57" i="5"/>
  <c r="L11" i="4" s="1"/>
  <c r="V57" i="5"/>
  <c r="BL87" i="5"/>
  <c r="CU92" i="5"/>
  <c r="CL97" i="5"/>
  <c r="K75" i="4" s="1"/>
  <c r="BS61" i="5"/>
  <c r="P34" i="4" s="1"/>
  <c r="CG84" i="5"/>
  <c r="AX55" i="5"/>
  <c r="J21" i="4" s="1"/>
  <c r="EY60" i="5"/>
  <c r="O24" i="4" s="1"/>
  <c r="DP91" i="5"/>
  <c r="AQ90" i="5"/>
  <c r="DI57" i="5"/>
  <c r="L50" i="4" s="1"/>
  <c r="O55" i="5"/>
  <c r="J6" i="4" s="1"/>
  <c r="GT65" i="5"/>
  <c r="GV93" i="5"/>
  <c r="CU91" i="5"/>
  <c r="BI97" i="5"/>
  <c r="BI105" i="5" s="1"/>
  <c r="DI83" i="5"/>
  <c r="BG97" i="5"/>
  <c r="J72" i="4" s="1"/>
  <c r="AQ60" i="5"/>
  <c r="O20" i="4" s="1"/>
  <c r="CN58" i="5"/>
  <c r="DI61" i="5"/>
  <c r="P50" i="4" s="1"/>
  <c r="HJ58" i="5"/>
  <c r="M53" i="4" s="1"/>
  <c r="DP58" i="5"/>
  <c r="M9" i="4" s="1"/>
  <c r="ER56" i="5"/>
  <c r="K23" i="4" s="1"/>
  <c r="EY58" i="5"/>
  <c r="M24" i="4" s="1"/>
  <c r="CI97" i="5"/>
  <c r="CI105" i="5" s="1"/>
  <c r="BJ97" i="5"/>
  <c r="BJ105" i="5" s="1"/>
  <c r="FT54" i="5"/>
  <c r="BK97" i="5"/>
  <c r="BK105" i="5" s="1"/>
  <c r="CN59" i="5"/>
  <c r="GA60" i="5"/>
  <c r="O38" i="4" s="1"/>
  <c r="DP64" i="5"/>
  <c r="S9" i="4" s="1"/>
  <c r="AC59" i="5"/>
  <c r="DB56" i="5"/>
  <c r="K49" i="4" s="1"/>
  <c r="AE97" i="5"/>
  <c r="AE105" i="5" s="1"/>
  <c r="CN84" i="5"/>
  <c r="J76" i="4"/>
  <c r="BI98" i="5"/>
  <c r="CK97" i="5"/>
  <c r="AD92" i="5"/>
  <c r="AJ92" i="5" s="1"/>
  <c r="AD99" i="5"/>
  <c r="CI99" i="5"/>
  <c r="BG99" i="5"/>
  <c r="AE99" i="5"/>
  <c r="CI98" i="5"/>
  <c r="BG98" i="5"/>
  <c r="AE98" i="5"/>
  <c r="CH98" i="5"/>
  <c r="BF98" i="5"/>
  <c r="AD98" i="5"/>
  <c r="BF97" i="5"/>
  <c r="CJ98" i="5"/>
  <c r="CK99" i="5"/>
  <c r="AG99" i="5"/>
  <c r="DI64" i="5"/>
  <c r="S50" i="4" s="1"/>
  <c r="DI63" i="5"/>
  <c r="R50" i="4" s="1"/>
  <c r="ER60" i="5"/>
  <c r="O23" i="4" s="1"/>
  <c r="CG87" i="5"/>
  <c r="AQ89" i="5"/>
  <c r="HC62" i="5"/>
  <c r="Q52" i="4" s="1"/>
  <c r="C65" i="5"/>
  <c r="CL92" i="5"/>
  <c r="CL95" i="5" s="1"/>
  <c r="CL99" i="5"/>
  <c r="ED63" i="5"/>
  <c r="R11" i="4" s="1"/>
  <c r="BE57" i="5"/>
  <c r="L22" i="4" s="1"/>
  <c r="DB62" i="5"/>
  <c r="Q49" i="4" s="1"/>
  <c r="AF84" i="5"/>
  <c r="AJ84" i="5" s="1"/>
  <c r="AF98" i="5"/>
  <c r="BZ54" i="5"/>
  <c r="I35" i="4" s="1"/>
  <c r="CG55" i="5"/>
  <c r="J36" i="4" s="1"/>
  <c r="CG54" i="5"/>
  <c r="I36" i="4" s="1"/>
  <c r="AX83" i="5"/>
  <c r="CG53" i="5"/>
  <c r="H36" i="4" s="1"/>
  <c r="GV63" i="5"/>
  <c r="R51" i="4" s="1"/>
  <c r="CJ99" i="5"/>
  <c r="AF99" i="5"/>
  <c r="BF92" i="5"/>
  <c r="BF94" i="5" s="1"/>
  <c r="BF99" i="5"/>
  <c r="HC86" i="5"/>
  <c r="DP93" i="5"/>
  <c r="HC59" i="5"/>
  <c r="N52" i="4" s="1"/>
  <c r="FT64" i="5"/>
  <c r="FT58" i="5"/>
  <c r="GH63" i="5"/>
  <c r="R39" i="4" s="1"/>
  <c r="BJ92" i="5"/>
  <c r="BJ94" i="5" s="1"/>
  <c r="BJ99" i="5"/>
  <c r="ED62" i="5"/>
  <c r="Q11" i="4" s="1"/>
  <c r="GH89" i="5"/>
  <c r="DB64" i="5"/>
  <c r="S49" i="4" s="1"/>
  <c r="DB55" i="5"/>
  <c r="J49" i="4" s="1"/>
  <c r="BH84" i="5"/>
  <c r="BL84" i="5" s="1"/>
  <c r="BH98" i="5"/>
  <c r="DB53" i="5"/>
  <c r="H49" i="4" s="1"/>
  <c r="DB60" i="5"/>
  <c r="O49" i="4" s="1"/>
  <c r="FT53" i="5"/>
  <c r="E97" i="5"/>
  <c r="ED54" i="5"/>
  <c r="I11" i="4" s="1"/>
  <c r="CM99" i="5"/>
  <c r="T76" i="4"/>
  <c r="BK107" i="5"/>
  <c r="AI99" i="5"/>
  <c r="CM98" i="5"/>
  <c r="BK98" i="5"/>
  <c r="AI98" i="5"/>
  <c r="CM97" i="5"/>
  <c r="BJ98" i="5"/>
  <c r="AH98" i="5"/>
  <c r="CH97" i="5"/>
  <c r="BI99" i="5"/>
  <c r="CK98" i="5"/>
  <c r="AG98" i="5"/>
  <c r="ER63" i="5"/>
  <c r="R23" i="4" s="1"/>
  <c r="FF93" i="5"/>
  <c r="DP62" i="5"/>
  <c r="Q9" i="4" s="1"/>
  <c r="DP60" i="5"/>
  <c r="O9" i="4" s="1"/>
  <c r="GA59" i="5"/>
  <c r="N38" i="4" s="1"/>
  <c r="EY57" i="5"/>
  <c r="L24" i="4" s="1"/>
  <c r="FF53" i="5"/>
  <c r="H25" i="4" s="1"/>
  <c r="CE65" i="5"/>
  <c r="BS53" i="5"/>
  <c r="H34" i="4" s="1"/>
  <c r="CH92" i="5"/>
  <c r="CH95" i="5" s="1"/>
  <c r="CH99" i="5"/>
  <c r="O62" i="5"/>
  <c r="Q6" i="4" s="1"/>
  <c r="FT90" i="5"/>
  <c r="O90" i="5"/>
  <c r="GH62" i="5"/>
  <c r="Q39" i="4" s="1"/>
  <c r="ED61" i="5"/>
  <c r="P11" i="4" s="1"/>
  <c r="BH97" i="5"/>
  <c r="C97" i="5"/>
  <c r="HC54" i="5"/>
  <c r="I52" i="4" s="1"/>
  <c r="EY59" i="5"/>
  <c r="N24" i="4" s="1"/>
  <c r="FT55" i="5"/>
  <c r="AX53" i="5"/>
  <c r="H21" i="4" s="1"/>
  <c r="CL98" i="5"/>
  <c r="BH99" i="5"/>
  <c r="H75" i="4"/>
  <c r="F92" i="5"/>
  <c r="F95" i="5" s="1"/>
  <c r="F99" i="5"/>
  <c r="FQ65" i="5"/>
  <c r="EV94" i="5"/>
  <c r="D84" i="5"/>
  <c r="H84" i="5" s="1"/>
  <c r="D98" i="5"/>
  <c r="D97" i="5"/>
  <c r="C99" i="5"/>
  <c r="C98" i="5"/>
  <c r="E99" i="5"/>
  <c r="B98" i="5"/>
  <c r="CG63" i="5"/>
  <c r="R36" i="4" s="1"/>
  <c r="DI62" i="5"/>
  <c r="Q50" i="4" s="1"/>
  <c r="AC62" i="5"/>
  <c r="AC61" i="5"/>
  <c r="HJ88" i="5"/>
  <c r="CU60" i="5"/>
  <c r="O48" i="4" s="1"/>
  <c r="BS59" i="5"/>
  <c r="N34" i="4" s="1"/>
  <c r="EV65" i="5"/>
  <c r="CU87" i="5"/>
  <c r="HC63" i="5"/>
  <c r="R52" i="4" s="1"/>
  <c r="HC60" i="5"/>
  <c r="O52" i="4" s="1"/>
  <c r="HJ59" i="5"/>
  <c r="N53" i="4" s="1"/>
  <c r="GV55" i="5"/>
  <c r="J51" i="4" s="1"/>
  <c r="GZ65" i="5"/>
  <c r="AX63" i="5"/>
  <c r="R21" i="4" s="1"/>
  <c r="DW61" i="5"/>
  <c r="P10" i="4" s="1"/>
  <c r="FT60" i="5"/>
  <c r="AC60" i="5"/>
  <c r="CG86" i="5"/>
  <c r="AX57" i="5"/>
  <c r="L21" i="4" s="1"/>
  <c r="ED64" i="5"/>
  <c r="S11" i="4" s="1"/>
  <c r="V62" i="5"/>
  <c r="ED59" i="5"/>
  <c r="N11" i="4" s="1"/>
  <c r="GX65" i="5"/>
  <c r="BU65" i="5"/>
  <c r="BR65" i="5"/>
  <c r="AC54" i="5"/>
  <c r="DB63" i="5"/>
  <c r="R49" i="4" s="1"/>
  <c r="DB57" i="5"/>
  <c r="L49" i="4" s="1"/>
  <c r="GV85" i="5"/>
  <c r="BS62" i="5"/>
  <c r="Q34" i="4" s="1"/>
  <c r="AX60" i="5"/>
  <c r="O21" i="4" s="1"/>
  <c r="BL58" i="5"/>
  <c r="CU58" i="5"/>
  <c r="M48" i="4" s="1"/>
  <c r="O60" i="5"/>
  <c r="O6" i="4" s="1"/>
  <c r="D99" i="5"/>
  <c r="B92" i="5"/>
  <c r="B94" i="5" s="1"/>
  <c r="B99" i="5"/>
  <c r="DW93" i="5"/>
  <c r="CN93" i="5"/>
  <c r="O93" i="5"/>
  <c r="O91" i="5"/>
  <c r="ER83" i="5"/>
  <c r="DI84" i="5"/>
  <c r="BZ84" i="5"/>
  <c r="CG83" i="5"/>
  <c r="V58" i="5"/>
  <c r="G99" i="5"/>
  <c r="G98" i="5"/>
  <c r="G97" i="5"/>
  <c r="E98" i="5"/>
  <c r="F98" i="5"/>
  <c r="GA62" i="5"/>
  <c r="Q38" i="4" s="1"/>
  <c r="GA61" i="5"/>
  <c r="P38" i="4" s="1"/>
  <c r="DW60" i="5"/>
  <c r="O10" i="4" s="1"/>
  <c r="DW59" i="5"/>
  <c r="N10" i="4" s="1"/>
  <c r="O59" i="5"/>
  <c r="N6" i="4" s="1"/>
  <c r="GH88" i="5"/>
  <c r="FF89" i="5"/>
  <c r="G65" i="5"/>
  <c r="FT93" i="5"/>
  <c r="FT63" i="5"/>
  <c r="FT62" i="5"/>
  <c r="DW89" i="5"/>
  <c r="FT57" i="5"/>
  <c r="ED86" i="5"/>
  <c r="CN86" i="5"/>
  <c r="V63" i="5"/>
  <c r="CU62" i="5"/>
  <c r="Q48" i="4" s="1"/>
  <c r="V61" i="5"/>
  <c r="ED60" i="5"/>
  <c r="O11" i="4" s="1"/>
  <c r="DB58" i="5"/>
  <c r="M49" i="4" s="1"/>
  <c r="HC57" i="5"/>
  <c r="L52" i="4" s="1"/>
  <c r="ER55" i="5"/>
  <c r="J23" i="4" s="1"/>
  <c r="ER54" i="5"/>
  <c r="I23" i="4" s="1"/>
  <c r="FT59" i="5"/>
  <c r="O57" i="5"/>
  <c r="L6" i="4" s="1"/>
  <c r="HC53" i="5"/>
  <c r="H52" i="4" s="1"/>
  <c r="HJ85" i="5"/>
  <c r="FT56" i="5"/>
  <c r="DB61" i="5"/>
  <c r="P49" i="4" s="1"/>
  <c r="GV59" i="5"/>
  <c r="N51" i="4" s="1"/>
  <c r="GV57" i="5"/>
  <c r="L51" i="4" s="1"/>
  <c r="V54" i="5"/>
  <c r="V53" i="5"/>
  <c r="FT88" i="5"/>
  <c r="HC58" i="5"/>
  <c r="M52" i="4" s="1"/>
  <c r="Y65" i="5"/>
  <c r="AX59" i="5"/>
  <c r="N21" i="4" s="1"/>
  <c r="BL59" i="5"/>
  <c r="AC63" i="5"/>
  <c r="BE62" i="5"/>
  <c r="Q22" i="4" s="1"/>
  <c r="ER61" i="5"/>
  <c r="P23" i="4" s="1"/>
  <c r="DW62" i="5"/>
  <c r="Q10" i="4" s="1"/>
  <c r="FF60" i="5"/>
  <c r="O25" i="4" s="1"/>
  <c r="AQ59" i="5"/>
  <c r="N20" i="4" s="1"/>
  <c r="BZ64" i="5"/>
  <c r="S35" i="4" s="1"/>
  <c r="AQ63" i="5"/>
  <c r="R20" i="4" s="1"/>
  <c r="BZ62" i="5"/>
  <c r="Q35" i="4" s="1"/>
  <c r="DP61" i="5"/>
  <c r="P9" i="4" s="1"/>
  <c r="BZ59" i="5"/>
  <c r="N35" i="4" s="1"/>
  <c r="DW56" i="5"/>
  <c r="K10" i="4" s="1"/>
  <c r="DW55" i="5"/>
  <c r="J10" i="4" s="1"/>
  <c r="CU54" i="5"/>
  <c r="I48" i="4" s="1"/>
  <c r="O53" i="5"/>
  <c r="H6" i="4" s="1"/>
  <c r="H89" i="5"/>
  <c r="DW87" i="5"/>
  <c r="FT92" i="5"/>
  <c r="O63" i="5"/>
  <c r="R6" i="4" s="1"/>
  <c r="FT91" i="5"/>
  <c r="DW90" i="5"/>
  <c r="CG58" i="5"/>
  <c r="M36" i="4" s="1"/>
  <c r="GH57" i="5"/>
  <c r="L39" i="4" s="1"/>
  <c r="GH64" i="5"/>
  <c r="S39" i="4" s="1"/>
  <c r="V64" i="5"/>
  <c r="AX86" i="5"/>
  <c r="AQ85" i="5"/>
  <c r="EV95" i="5"/>
  <c r="DU65" i="5"/>
  <c r="I65" i="5"/>
  <c r="AQ88" i="5"/>
  <c r="AC56" i="5"/>
  <c r="GH55" i="5"/>
  <c r="J39" i="4" s="1"/>
  <c r="GH54" i="5"/>
  <c r="I39" i="4" s="1"/>
  <c r="GV61" i="5"/>
  <c r="P51" i="4" s="1"/>
  <c r="BZ60" i="5"/>
  <c r="O35" i="4" s="1"/>
  <c r="HJ57" i="5"/>
  <c r="L53" i="4" s="1"/>
  <c r="DZ65" i="5"/>
  <c r="AC57" i="5"/>
  <c r="HJ56" i="5"/>
  <c r="K53" i="4" s="1"/>
  <c r="DP55" i="5"/>
  <c r="J9" i="4" s="1"/>
  <c r="DP54" i="5"/>
  <c r="I9" i="4" s="1"/>
  <c r="DP53" i="5"/>
  <c r="H9" i="4" s="1"/>
  <c r="BS58" i="5"/>
  <c r="M34" i="4" s="1"/>
  <c r="BZ86" i="5"/>
  <c r="ED56" i="5"/>
  <c r="K11" i="4" s="1"/>
  <c r="BE85" i="5"/>
  <c r="BE55" i="5"/>
  <c r="J22" i="4" s="1"/>
  <c r="GA54" i="5"/>
  <c r="I38" i="4" s="1"/>
  <c r="GA53" i="5"/>
  <c r="H38" i="4" s="1"/>
  <c r="BE53" i="5"/>
  <c r="H22" i="4" s="1"/>
  <c r="H59" i="5"/>
  <c r="H58" i="5"/>
  <c r="FF92" i="5"/>
  <c r="AQ92" i="5"/>
  <c r="FF91" i="5"/>
  <c r="FF90" i="5"/>
  <c r="DP90" i="5"/>
  <c r="BL91" i="5"/>
  <c r="FS85" i="5"/>
  <c r="FT85" i="5" s="1"/>
  <c r="K37" i="4"/>
  <c r="GE65" i="5"/>
  <c r="DQ65" i="5"/>
  <c r="HJ83" i="5"/>
  <c r="B69" i="5"/>
  <c r="I15" i="4" s="1"/>
  <c r="BE64" i="5"/>
  <c r="S22" i="4" s="1"/>
  <c r="HJ61" i="5"/>
  <c r="P53" i="4" s="1"/>
  <c r="CG61" i="5"/>
  <c r="P36" i="4" s="1"/>
  <c r="ER88" i="5"/>
  <c r="BL88" i="5"/>
  <c r="DP63" i="5"/>
  <c r="R9" i="4" s="1"/>
  <c r="AQ61" i="5"/>
  <c r="P20" i="4" s="1"/>
  <c r="DB86" i="5"/>
  <c r="AQ57" i="5"/>
  <c r="L20" i="4" s="1"/>
  <c r="DP85" i="5"/>
  <c r="FF55" i="5"/>
  <c r="J25" i="4" s="1"/>
  <c r="DW54" i="5"/>
  <c r="I10" i="4" s="1"/>
  <c r="AQ54" i="5"/>
  <c r="I20" i="4" s="1"/>
  <c r="GG65" i="5"/>
  <c r="BO65" i="5"/>
  <c r="DW91" i="5"/>
  <c r="CG60" i="5"/>
  <c r="O36" i="4" s="1"/>
  <c r="FT89" i="5"/>
  <c r="GH90" i="5"/>
  <c r="GH60" i="5"/>
  <c r="O39" i="4" s="1"/>
  <c r="GV60" i="5"/>
  <c r="O51" i="4" s="1"/>
  <c r="AC83" i="5"/>
  <c r="GH53" i="5"/>
  <c r="H39" i="4" s="1"/>
  <c r="BS60" i="5"/>
  <c r="O34" i="4" s="1"/>
  <c r="DB59" i="5"/>
  <c r="N49" i="4" s="1"/>
  <c r="EY56" i="5"/>
  <c r="K24" i="4" s="1"/>
  <c r="BZ85" i="5"/>
  <c r="EY55" i="5"/>
  <c r="J24" i="4" s="1"/>
  <c r="EY53" i="5"/>
  <c r="H24" i="4" s="1"/>
  <c r="DW57" i="5"/>
  <c r="L10" i="4" s="1"/>
  <c r="BS57" i="5"/>
  <c r="L34" i="4" s="1"/>
  <c r="CG85" i="5"/>
  <c r="HJ55" i="5"/>
  <c r="J53" i="4" s="1"/>
  <c r="FT84" i="5"/>
  <c r="HJ54" i="5"/>
  <c r="I53" i="4" s="1"/>
  <c r="HJ53" i="5"/>
  <c r="H53" i="4" s="1"/>
  <c r="GA56" i="5"/>
  <c r="K38" i="4" s="1"/>
  <c r="V55" i="5"/>
  <c r="BZ58" i="5"/>
  <c r="M35" i="4" s="1"/>
  <c r="GV53" i="5"/>
  <c r="H51" i="4" s="1"/>
  <c r="GR65" i="5"/>
  <c r="GV58" i="5"/>
  <c r="M51" i="4" s="1"/>
  <c r="GV86" i="5"/>
  <c r="DI58" i="5"/>
  <c r="M50" i="4" s="1"/>
  <c r="DI56" i="5"/>
  <c r="K50" i="4" s="1"/>
  <c r="DI55" i="5"/>
  <c r="J50" i="4" s="1"/>
  <c r="DI54" i="5"/>
  <c r="I50" i="4" s="1"/>
  <c r="DI60" i="5"/>
  <c r="O50" i="4" s="1"/>
  <c r="DI53" i="5"/>
  <c r="CW65" i="5"/>
  <c r="CU86" i="5"/>
  <c r="CU55" i="5"/>
  <c r="J48" i="4" s="1"/>
  <c r="CU53" i="5"/>
  <c r="H48" i="4" s="1"/>
  <c r="CU93" i="5"/>
  <c r="CU63" i="5"/>
  <c r="R48" i="4" s="1"/>
  <c r="CU61" i="5"/>
  <c r="P48" i="4" s="1"/>
  <c r="CU89" i="5"/>
  <c r="CU59" i="5"/>
  <c r="N48" i="4" s="1"/>
  <c r="CU56" i="5"/>
  <c r="K48" i="4" s="1"/>
  <c r="CU57" i="5"/>
  <c r="L48" i="4" s="1"/>
  <c r="CU90" i="5"/>
  <c r="CN90" i="5"/>
  <c r="CN91" i="5"/>
  <c r="GA58" i="5"/>
  <c r="M38" i="4" s="1"/>
  <c r="GA86" i="5"/>
  <c r="GA85" i="5"/>
  <c r="GA55" i="5"/>
  <c r="J38" i="4" s="1"/>
  <c r="GA64" i="5"/>
  <c r="S38" i="4" s="1"/>
  <c r="FY65" i="5"/>
  <c r="GA57" i="5"/>
  <c r="L38" i="4" s="1"/>
  <c r="BZ61" i="5"/>
  <c r="P35" i="4" s="1"/>
  <c r="BZ57" i="5"/>
  <c r="BZ63" i="5"/>
  <c r="R35" i="4" s="1"/>
  <c r="BS86" i="5"/>
  <c r="BL86" i="5"/>
  <c r="BK65" i="5"/>
  <c r="FF59" i="5"/>
  <c r="N25" i="4" s="1"/>
  <c r="FF56" i="5"/>
  <c r="K25" i="4" s="1"/>
  <c r="FF61" i="5"/>
  <c r="P25" i="4" s="1"/>
  <c r="FF58" i="5"/>
  <c r="M25" i="4" s="1"/>
  <c r="FF62" i="5"/>
  <c r="Q25" i="4" s="1"/>
  <c r="FF54" i="5"/>
  <c r="I25" i="4" s="1"/>
  <c r="FD65" i="5"/>
  <c r="BE56" i="5"/>
  <c r="K22" i="4" s="1"/>
  <c r="BE63" i="5"/>
  <c r="R22" i="4" s="1"/>
  <c r="BE54" i="5"/>
  <c r="I22" i="4" s="1"/>
  <c r="AU65" i="5"/>
  <c r="AX61" i="5"/>
  <c r="AS65" i="5"/>
  <c r="AX56" i="5"/>
  <c r="K21" i="4" s="1"/>
  <c r="AX64" i="5"/>
  <c r="S21" i="4" s="1"/>
  <c r="AX62" i="5"/>
  <c r="Q21" i="4" s="1"/>
  <c r="AX58" i="5"/>
  <c r="M21" i="4" s="1"/>
  <c r="AQ93" i="5"/>
  <c r="AQ91" i="5"/>
  <c r="AQ62" i="5"/>
  <c r="Q20" i="4" s="1"/>
  <c r="AQ58" i="5"/>
  <c r="M20" i="4" s="1"/>
  <c r="AC64" i="5"/>
  <c r="B74" i="5"/>
  <c r="V86" i="5"/>
  <c r="V60" i="5"/>
  <c r="V56" i="5"/>
  <c r="B73" i="5"/>
  <c r="M15" i="4" s="1"/>
  <c r="V59" i="5"/>
  <c r="H90" i="5"/>
  <c r="B77" i="5"/>
  <c r="H62" i="5"/>
  <c r="FB95" i="5"/>
  <c r="FB94" i="5"/>
  <c r="CE94" i="5"/>
  <c r="CE95" i="5"/>
  <c r="BC65" i="5"/>
  <c r="AM95" i="5"/>
  <c r="AM94" i="5"/>
  <c r="W95" i="5"/>
  <c r="W94" i="5"/>
  <c r="CH76" i="5"/>
  <c r="CN61" i="5"/>
  <c r="BF73" i="5"/>
  <c r="HF95" i="5"/>
  <c r="HF94" i="5"/>
  <c r="GE95" i="5"/>
  <c r="GE94" i="5"/>
  <c r="EC65" i="5"/>
  <c r="DM95" i="5"/>
  <c r="DM94" i="5"/>
  <c r="CS95" i="5"/>
  <c r="CS94" i="5"/>
  <c r="BA65" i="5"/>
  <c r="AK65" i="5"/>
  <c r="Q65" i="5"/>
  <c r="FX94" i="5"/>
  <c r="FX95" i="5"/>
  <c r="CN82" i="5"/>
  <c r="BF70" i="5"/>
  <c r="BL55" i="5"/>
  <c r="BF69" i="5"/>
  <c r="BL54" i="5"/>
  <c r="HG95" i="5"/>
  <c r="HG94" i="5"/>
  <c r="AT94" i="5"/>
  <c r="AT95" i="5"/>
  <c r="B65" i="5"/>
  <c r="GW82" i="5"/>
  <c r="GW65" i="5"/>
  <c r="DD82" i="5"/>
  <c r="DD65" i="5"/>
  <c r="CP94" i="5"/>
  <c r="CP95" i="5"/>
  <c r="AF82" i="5"/>
  <c r="AJ82" i="5" s="1"/>
  <c r="AF65" i="5"/>
  <c r="GF65" i="5"/>
  <c r="CF82" i="5"/>
  <c r="CF65" i="5"/>
  <c r="Z65" i="5"/>
  <c r="EW95" i="5"/>
  <c r="EW94" i="5"/>
  <c r="DF94" i="5"/>
  <c r="DF95" i="5"/>
  <c r="B79" i="5"/>
  <c r="H64" i="5"/>
  <c r="BE59" i="5"/>
  <c r="N22" i="4" s="1"/>
  <c r="BE58" i="5"/>
  <c r="M22" i="4" s="1"/>
  <c r="AD72" i="5"/>
  <c r="AJ57" i="5"/>
  <c r="BS55" i="5"/>
  <c r="J34" i="4" s="1"/>
  <c r="HD65" i="5"/>
  <c r="GG95" i="5"/>
  <c r="GG94" i="5"/>
  <c r="FQ94" i="5"/>
  <c r="FQ95" i="5"/>
  <c r="DS94" i="5"/>
  <c r="DS95" i="5"/>
  <c r="DC94" i="5"/>
  <c r="DC95" i="5"/>
  <c r="CA65" i="5"/>
  <c r="BK94" i="5"/>
  <c r="BK95" i="5"/>
  <c r="AU95" i="5"/>
  <c r="AU94" i="5"/>
  <c r="K95" i="5"/>
  <c r="K94" i="5"/>
  <c r="C94" i="5"/>
  <c r="C95" i="5"/>
  <c r="CH75" i="5"/>
  <c r="CN60" i="5"/>
  <c r="BF76" i="5"/>
  <c r="BL61" i="5"/>
  <c r="CH72" i="5"/>
  <c r="CN57" i="5"/>
  <c r="EC95" i="5"/>
  <c r="EC94" i="5"/>
  <c r="DE95" i="5"/>
  <c r="DE94" i="5"/>
  <c r="CO95" i="5"/>
  <c r="CO94" i="5"/>
  <c r="CU82" i="5"/>
  <c r="BA95" i="5"/>
  <c r="BA94" i="5"/>
  <c r="AK95" i="5"/>
  <c r="AK94" i="5"/>
  <c r="Q95" i="5"/>
  <c r="Q94" i="5"/>
  <c r="GS82" i="5"/>
  <c r="GV82" i="5" s="1"/>
  <c r="GS65" i="5"/>
  <c r="DV65" i="5"/>
  <c r="BF68" i="5"/>
  <c r="BL53" i="5"/>
  <c r="N95" i="5"/>
  <c r="CT65" i="5"/>
  <c r="BT82" i="5"/>
  <c r="BT65" i="5"/>
  <c r="AX85" i="5"/>
  <c r="HE82" i="5"/>
  <c r="HE65" i="5"/>
  <c r="GF95" i="5"/>
  <c r="GF94" i="5"/>
  <c r="AV82" i="5"/>
  <c r="AV65" i="5"/>
  <c r="AD78" i="5"/>
  <c r="AJ63" i="5"/>
  <c r="FE65" i="5"/>
  <c r="ES65" i="5"/>
  <c r="CJ94" i="5"/>
  <c r="CJ95" i="5"/>
  <c r="AP94" i="5"/>
  <c r="AP95" i="5"/>
  <c r="P82" i="5"/>
  <c r="P65" i="5"/>
  <c r="ER64" i="5"/>
  <c r="S23" i="4" s="1"/>
  <c r="CG64" i="5"/>
  <c r="S36" i="4" s="1"/>
  <c r="GA63" i="5"/>
  <c r="R38" i="4" s="1"/>
  <c r="HJ62" i="5"/>
  <c r="Q53" i="4" s="1"/>
  <c r="ER62" i="5"/>
  <c r="Q23" i="4" s="1"/>
  <c r="CG62" i="5"/>
  <c r="Q36" i="4" s="1"/>
  <c r="BE61" i="5"/>
  <c r="P22" i="4" s="1"/>
  <c r="HJ60" i="5"/>
  <c r="O53" i="4" s="1"/>
  <c r="CG89" i="5"/>
  <c r="AC87" i="5"/>
  <c r="H93" i="5"/>
  <c r="FF63" i="5"/>
  <c r="R25" i="4" s="1"/>
  <c r="BE60" i="5"/>
  <c r="O22" i="4" s="1"/>
  <c r="B75" i="5"/>
  <c r="FF57" i="5"/>
  <c r="L25" i="4" s="1"/>
  <c r="GV56" i="5"/>
  <c r="K51" i="4" s="1"/>
  <c r="DI85" i="5"/>
  <c r="O54" i="5"/>
  <c r="I6" i="4" s="1"/>
  <c r="HD95" i="5"/>
  <c r="HD94" i="5"/>
  <c r="GC65" i="5"/>
  <c r="FU65" i="5"/>
  <c r="EX94" i="5"/>
  <c r="EX95" i="5"/>
  <c r="EP94" i="5"/>
  <c r="EP95" i="5"/>
  <c r="EA94" i="5"/>
  <c r="EA95" i="5"/>
  <c r="DO65" i="5"/>
  <c r="DG65" i="5"/>
  <c r="CY65" i="5"/>
  <c r="CQ94" i="5"/>
  <c r="CQ95" i="5"/>
  <c r="CI95" i="5"/>
  <c r="CI94" i="5"/>
  <c r="CA94" i="5"/>
  <c r="CA95" i="5"/>
  <c r="BG65" i="5"/>
  <c r="AY65" i="5"/>
  <c r="AQ53" i="5"/>
  <c r="H20" i="4" s="1"/>
  <c r="AI95" i="5"/>
  <c r="AI94" i="5"/>
  <c r="AA95" i="5"/>
  <c r="AA94" i="5"/>
  <c r="S95" i="5"/>
  <c r="S94" i="5"/>
  <c r="CH78" i="5"/>
  <c r="CN63" i="5"/>
  <c r="CN89" i="5"/>
  <c r="CH74" i="5"/>
  <c r="ER58" i="5"/>
  <c r="M23" i="4" s="1"/>
  <c r="CH73" i="5"/>
  <c r="O58" i="5"/>
  <c r="M6" i="4" s="1"/>
  <c r="O86" i="5"/>
  <c r="HB95" i="5"/>
  <c r="HB94" i="5"/>
  <c r="GH93" i="5"/>
  <c r="BF79" i="5"/>
  <c r="BL64" i="5"/>
  <c r="GH92" i="5"/>
  <c r="BL90" i="5"/>
  <c r="BF74" i="5"/>
  <c r="GP65" i="5"/>
  <c r="FW65" i="5"/>
  <c r="FO95" i="5"/>
  <c r="FO94" i="5"/>
  <c r="EZ65" i="5"/>
  <c r="EN65" i="5"/>
  <c r="DY95" i="5"/>
  <c r="DY94" i="5"/>
  <c r="DQ95" i="5"/>
  <c r="DQ94" i="5"/>
  <c r="DE65" i="5"/>
  <c r="CW95" i="5"/>
  <c r="CW94" i="5"/>
  <c r="CO65" i="5"/>
  <c r="CC95" i="5"/>
  <c r="CC94" i="5"/>
  <c r="BU95" i="5"/>
  <c r="BU94" i="5"/>
  <c r="BM95" i="5"/>
  <c r="BM94" i="5"/>
  <c r="AW65" i="5"/>
  <c r="AO65" i="5"/>
  <c r="AG65" i="5"/>
  <c r="U65" i="5"/>
  <c r="M95" i="5"/>
  <c r="M94" i="5"/>
  <c r="E65" i="5"/>
  <c r="DU94" i="5"/>
  <c r="GU95" i="5"/>
  <c r="GU94" i="5"/>
  <c r="FA94" i="5"/>
  <c r="FA95" i="5"/>
  <c r="CX94" i="5"/>
  <c r="CX95" i="5"/>
  <c r="BR94" i="5"/>
  <c r="BR95" i="5"/>
  <c r="AL94" i="5"/>
  <c r="AL95" i="5"/>
  <c r="GV64" i="5"/>
  <c r="S51" i="4" s="1"/>
  <c r="BS63" i="5"/>
  <c r="R34" i="4" s="1"/>
  <c r="AD75" i="5"/>
  <c r="AJ60" i="5"/>
  <c r="CG57" i="5"/>
  <c r="L36" i="4" s="1"/>
  <c r="AJ86" i="5"/>
  <c r="DB85" i="5"/>
  <c r="DB84" i="5"/>
  <c r="DB83" i="5"/>
  <c r="EQ82" i="5"/>
  <c r="EQ65" i="5"/>
  <c r="DV94" i="5"/>
  <c r="DV95" i="5"/>
  <c r="DJ95" i="5"/>
  <c r="DJ94" i="5"/>
  <c r="CD65" i="5"/>
  <c r="BH82" i="5"/>
  <c r="BL82" i="5" s="1"/>
  <c r="BH65" i="5"/>
  <c r="J65" i="5"/>
  <c r="AD76" i="5"/>
  <c r="AJ61" i="5"/>
  <c r="HC56" i="5"/>
  <c r="K52" i="4" s="1"/>
  <c r="BZ83" i="5"/>
  <c r="HA82" i="5"/>
  <c r="HA65" i="5"/>
  <c r="DH82" i="5"/>
  <c r="DH65" i="5"/>
  <c r="CT95" i="5"/>
  <c r="CT94" i="5"/>
  <c r="AN82" i="5"/>
  <c r="AQ82" i="5" s="1"/>
  <c r="AN65" i="5"/>
  <c r="AD77" i="5"/>
  <c r="AJ62" i="5"/>
  <c r="AD73" i="5"/>
  <c r="AJ58" i="5"/>
  <c r="DP86" i="5"/>
  <c r="DP56" i="5"/>
  <c r="K9" i="4" s="1"/>
  <c r="GQ65" i="5"/>
  <c r="GB65" i="5"/>
  <c r="FN82" i="5"/>
  <c r="FN65" i="5"/>
  <c r="CB82" i="5"/>
  <c r="CB65" i="5"/>
  <c r="L82" i="5"/>
  <c r="L65" i="5"/>
  <c r="AJ59" i="5"/>
  <c r="AD74" i="5"/>
  <c r="ER57" i="5"/>
  <c r="FZ94" i="5"/>
  <c r="FZ95" i="5"/>
  <c r="FE94" i="5"/>
  <c r="FE95" i="5"/>
  <c r="ES94" i="5"/>
  <c r="ES95" i="5"/>
  <c r="DX82" i="5"/>
  <c r="DX65" i="5"/>
  <c r="CR94" i="5"/>
  <c r="CR95" i="5"/>
  <c r="BV65" i="5"/>
  <c r="AH65" i="5"/>
  <c r="BI95" i="5"/>
  <c r="BI94" i="5"/>
  <c r="B78" i="5"/>
  <c r="H63" i="5"/>
  <c r="HH95" i="5"/>
  <c r="HH94" i="5"/>
  <c r="GZ95" i="5"/>
  <c r="GZ94" i="5"/>
  <c r="ET94" i="5"/>
  <c r="ET95" i="5"/>
  <c r="EL95" i="5"/>
  <c r="EL94" i="5"/>
  <c r="DK65" i="5"/>
  <c r="DC65" i="5"/>
  <c r="CM94" i="5"/>
  <c r="CM95" i="5"/>
  <c r="BW94" i="5"/>
  <c r="BW95" i="5"/>
  <c r="AE95" i="5"/>
  <c r="AE94" i="5"/>
  <c r="BF77" i="5"/>
  <c r="BL62" i="5"/>
  <c r="BF75" i="5"/>
  <c r="AQ86" i="5"/>
  <c r="FS65" i="5"/>
  <c r="DA95" i="5"/>
  <c r="DA94" i="5"/>
  <c r="CK95" i="5"/>
  <c r="CK94" i="5"/>
  <c r="BQ95" i="5"/>
  <c r="BQ94" i="5"/>
  <c r="AS95" i="5"/>
  <c r="AS94" i="5"/>
  <c r="DN94" i="5"/>
  <c r="DN95" i="5"/>
  <c r="BB94" i="5"/>
  <c r="BB95" i="5"/>
  <c r="BS64" i="5"/>
  <c r="S34" i="4" s="1"/>
  <c r="BF71" i="5"/>
  <c r="BL56" i="5"/>
  <c r="FP65" i="5"/>
  <c r="EM82" i="5"/>
  <c r="EM65" i="5"/>
  <c r="DR94" i="5"/>
  <c r="DR95" i="5"/>
  <c r="BP82" i="5"/>
  <c r="BP65" i="5"/>
  <c r="N65" i="5"/>
  <c r="B72" i="5"/>
  <c r="H57" i="5"/>
  <c r="AD69" i="5"/>
  <c r="AJ54" i="5"/>
  <c r="FR82" i="5"/>
  <c r="FR65" i="5"/>
  <c r="EO94" i="5"/>
  <c r="EO95" i="5"/>
  <c r="BN95" i="5"/>
  <c r="BN94" i="5"/>
  <c r="D82" i="5"/>
  <c r="H82" i="5" s="1"/>
  <c r="D65" i="5"/>
  <c r="GY95" i="5"/>
  <c r="GY94" i="5"/>
  <c r="FV82" i="5"/>
  <c r="GA82" i="5" s="1"/>
  <c r="FV65" i="5"/>
  <c r="EB94" i="5"/>
  <c r="EB95" i="5"/>
  <c r="AP65" i="5"/>
  <c r="AD65" i="5"/>
  <c r="AQ64" i="5"/>
  <c r="S20" i="4" s="1"/>
  <c r="BE86" i="5"/>
  <c r="AQ56" i="5"/>
  <c r="K20" i="4" s="1"/>
  <c r="FY95" i="5"/>
  <c r="FY94" i="5"/>
  <c r="DK94" i="5"/>
  <c r="DK95" i="5"/>
  <c r="CQ65" i="5"/>
  <c r="BC95" i="5"/>
  <c r="BC94" i="5"/>
  <c r="O64" i="5"/>
  <c r="S6" i="4" s="1"/>
  <c r="AC58" i="5"/>
  <c r="HJ86" i="5"/>
  <c r="GT95" i="5"/>
  <c r="GT94" i="5"/>
  <c r="FD95" i="5"/>
  <c r="FD94" i="5"/>
  <c r="Y95" i="5"/>
  <c r="Y94" i="5"/>
  <c r="I95" i="5"/>
  <c r="I94" i="5"/>
  <c r="GU65" i="5"/>
  <c r="FA65" i="5"/>
  <c r="AL65" i="5"/>
  <c r="GH56" i="5"/>
  <c r="FP94" i="5"/>
  <c r="FP95" i="5"/>
  <c r="DJ65" i="5"/>
  <c r="CV82" i="5"/>
  <c r="CV65" i="5"/>
  <c r="AB82" i="5"/>
  <c r="AB65" i="5"/>
  <c r="CG59" i="5"/>
  <c r="FC82" i="5"/>
  <c r="FF82" i="5" s="1"/>
  <c r="FC65" i="5"/>
  <c r="DZ95" i="5"/>
  <c r="DZ94" i="5"/>
  <c r="CL65" i="5"/>
  <c r="R65" i="5"/>
  <c r="CG56" i="5"/>
  <c r="K36" i="4" s="1"/>
  <c r="B70" i="5"/>
  <c r="H55" i="5"/>
  <c r="DT82" i="5"/>
  <c r="DW82" i="5" s="1"/>
  <c r="DT65" i="5"/>
  <c r="BJ65" i="5"/>
  <c r="CH71" i="5"/>
  <c r="CN56" i="5"/>
  <c r="CH69" i="5"/>
  <c r="CN54" i="5"/>
  <c r="BD94" i="5"/>
  <c r="BD95" i="5"/>
  <c r="FF64" i="5"/>
  <c r="DP92" i="5"/>
  <c r="B76" i="5"/>
  <c r="H61" i="5"/>
  <c r="DP89" i="5"/>
  <c r="BS56" i="5"/>
  <c r="K34" i="4" s="1"/>
  <c r="O56" i="5"/>
  <c r="K6" i="4" s="1"/>
  <c r="AQ55" i="5"/>
  <c r="J20" i="4" s="1"/>
  <c r="GV54" i="5"/>
  <c r="BS54" i="5"/>
  <c r="I34" i="4" s="1"/>
  <c r="HH65" i="5"/>
  <c r="GR95" i="5"/>
  <c r="GR94" i="5"/>
  <c r="GC95" i="5"/>
  <c r="GC94" i="5"/>
  <c r="FU94" i="5"/>
  <c r="FU95" i="5"/>
  <c r="FB65" i="5"/>
  <c r="EL65" i="5"/>
  <c r="DW53" i="5"/>
  <c r="H10" i="4" s="1"/>
  <c r="DO95" i="5"/>
  <c r="DO94" i="5"/>
  <c r="DG94" i="5"/>
  <c r="DG95" i="5"/>
  <c r="CY95" i="5"/>
  <c r="CY94" i="5"/>
  <c r="CM65" i="5"/>
  <c r="BW65" i="5"/>
  <c r="BO94" i="5"/>
  <c r="BO95" i="5"/>
  <c r="BG94" i="5"/>
  <c r="BG95" i="5"/>
  <c r="AY95" i="5"/>
  <c r="AY94" i="5"/>
  <c r="AM65" i="5"/>
  <c r="W65" i="5"/>
  <c r="G95" i="5"/>
  <c r="G94" i="5"/>
  <c r="GH87" i="5"/>
  <c r="DW64" i="5"/>
  <c r="S10" i="4" s="1"/>
  <c r="CH79" i="5"/>
  <c r="CN64" i="5"/>
  <c r="CH77" i="5"/>
  <c r="CN62" i="5"/>
  <c r="ER59" i="5"/>
  <c r="N23" i="4" s="1"/>
  <c r="DW86" i="5"/>
  <c r="BF72" i="5"/>
  <c r="BL57" i="5"/>
  <c r="CU64" i="5"/>
  <c r="S48" i="4" s="1"/>
  <c r="BL93" i="5"/>
  <c r="BF78" i="5"/>
  <c r="BL63" i="5"/>
  <c r="GH91" i="5"/>
  <c r="BL60" i="5"/>
  <c r="DI59" i="5"/>
  <c r="N50" i="4" s="1"/>
  <c r="FF85" i="5"/>
  <c r="GX95" i="5"/>
  <c r="GX94" i="5"/>
  <c r="GP95" i="5"/>
  <c r="GP94" i="5"/>
  <c r="FW95" i="5"/>
  <c r="FW94" i="5"/>
  <c r="FO65" i="5"/>
  <c r="EZ95" i="5"/>
  <c r="EZ94" i="5"/>
  <c r="EN95" i="5"/>
  <c r="EN94" i="5"/>
  <c r="DY65" i="5"/>
  <c r="DM65" i="5"/>
  <c r="DA65" i="5"/>
  <c r="CS65" i="5"/>
  <c r="BY95" i="5"/>
  <c r="BY94" i="5"/>
  <c r="BI65" i="5"/>
  <c r="AW95" i="5"/>
  <c r="AW94" i="5"/>
  <c r="AO95" i="5"/>
  <c r="AO94" i="5"/>
  <c r="AG95" i="5"/>
  <c r="AG94" i="5"/>
  <c r="U95" i="5"/>
  <c r="U94" i="5"/>
  <c r="M65" i="5"/>
  <c r="E95" i="5"/>
  <c r="E94" i="5"/>
  <c r="FX65" i="5"/>
  <c r="DN65" i="5"/>
  <c r="CH65" i="5"/>
  <c r="BB65" i="5"/>
  <c r="F65" i="5"/>
  <c r="AD79" i="5"/>
  <c r="AJ64" i="5"/>
  <c r="HG65" i="5"/>
  <c r="GD82" i="5"/>
  <c r="GH82" i="5" s="1"/>
  <c r="GD65" i="5"/>
  <c r="DR65" i="5"/>
  <c r="CZ82" i="5"/>
  <c r="CZ65" i="5"/>
  <c r="CD95" i="5"/>
  <c r="CD94" i="5"/>
  <c r="AT65" i="5"/>
  <c r="X82" i="5"/>
  <c r="X65" i="5"/>
  <c r="H86" i="5"/>
  <c r="HC85" i="5"/>
  <c r="AD71" i="5"/>
  <c r="AJ56" i="5"/>
  <c r="HC84" i="5"/>
  <c r="AJ55" i="5"/>
  <c r="AD70" i="5"/>
  <c r="HC83" i="5"/>
  <c r="EU82" i="5"/>
  <c r="EY82" i="5" s="1"/>
  <c r="EU65" i="5"/>
  <c r="CP65" i="5"/>
  <c r="BX82" i="5"/>
  <c r="BX65" i="5"/>
  <c r="AD68" i="5"/>
  <c r="AJ53" i="5"/>
  <c r="DP57" i="5"/>
  <c r="L9" i="4" s="1"/>
  <c r="AC86" i="5"/>
  <c r="B71" i="5"/>
  <c r="H56" i="5"/>
  <c r="AX84" i="5"/>
  <c r="FT83" i="5"/>
  <c r="H54" i="5"/>
  <c r="HI82" i="5"/>
  <c r="HI65" i="5"/>
  <c r="GQ95" i="5"/>
  <c r="GQ94" i="5"/>
  <c r="GB94" i="5"/>
  <c r="GB95" i="5"/>
  <c r="EO65" i="5"/>
  <c r="DL82" i="5"/>
  <c r="DP82" i="5" s="1"/>
  <c r="DL65" i="5"/>
  <c r="BN65" i="5"/>
  <c r="BF65" i="5"/>
  <c r="AR82" i="5"/>
  <c r="AR65" i="5"/>
  <c r="H53" i="5"/>
  <c r="ER86" i="5"/>
  <c r="CH70" i="5"/>
  <c r="CN55" i="5"/>
  <c r="GY65" i="5"/>
  <c r="CH68" i="5"/>
  <c r="CN53" i="5"/>
  <c r="BV94" i="5"/>
  <c r="BV95" i="5"/>
  <c r="AZ82" i="5"/>
  <c r="BE82" i="5" s="1"/>
  <c r="AZ65" i="5"/>
  <c r="AH95" i="5"/>
  <c r="AH94" i="5"/>
  <c r="T95" i="5"/>
  <c r="T94" i="5"/>
  <c r="AH107" i="5" l="1"/>
  <c r="I74" i="4"/>
  <c r="M47" i="4"/>
  <c r="CL73" i="5"/>
  <c r="M54" i="4" s="1"/>
  <c r="H47" i="4"/>
  <c r="CL68" i="5"/>
  <c r="K33" i="4"/>
  <c r="BJ71" i="5"/>
  <c r="K40" i="4" s="1"/>
  <c r="R47" i="4"/>
  <c r="CL78" i="5"/>
  <c r="R54" i="4" s="1"/>
  <c r="J47" i="4"/>
  <c r="CL70" i="5"/>
  <c r="J54" i="4" s="1"/>
  <c r="S47" i="4"/>
  <c r="CL79" i="5"/>
  <c r="S54" i="4" s="1"/>
  <c r="L47" i="4"/>
  <c r="CL72" i="5"/>
  <c r="L54" i="4" s="1"/>
  <c r="O47" i="4"/>
  <c r="CL75" i="5"/>
  <c r="O54" i="4" s="1"/>
  <c r="I33" i="4"/>
  <c r="BJ69" i="5"/>
  <c r="I40" i="4" s="1"/>
  <c r="P47" i="4"/>
  <c r="CL76" i="5"/>
  <c r="P54" i="4" s="1"/>
  <c r="R33" i="4"/>
  <c r="BJ78" i="5"/>
  <c r="R40" i="4" s="1"/>
  <c r="L33" i="4"/>
  <c r="BJ72" i="5"/>
  <c r="L40" i="4" s="1"/>
  <c r="Q47" i="4"/>
  <c r="CL77" i="5"/>
  <c r="Q54" i="4" s="1"/>
  <c r="K47" i="4"/>
  <c r="CL71" i="5"/>
  <c r="K54" i="4" s="1"/>
  <c r="S33" i="4"/>
  <c r="BJ79" i="5"/>
  <c r="S40" i="4" s="1"/>
  <c r="H33" i="4"/>
  <c r="BJ68" i="5"/>
  <c r="P33" i="4"/>
  <c r="BJ76" i="5"/>
  <c r="P40" i="4" s="1"/>
  <c r="J33" i="4"/>
  <c r="BJ70" i="5"/>
  <c r="J40" i="4" s="1"/>
  <c r="N47" i="4"/>
  <c r="CL74" i="5"/>
  <c r="N54" i="4" s="1"/>
  <c r="O33" i="4"/>
  <c r="BJ75" i="5"/>
  <c r="O40" i="4" s="1"/>
  <c r="I47" i="4"/>
  <c r="CL69" i="5"/>
  <c r="I54" i="4" s="1"/>
  <c r="M33" i="4"/>
  <c r="BJ73" i="5"/>
  <c r="M40" i="4" s="1"/>
  <c r="Q33" i="4"/>
  <c r="BJ77" i="5"/>
  <c r="Q40" i="4" s="1"/>
  <c r="N33" i="4"/>
  <c r="BJ74" i="5"/>
  <c r="N40" i="4" s="1"/>
  <c r="AI71" i="5"/>
  <c r="F71" i="5"/>
  <c r="K12" i="4" s="1"/>
  <c r="AH68" i="5"/>
  <c r="BK68" i="5"/>
  <c r="BK76" i="5"/>
  <c r="P41" i="4" s="1"/>
  <c r="AH76" i="5"/>
  <c r="P26" i="4" s="1"/>
  <c r="K7" i="4"/>
  <c r="CM71" i="5"/>
  <c r="K55" i="4" s="1"/>
  <c r="L8" i="4"/>
  <c r="G72" i="5"/>
  <c r="L13" i="4" s="1"/>
  <c r="H7" i="4"/>
  <c r="CM68" i="5"/>
  <c r="F69" i="5"/>
  <c r="I12" i="4" s="1"/>
  <c r="AI69" i="5"/>
  <c r="I27" i="4" s="1"/>
  <c r="BK70" i="5"/>
  <c r="J41" i="4" s="1"/>
  <c r="AH70" i="5"/>
  <c r="J26" i="4" s="1"/>
  <c r="M8" i="4"/>
  <c r="G73" i="5"/>
  <c r="M13" i="4" s="1"/>
  <c r="AH69" i="5"/>
  <c r="I26" i="4" s="1"/>
  <c r="BK69" i="5"/>
  <c r="I41" i="4" s="1"/>
  <c r="AI78" i="5"/>
  <c r="R27" i="4" s="1"/>
  <c r="F78" i="5"/>
  <c r="R12" i="4" s="1"/>
  <c r="BK75" i="5"/>
  <c r="O41" i="4" s="1"/>
  <c r="AH75" i="5"/>
  <c r="O26" i="4" s="1"/>
  <c r="BK78" i="5"/>
  <c r="R41" i="4" s="1"/>
  <c r="AH78" i="5"/>
  <c r="R26" i="4" s="1"/>
  <c r="BK72" i="5"/>
  <c r="L41" i="4" s="1"/>
  <c r="AH72" i="5"/>
  <c r="L26" i="4" s="1"/>
  <c r="AI79" i="5"/>
  <c r="S27" i="4" s="1"/>
  <c r="F79" i="5"/>
  <c r="S12" i="4" s="1"/>
  <c r="O7" i="4"/>
  <c r="CM75" i="5"/>
  <c r="O55" i="4" s="1"/>
  <c r="I7" i="4"/>
  <c r="CM69" i="5"/>
  <c r="I55" i="4" s="1"/>
  <c r="R7" i="4"/>
  <c r="CM78" i="5"/>
  <c r="R55" i="4" s="1"/>
  <c r="P8" i="4"/>
  <c r="G76" i="5"/>
  <c r="P13" i="4" s="1"/>
  <c r="AI75" i="5"/>
  <c r="O27" i="4" s="1"/>
  <c r="F75" i="5"/>
  <c r="O12" i="4" s="1"/>
  <c r="J8" i="4"/>
  <c r="G70" i="5"/>
  <c r="J13" i="4" s="1"/>
  <c r="BK79" i="5"/>
  <c r="S41" i="4" s="1"/>
  <c r="AH79" i="5"/>
  <c r="S26" i="4" s="1"/>
  <c r="F76" i="5"/>
  <c r="P12" i="4" s="1"/>
  <c r="AI76" i="5"/>
  <c r="P27" i="4" s="1"/>
  <c r="AH73" i="5"/>
  <c r="M26" i="4" s="1"/>
  <c r="BK73" i="5"/>
  <c r="M41" i="4" s="1"/>
  <c r="N7" i="4"/>
  <c r="CM74" i="5"/>
  <c r="N55" i="4" s="1"/>
  <c r="F73" i="5"/>
  <c r="M12" i="4" s="1"/>
  <c r="AI73" i="5"/>
  <c r="M27" i="4" s="1"/>
  <c r="S7" i="4"/>
  <c r="CM79" i="5"/>
  <c r="S55" i="4" s="1"/>
  <c r="R8" i="4"/>
  <c r="G78" i="5"/>
  <c r="R13" i="4" s="1"/>
  <c r="M7" i="4"/>
  <c r="CM73" i="5"/>
  <c r="M55" i="4" s="1"/>
  <c r="I8" i="4"/>
  <c r="G69" i="5"/>
  <c r="I13" i="4" s="1"/>
  <c r="Q8" i="4"/>
  <c r="G77" i="5"/>
  <c r="Q13" i="4" s="1"/>
  <c r="AH77" i="5"/>
  <c r="Q26" i="4" s="1"/>
  <c r="BK77" i="5"/>
  <c r="Q41" i="4" s="1"/>
  <c r="S8" i="4"/>
  <c r="G79" i="5"/>
  <c r="S13" i="4" s="1"/>
  <c r="J7" i="4"/>
  <c r="CM70" i="5"/>
  <c r="J55" i="4" s="1"/>
  <c r="F68" i="5"/>
  <c r="AI68" i="5"/>
  <c r="H27" i="4" s="1"/>
  <c r="BK71" i="5"/>
  <c r="K41" i="4" s="1"/>
  <c r="AH71" i="5"/>
  <c r="K26" i="4" s="1"/>
  <c r="AI70" i="5"/>
  <c r="J27" i="4" s="1"/>
  <c r="F70" i="5"/>
  <c r="J12" i="4" s="1"/>
  <c r="F72" i="5"/>
  <c r="L12" i="4" s="1"/>
  <c r="AI72" i="5"/>
  <c r="L27" i="4" s="1"/>
  <c r="AH74" i="5"/>
  <c r="N26" i="4" s="1"/>
  <c r="BK74" i="5"/>
  <c r="N41" i="4" s="1"/>
  <c r="F77" i="5"/>
  <c r="Q12" i="4" s="1"/>
  <c r="AI77" i="5"/>
  <c r="Q27" i="4" s="1"/>
  <c r="AI74" i="5"/>
  <c r="N27" i="4" s="1"/>
  <c r="F74" i="5"/>
  <c r="N12" i="4" s="1"/>
  <c r="K8" i="4"/>
  <c r="G71" i="5"/>
  <c r="K13" i="4" s="1"/>
  <c r="P7" i="4"/>
  <c r="CM76" i="5"/>
  <c r="P55" i="4" s="1"/>
  <c r="Q7" i="4"/>
  <c r="CM77" i="5"/>
  <c r="Q55" i="4" s="1"/>
  <c r="O8" i="4"/>
  <c r="G75" i="5"/>
  <c r="O13" i="4" s="1"/>
  <c r="N8" i="4"/>
  <c r="G74" i="5"/>
  <c r="N13" i="4" s="1"/>
  <c r="L7" i="4"/>
  <c r="CM72" i="5"/>
  <c r="L55" i="4" s="1"/>
  <c r="H8" i="4"/>
  <c r="G68" i="5"/>
  <c r="AI105" i="5"/>
  <c r="J95" i="5"/>
  <c r="Z94" i="5"/>
  <c r="R95" i="5"/>
  <c r="I72" i="4"/>
  <c r="J75" i="4"/>
  <c r="AG71" i="4" s="1"/>
  <c r="H101" i="5"/>
  <c r="Z95" i="5"/>
  <c r="R94" i="5"/>
  <c r="I71" i="4"/>
  <c r="I75" i="4"/>
  <c r="AG74" i="4" s="1"/>
  <c r="O92" i="5"/>
  <c r="BL101" i="5"/>
  <c r="ER82" i="5"/>
  <c r="ER95" i="5" s="1"/>
  <c r="W23" i="4" s="1"/>
  <c r="B95" i="5"/>
  <c r="BL109" i="5"/>
  <c r="K19" i="4"/>
  <c r="O19" i="4"/>
  <c r="N5" i="4"/>
  <c r="H102" i="5"/>
  <c r="B110" i="5"/>
  <c r="H110" i="5" s="1"/>
  <c r="AJ101" i="5"/>
  <c r="AF109" i="5"/>
  <c r="AJ109" i="5" s="1"/>
  <c r="AD110" i="5"/>
  <c r="AJ110" i="5" s="1"/>
  <c r="AJ102" i="5"/>
  <c r="AD111" i="5"/>
  <c r="AJ111" i="5" s="1"/>
  <c r="AJ103" i="5"/>
  <c r="BF110" i="5"/>
  <c r="BL110" i="5" s="1"/>
  <c r="BL102" i="5"/>
  <c r="CN103" i="5"/>
  <c r="CJ111" i="5"/>
  <c r="CN111" i="5" s="1"/>
  <c r="O5" i="4"/>
  <c r="H109" i="5"/>
  <c r="Q19" i="4"/>
  <c r="I19" i="4"/>
  <c r="L19" i="4"/>
  <c r="AF105" i="5"/>
  <c r="AJ97" i="5"/>
  <c r="BL103" i="5"/>
  <c r="H103" i="5"/>
  <c r="N19" i="4"/>
  <c r="R19" i="4"/>
  <c r="S19" i="4"/>
  <c r="J19" i="4"/>
  <c r="M19" i="4"/>
  <c r="P19" i="4"/>
  <c r="M5" i="4"/>
  <c r="CN101" i="5"/>
  <c r="CH109" i="5"/>
  <c r="CN109" i="5" s="1"/>
  <c r="CN102" i="5"/>
  <c r="CH110" i="5"/>
  <c r="CN110" i="5" s="1"/>
  <c r="BL111" i="5"/>
  <c r="H111" i="5"/>
  <c r="FT65" i="5"/>
  <c r="CL94" i="5"/>
  <c r="CL105" i="5"/>
  <c r="BG105" i="5"/>
  <c r="F94" i="5"/>
  <c r="K72" i="4"/>
  <c r="J74" i="4"/>
  <c r="ED65" i="5"/>
  <c r="BJ95" i="5"/>
  <c r="CH94" i="5"/>
  <c r="U11" i="4"/>
  <c r="AD94" i="5"/>
  <c r="E106" i="5"/>
  <c r="M74" i="4"/>
  <c r="E107" i="5"/>
  <c r="R74" i="4"/>
  <c r="M73" i="4"/>
  <c r="D106" i="5"/>
  <c r="R75" i="4"/>
  <c r="F107" i="5"/>
  <c r="C105" i="5"/>
  <c r="H72" i="4"/>
  <c r="BI107" i="5"/>
  <c r="T74" i="4"/>
  <c r="BK106" i="5"/>
  <c r="O76" i="4"/>
  <c r="U74" i="4"/>
  <c r="CK107" i="5"/>
  <c r="O71" i="4"/>
  <c r="BF106" i="5"/>
  <c r="BL98" i="5"/>
  <c r="P72" i="4"/>
  <c r="CI106" i="5"/>
  <c r="H71" i="4"/>
  <c r="B105" i="5"/>
  <c r="BI106" i="5"/>
  <c r="O74" i="4"/>
  <c r="C69" i="5"/>
  <c r="D69" i="5" s="1"/>
  <c r="I17" i="4" s="1"/>
  <c r="H92" i="5"/>
  <c r="H94" i="5" s="1"/>
  <c r="G105" i="5"/>
  <c r="H76" i="4"/>
  <c r="H99" i="5"/>
  <c r="R71" i="4"/>
  <c r="B107" i="5"/>
  <c r="M72" i="4"/>
  <c r="C106" i="5"/>
  <c r="J73" i="4"/>
  <c r="BH105" i="5"/>
  <c r="K71" i="4"/>
  <c r="CH105" i="5"/>
  <c r="CN97" i="5"/>
  <c r="P76" i="4"/>
  <c r="CM106" i="5"/>
  <c r="CM107" i="5"/>
  <c r="U76" i="4"/>
  <c r="E105" i="5"/>
  <c r="H74" i="4"/>
  <c r="O73" i="4"/>
  <c r="BH106" i="5"/>
  <c r="T71" i="4"/>
  <c r="BL99" i="5"/>
  <c r="BF107" i="5"/>
  <c r="S73" i="4"/>
  <c r="AF107" i="5"/>
  <c r="AJ98" i="5"/>
  <c r="N73" i="4"/>
  <c r="AF106" i="5"/>
  <c r="P73" i="4"/>
  <c r="CJ106" i="5"/>
  <c r="P71" i="4"/>
  <c r="CN98" i="5"/>
  <c r="CH106" i="5"/>
  <c r="AE107" i="5"/>
  <c r="S72" i="4"/>
  <c r="S71" i="4"/>
  <c r="AD107" i="5"/>
  <c r="AJ99" i="5"/>
  <c r="V11" i="4"/>
  <c r="M76" i="4"/>
  <c r="G106" i="5"/>
  <c r="C107" i="5"/>
  <c r="R72" i="4"/>
  <c r="T73" i="4"/>
  <c r="BH107" i="5"/>
  <c r="AG106" i="5"/>
  <c r="N74" i="4"/>
  <c r="N75" i="4"/>
  <c r="AH106" i="5"/>
  <c r="CM105" i="5"/>
  <c r="K76" i="4"/>
  <c r="AH74" i="4" s="1"/>
  <c r="AI107" i="5"/>
  <c r="S76" i="4"/>
  <c r="BL92" i="5"/>
  <c r="BL94" i="5" s="1"/>
  <c r="U73" i="4"/>
  <c r="CJ107" i="5"/>
  <c r="U75" i="4"/>
  <c r="AG76" i="4" s="1"/>
  <c r="CL107" i="5"/>
  <c r="J71" i="4"/>
  <c r="BL97" i="5"/>
  <c r="BF105" i="5"/>
  <c r="N72" i="4"/>
  <c r="AE106" i="5"/>
  <c r="T72" i="4"/>
  <c r="BG107" i="5"/>
  <c r="CN92" i="5"/>
  <c r="CN94" i="5" s="1"/>
  <c r="BF95" i="5"/>
  <c r="CG82" i="5"/>
  <c r="CG95" i="5" s="1"/>
  <c r="W36" i="4" s="1"/>
  <c r="AD95" i="5"/>
  <c r="M75" i="4"/>
  <c r="F106" i="5"/>
  <c r="G107" i="5"/>
  <c r="R76" i="4"/>
  <c r="D107" i="5"/>
  <c r="R73" i="4"/>
  <c r="B106" i="5"/>
  <c r="M71" i="4"/>
  <c r="H97" i="5"/>
  <c r="H73" i="4"/>
  <c r="D105" i="5"/>
  <c r="P75" i="4"/>
  <c r="CL106" i="5"/>
  <c r="U71" i="4"/>
  <c r="CN99" i="5"/>
  <c r="CH107" i="5"/>
  <c r="CK106" i="5"/>
  <c r="P74" i="4"/>
  <c r="O75" i="4"/>
  <c r="BJ106" i="5"/>
  <c r="N76" i="4"/>
  <c r="AI106" i="5"/>
  <c r="T75" i="4"/>
  <c r="BJ107" i="5"/>
  <c r="S74" i="4"/>
  <c r="AG107" i="5"/>
  <c r="N71" i="4"/>
  <c r="AD106" i="5"/>
  <c r="BG106" i="5"/>
  <c r="O72" i="4"/>
  <c r="CI107" i="5"/>
  <c r="U72" i="4"/>
  <c r="K74" i="4"/>
  <c r="CK105" i="5"/>
  <c r="H98" i="5"/>
  <c r="HC65" i="5"/>
  <c r="V65" i="5"/>
  <c r="HJ65" i="5"/>
  <c r="DI82" i="5"/>
  <c r="DI94" i="5" s="1"/>
  <c r="DB65" i="5"/>
  <c r="C77" i="5"/>
  <c r="Q15" i="4"/>
  <c r="BZ65" i="5"/>
  <c r="L35" i="4"/>
  <c r="CI68" i="5"/>
  <c r="H57" i="4"/>
  <c r="C76" i="5"/>
  <c r="P15" i="4"/>
  <c r="FS95" i="5"/>
  <c r="W37" i="4" s="1"/>
  <c r="U8" i="4"/>
  <c r="AE77" i="5"/>
  <c r="Q29" i="4"/>
  <c r="BG74" i="5"/>
  <c r="N43" i="4"/>
  <c r="BG79" i="5"/>
  <c r="S43" i="4"/>
  <c r="CI74" i="5"/>
  <c r="N57" i="4"/>
  <c r="T9" i="4"/>
  <c r="U9" i="4"/>
  <c r="V9" i="4"/>
  <c r="BG78" i="5"/>
  <c r="R43" i="4"/>
  <c r="CI77" i="5"/>
  <c r="Q57" i="4"/>
  <c r="GV65" i="5"/>
  <c r="I51" i="4"/>
  <c r="FF65" i="5"/>
  <c r="S25" i="4"/>
  <c r="AE75" i="5"/>
  <c r="O29" i="4"/>
  <c r="CI70" i="5"/>
  <c r="J57" i="4"/>
  <c r="AE79" i="5"/>
  <c r="S29" i="4"/>
  <c r="GA65" i="5"/>
  <c r="CI79" i="5"/>
  <c r="S57" i="4"/>
  <c r="CI71" i="5"/>
  <c r="K57" i="4"/>
  <c r="C70" i="5"/>
  <c r="J15" i="4"/>
  <c r="CG65" i="5"/>
  <c r="N36" i="4"/>
  <c r="GH65" i="5"/>
  <c r="K39" i="4"/>
  <c r="AE69" i="5"/>
  <c r="I29" i="4"/>
  <c r="BG71" i="5"/>
  <c r="K43" i="4"/>
  <c r="BG75" i="5"/>
  <c r="O43" i="4"/>
  <c r="AE76" i="5"/>
  <c r="P29" i="4"/>
  <c r="C75" i="5"/>
  <c r="O15" i="4"/>
  <c r="CI72" i="5"/>
  <c r="L57" i="4"/>
  <c r="CI75" i="5"/>
  <c r="O57" i="4"/>
  <c r="BG70" i="5"/>
  <c r="J43" i="4"/>
  <c r="BG73" i="5"/>
  <c r="M43" i="4"/>
  <c r="BG72" i="5"/>
  <c r="L43" i="4"/>
  <c r="V10" i="4"/>
  <c r="T10" i="4"/>
  <c r="U10" i="4"/>
  <c r="C78" i="5"/>
  <c r="R15" i="4"/>
  <c r="ER65" i="5"/>
  <c r="L23" i="4"/>
  <c r="AE73" i="5"/>
  <c r="M29" i="4"/>
  <c r="CI73" i="5"/>
  <c r="M57" i="4"/>
  <c r="AX65" i="5"/>
  <c r="P21" i="4"/>
  <c r="DI65" i="5"/>
  <c r="H50" i="4"/>
  <c r="C68" i="5"/>
  <c r="H15" i="4"/>
  <c r="C71" i="5"/>
  <c r="K15" i="4"/>
  <c r="AE68" i="5"/>
  <c r="H29" i="4"/>
  <c r="AE70" i="5"/>
  <c r="J29" i="4"/>
  <c r="AE71" i="5"/>
  <c r="K29" i="4"/>
  <c r="CI69" i="5"/>
  <c r="I57" i="4"/>
  <c r="FS94" i="5"/>
  <c r="C72" i="5"/>
  <c r="L15" i="4"/>
  <c r="BG77" i="5"/>
  <c r="Q43" i="4"/>
  <c r="AE74" i="5"/>
  <c r="N29" i="4"/>
  <c r="EY65" i="5"/>
  <c r="CI78" i="5"/>
  <c r="R57" i="4"/>
  <c r="AE78" i="5"/>
  <c r="R29" i="4"/>
  <c r="BG68" i="5"/>
  <c r="H43" i="4"/>
  <c r="BG76" i="5"/>
  <c r="P43" i="4"/>
  <c r="AE72" i="5"/>
  <c r="L29" i="4"/>
  <c r="C79" i="5"/>
  <c r="S15" i="4"/>
  <c r="BG69" i="5"/>
  <c r="I43" i="4"/>
  <c r="CI76" i="5"/>
  <c r="P57" i="4"/>
  <c r="C73" i="5"/>
  <c r="C74" i="5"/>
  <c r="N15" i="4"/>
  <c r="T11" i="4"/>
  <c r="U6" i="4"/>
  <c r="V6" i="4"/>
  <c r="T6" i="4"/>
  <c r="CU65" i="5"/>
  <c r="BS65" i="5"/>
  <c r="BE65" i="5"/>
  <c r="V20" i="4"/>
  <c r="T20" i="4"/>
  <c r="U20" i="4"/>
  <c r="AJ65" i="5"/>
  <c r="H19" i="4"/>
  <c r="V8" i="4"/>
  <c r="T8" i="4"/>
  <c r="P5" i="4"/>
  <c r="S5" i="4"/>
  <c r="K5" i="4"/>
  <c r="Q5" i="4"/>
  <c r="H5" i="4"/>
  <c r="J5" i="4"/>
  <c r="L5" i="4"/>
  <c r="R5" i="4"/>
  <c r="I5" i="4"/>
  <c r="DP94" i="5"/>
  <c r="DP95" i="5"/>
  <c r="W9" i="4" s="1"/>
  <c r="X94" i="5"/>
  <c r="X95" i="5"/>
  <c r="GV95" i="5"/>
  <c r="W51" i="4" s="1"/>
  <c r="GV94" i="5"/>
  <c r="DW65" i="5"/>
  <c r="CV94" i="5"/>
  <c r="CV95" i="5"/>
  <c r="DB82" i="5"/>
  <c r="L95" i="5"/>
  <c r="L94" i="5"/>
  <c r="BH95" i="5"/>
  <c r="BH94" i="5"/>
  <c r="CF94" i="5"/>
  <c r="CF95" i="5"/>
  <c r="DD95" i="5"/>
  <c r="DD94" i="5"/>
  <c r="CN65" i="5"/>
  <c r="GH95" i="5"/>
  <c r="W39" i="4" s="1"/>
  <c r="GH94" i="5"/>
  <c r="CZ94" i="5"/>
  <c r="CZ95" i="5"/>
  <c r="DT95" i="5"/>
  <c r="DT94" i="5"/>
  <c r="EM94" i="5"/>
  <c r="EM95" i="5"/>
  <c r="CB94" i="5"/>
  <c r="CB95" i="5"/>
  <c r="FN95" i="5"/>
  <c r="FN94" i="5"/>
  <c r="FT82" i="5"/>
  <c r="AN94" i="5"/>
  <c r="AN95" i="5"/>
  <c r="CU94" i="5"/>
  <c r="CU95" i="5"/>
  <c r="W48" i="4" s="1"/>
  <c r="AZ95" i="5"/>
  <c r="AZ94" i="5"/>
  <c r="FF94" i="5"/>
  <c r="FF95" i="5"/>
  <c r="W25" i="4" s="1"/>
  <c r="O65" i="5"/>
  <c r="AB95" i="5"/>
  <c r="AB94" i="5"/>
  <c r="HA95" i="5"/>
  <c r="HA94" i="5"/>
  <c r="AC65" i="5"/>
  <c r="P95" i="5"/>
  <c r="P94" i="5"/>
  <c r="V82" i="5"/>
  <c r="GW95" i="5"/>
  <c r="GW94" i="5"/>
  <c r="HC82" i="5"/>
  <c r="H65" i="5"/>
  <c r="FR94" i="5"/>
  <c r="FR95" i="5"/>
  <c r="EY94" i="5"/>
  <c r="EY95" i="5"/>
  <c r="W24" i="4" s="1"/>
  <c r="EQ95" i="5"/>
  <c r="EQ94" i="5"/>
  <c r="DW94" i="5"/>
  <c r="DW95" i="5"/>
  <c r="W10" i="4" s="1"/>
  <c r="HE95" i="5"/>
  <c r="HE94" i="5"/>
  <c r="BT94" i="5"/>
  <c r="BT95" i="5"/>
  <c r="BZ82" i="5"/>
  <c r="AQ95" i="5"/>
  <c r="W20" i="4" s="1"/>
  <c r="AQ94" i="5"/>
  <c r="GD95" i="5"/>
  <c r="GD94" i="5"/>
  <c r="BE95" i="5"/>
  <c r="W22" i="4" s="1"/>
  <c r="BE94" i="5"/>
  <c r="O82" i="5"/>
  <c r="BP94" i="5"/>
  <c r="BP95" i="5"/>
  <c r="BS82" i="5"/>
  <c r="AQ65" i="5"/>
  <c r="AR95" i="5"/>
  <c r="AR94" i="5"/>
  <c r="AX82" i="5"/>
  <c r="DL94" i="5"/>
  <c r="DL95" i="5"/>
  <c r="HI95" i="5"/>
  <c r="HI94" i="5"/>
  <c r="BX95" i="5"/>
  <c r="BX94" i="5"/>
  <c r="EU94" i="5"/>
  <c r="EU95" i="5"/>
  <c r="GA95" i="5"/>
  <c r="W38" i="4" s="1"/>
  <c r="GA94" i="5"/>
  <c r="FC94" i="5"/>
  <c r="FC95" i="5"/>
  <c r="FV94" i="5"/>
  <c r="FV95" i="5"/>
  <c r="D95" i="5"/>
  <c r="D94" i="5"/>
  <c r="DX94" i="5"/>
  <c r="DX95" i="5"/>
  <c r="ED82" i="5"/>
  <c r="DP65" i="5"/>
  <c r="DH94" i="5"/>
  <c r="DH95" i="5"/>
  <c r="HJ82" i="5"/>
  <c r="AJ95" i="5"/>
  <c r="W19" i="4" s="1"/>
  <c r="AJ94" i="5"/>
  <c r="AV95" i="5"/>
  <c r="AV94" i="5"/>
  <c r="BL65" i="5"/>
  <c r="GS95" i="5"/>
  <c r="GS94" i="5"/>
  <c r="AF95" i="5"/>
  <c r="AF94" i="5"/>
  <c r="AC82" i="5"/>
  <c r="AJ105" i="5" l="1"/>
  <c r="AL105" i="5" s="1"/>
  <c r="AM105" i="5" s="1"/>
  <c r="M86" i="4" s="1"/>
  <c r="U7" i="4"/>
  <c r="AF74" i="4"/>
  <c r="T7" i="4"/>
  <c r="V7" i="4"/>
  <c r="AK103" i="5"/>
  <c r="CO103" i="5"/>
  <c r="BL79" i="5"/>
  <c r="H40" i="4"/>
  <c r="CN79" i="5"/>
  <c r="H54" i="4"/>
  <c r="H65" i="4"/>
  <c r="BM99" i="5"/>
  <c r="CO99" i="5"/>
  <c r="J97" i="5"/>
  <c r="K97" i="5" s="1"/>
  <c r="L83" i="4" s="1"/>
  <c r="I99" i="5"/>
  <c r="H13" i="4"/>
  <c r="T13" i="4" s="1"/>
  <c r="I79" i="5"/>
  <c r="CO79" i="5"/>
  <c r="H55" i="4"/>
  <c r="V55" i="4" s="1"/>
  <c r="BM79" i="5"/>
  <c r="H41" i="4"/>
  <c r="AD74" i="4"/>
  <c r="I103" i="5"/>
  <c r="AJ79" i="5"/>
  <c r="H26" i="4"/>
  <c r="AL97" i="5"/>
  <c r="AM97" i="5" s="1"/>
  <c r="L86" i="4" s="1"/>
  <c r="AK99" i="5"/>
  <c r="BM103" i="5"/>
  <c r="H12" i="4"/>
  <c r="H79" i="5"/>
  <c r="AK79" i="5"/>
  <c r="K27" i="4"/>
  <c r="CP97" i="5"/>
  <c r="CQ97" i="5" s="1"/>
  <c r="L87" i="4" s="1"/>
  <c r="BL95" i="5"/>
  <c r="W33" i="4" s="1"/>
  <c r="AL99" i="5"/>
  <c r="AM99" i="5" s="1"/>
  <c r="R86" i="4" s="1"/>
  <c r="BN99" i="5"/>
  <c r="Q84" i="4" s="1"/>
  <c r="AC74" i="4"/>
  <c r="I78" i="4"/>
  <c r="I77" i="4"/>
  <c r="L75" i="4"/>
  <c r="CG94" i="5"/>
  <c r="AL98" i="5"/>
  <c r="N86" i="4" s="1"/>
  <c r="ER94" i="5"/>
  <c r="CP99" i="5"/>
  <c r="BN98" i="5"/>
  <c r="BO98" i="5" s="1"/>
  <c r="O84" i="4" s="1"/>
  <c r="AD75" i="4"/>
  <c r="AH75" i="4"/>
  <c r="BL105" i="5"/>
  <c r="BN105" i="5" s="1"/>
  <c r="BO105" i="5" s="1"/>
  <c r="M84" i="4" s="1"/>
  <c r="CP98" i="5"/>
  <c r="CQ98" i="5" s="1"/>
  <c r="O87" i="4" s="1"/>
  <c r="J99" i="5"/>
  <c r="Q83" i="4" s="1"/>
  <c r="CN95" i="5"/>
  <c r="W47" i="4" s="1"/>
  <c r="J98" i="5"/>
  <c r="N83" i="4" s="1"/>
  <c r="BN97" i="5"/>
  <c r="K84" i="4" s="1"/>
  <c r="DI95" i="5"/>
  <c r="W50" i="4" s="1"/>
  <c r="AH76" i="4"/>
  <c r="H95" i="5"/>
  <c r="W5" i="4" s="1"/>
  <c r="H106" i="5"/>
  <c r="J106" i="5" s="1"/>
  <c r="K106" i="5" s="1"/>
  <c r="P83" i="4" s="1"/>
  <c r="AF75" i="4"/>
  <c r="AJ107" i="5"/>
  <c r="AL107" i="5" s="1"/>
  <c r="AM107" i="5" s="1"/>
  <c r="S86" i="4" s="1"/>
  <c r="AF76" i="4"/>
  <c r="AD76" i="4"/>
  <c r="AE75" i="4"/>
  <c r="CN105" i="5"/>
  <c r="CP105" i="5" s="1"/>
  <c r="I16" i="4"/>
  <c r="M65" i="4"/>
  <c r="J78" i="4"/>
  <c r="J77" i="4"/>
  <c r="AD73" i="4"/>
  <c r="V72" i="4"/>
  <c r="CN106" i="5"/>
  <c r="CP106" i="5" s="1"/>
  <c r="CQ106" i="5" s="1"/>
  <c r="P87" i="4" s="1"/>
  <c r="T78" i="4"/>
  <c r="T77" i="4"/>
  <c r="H105" i="5"/>
  <c r="J105" i="5" s="1"/>
  <c r="AF73" i="4"/>
  <c r="V74" i="4"/>
  <c r="I65" i="4"/>
  <c r="AJ106" i="5"/>
  <c r="AL106" i="5" s="1"/>
  <c r="AM106" i="5" s="1"/>
  <c r="P86" i="4" s="1"/>
  <c r="U78" i="4"/>
  <c r="U77" i="4"/>
  <c r="AE71" i="4"/>
  <c r="L73" i="4"/>
  <c r="V73" i="4"/>
  <c r="AE73" i="4"/>
  <c r="AC76" i="4"/>
  <c r="S78" i="4"/>
  <c r="S77" i="4"/>
  <c r="AE76" i="4"/>
  <c r="AD72" i="4"/>
  <c r="Q72" i="4"/>
  <c r="AH71" i="4"/>
  <c r="L76" i="4"/>
  <c r="H77" i="4"/>
  <c r="H78" i="4"/>
  <c r="AC71" i="4"/>
  <c r="L71" i="4"/>
  <c r="BL106" i="5"/>
  <c r="BN106" i="5" s="1"/>
  <c r="BO106" i="5" s="1"/>
  <c r="P84" i="4" s="1"/>
  <c r="V75" i="4"/>
  <c r="AG73" i="4"/>
  <c r="N77" i="4"/>
  <c r="AC75" i="4"/>
  <c r="N78" i="4"/>
  <c r="AG72" i="4"/>
  <c r="Q75" i="4"/>
  <c r="P77" i="4"/>
  <c r="P78" i="4"/>
  <c r="BL107" i="5"/>
  <c r="BN107" i="5" s="1"/>
  <c r="BO107" i="5" s="1"/>
  <c r="S84" i="4" s="1"/>
  <c r="H107" i="5"/>
  <c r="J107" i="5" s="1"/>
  <c r="K107" i="5" s="1"/>
  <c r="S83" i="4" s="1"/>
  <c r="O78" i="4"/>
  <c r="O77" i="4"/>
  <c r="AD71" i="4"/>
  <c r="L72" i="4"/>
  <c r="AF72" i="4"/>
  <c r="Q74" i="4"/>
  <c r="CN107" i="5"/>
  <c r="CP107" i="5" s="1"/>
  <c r="CQ107" i="5" s="1"/>
  <c r="S87" i="4" s="1"/>
  <c r="M78" i="4"/>
  <c r="Q71" i="4"/>
  <c r="AC72" i="4"/>
  <c r="M77" i="4"/>
  <c r="V76" i="4"/>
  <c r="AH73" i="4"/>
  <c r="AG75" i="4"/>
  <c r="Q76" i="4"/>
  <c r="AH72" i="4"/>
  <c r="L74" i="4"/>
  <c r="AF71" i="4"/>
  <c r="K78" i="4"/>
  <c r="K77" i="4"/>
  <c r="R77" i="4"/>
  <c r="R78" i="4"/>
  <c r="AC73" i="4"/>
  <c r="V71" i="4"/>
  <c r="Q73" i="4"/>
  <c r="AE72" i="4"/>
  <c r="L65" i="4"/>
  <c r="J65" i="4"/>
  <c r="D73" i="5"/>
  <c r="M17" i="4" s="1"/>
  <c r="M16" i="4"/>
  <c r="AF72" i="5"/>
  <c r="L31" i="4" s="1"/>
  <c r="L30" i="4"/>
  <c r="CJ76" i="5"/>
  <c r="P59" i="4" s="1"/>
  <c r="P58" i="4"/>
  <c r="D79" i="5"/>
  <c r="S17" i="4" s="1"/>
  <c r="S16" i="4"/>
  <c r="BH76" i="5"/>
  <c r="P45" i="4" s="1"/>
  <c r="P44" i="4"/>
  <c r="AF78" i="5"/>
  <c r="R31" i="4" s="1"/>
  <c r="R30" i="4"/>
  <c r="AF70" i="5"/>
  <c r="J31" i="4" s="1"/>
  <c r="J30" i="4"/>
  <c r="D71" i="5"/>
  <c r="K17" i="4" s="1"/>
  <c r="K16" i="4"/>
  <c r="D68" i="5"/>
  <c r="H17" i="4" s="1"/>
  <c r="H16" i="4"/>
  <c r="AF73" i="5"/>
  <c r="M31" i="4" s="1"/>
  <c r="M30" i="4"/>
  <c r="D78" i="5"/>
  <c r="R17" i="4" s="1"/>
  <c r="R16" i="4"/>
  <c r="BH73" i="5"/>
  <c r="M45" i="4" s="1"/>
  <c r="M44" i="4"/>
  <c r="CJ75" i="5"/>
  <c r="O59" i="4" s="1"/>
  <c r="O58" i="4"/>
  <c r="D75" i="5"/>
  <c r="O17" i="4" s="1"/>
  <c r="O16" i="4"/>
  <c r="BH75" i="5"/>
  <c r="O45" i="4" s="1"/>
  <c r="O44" i="4"/>
  <c r="AF69" i="5"/>
  <c r="I31" i="4" s="1"/>
  <c r="I30" i="4"/>
  <c r="CJ77" i="5"/>
  <c r="Q59" i="4" s="1"/>
  <c r="Q58" i="4"/>
  <c r="CJ74" i="5"/>
  <c r="N59" i="4" s="1"/>
  <c r="N58" i="4"/>
  <c r="BH74" i="5"/>
  <c r="N45" i="4" s="1"/>
  <c r="N44" i="4"/>
  <c r="D74" i="5"/>
  <c r="N17" i="4" s="1"/>
  <c r="N16" i="4"/>
  <c r="BH68" i="5"/>
  <c r="H45" i="4" s="1"/>
  <c r="H44" i="4"/>
  <c r="AF71" i="5"/>
  <c r="K31" i="4" s="1"/>
  <c r="K30" i="4"/>
  <c r="N65" i="4"/>
  <c r="T43" i="4"/>
  <c r="BH77" i="5"/>
  <c r="Q45" i="4" s="1"/>
  <c r="Q44" i="4"/>
  <c r="T29" i="4"/>
  <c r="AF76" i="5"/>
  <c r="P31" i="4" s="1"/>
  <c r="P30" i="4"/>
  <c r="CJ71" i="5"/>
  <c r="K59" i="4" s="1"/>
  <c r="K58" i="4"/>
  <c r="AF79" i="5"/>
  <c r="S31" i="4" s="1"/>
  <c r="S30" i="4"/>
  <c r="P65" i="4"/>
  <c r="BH69" i="5"/>
  <c r="I45" i="4" s="1"/>
  <c r="I44" i="4"/>
  <c r="CJ78" i="5"/>
  <c r="R59" i="4" s="1"/>
  <c r="R58" i="4"/>
  <c r="CJ69" i="5"/>
  <c r="I59" i="4" s="1"/>
  <c r="I58" i="4"/>
  <c r="AF68" i="5"/>
  <c r="H31" i="4" s="1"/>
  <c r="H30" i="4"/>
  <c r="CJ73" i="5"/>
  <c r="M59" i="4" s="1"/>
  <c r="M58" i="4"/>
  <c r="BH72" i="5"/>
  <c r="L45" i="4" s="1"/>
  <c r="L44" i="4"/>
  <c r="BH70" i="5"/>
  <c r="J45" i="4" s="1"/>
  <c r="J44" i="4"/>
  <c r="CJ72" i="5"/>
  <c r="L59" i="4" s="1"/>
  <c r="L58" i="4"/>
  <c r="BH71" i="5"/>
  <c r="K45" i="4" s="1"/>
  <c r="K44" i="4"/>
  <c r="AF75" i="5"/>
  <c r="O31" i="4" s="1"/>
  <c r="O30" i="4"/>
  <c r="BH78" i="5"/>
  <c r="R45" i="4" s="1"/>
  <c r="R44" i="4"/>
  <c r="BH79" i="5"/>
  <c r="S45" i="4" s="1"/>
  <c r="S44" i="4"/>
  <c r="D76" i="5"/>
  <c r="P17" i="4" s="1"/>
  <c r="P16" i="4"/>
  <c r="T57" i="4"/>
  <c r="Q65" i="4"/>
  <c r="T5" i="4"/>
  <c r="S65" i="4"/>
  <c r="AF74" i="5"/>
  <c r="N31" i="4" s="1"/>
  <c r="N30" i="4"/>
  <c r="D72" i="5"/>
  <c r="L17" i="4" s="1"/>
  <c r="L16" i="4"/>
  <c r="K65" i="4"/>
  <c r="T15" i="4"/>
  <c r="R65" i="4"/>
  <c r="O65" i="4"/>
  <c r="D70" i="5"/>
  <c r="J17" i="4" s="1"/>
  <c r="J16" i="4"/>
  <c r="CJ79" i="5"/>
  <c r="S59" i="4" s="1"/>
  <c r="S58" i="4"/>
  <c r="CJ70" i="5"/>
  <c r="J59" i="4" s="1"/>
  <c r="J58" i="4"/>
  <c r="AF77" i="5"/>
  <c r="Q31" i="4" s="1"/>
  <c r="Q30" i="4"/>
  <c r="CJ68" i="5"/>
  <c r="H59" i="4" s="1"/>
  <c r="H58" i="4"/>
  <c r="D77" i="5"/>
  <c r="Q17" i="4" s="1"/>
  <c r="Q16" i="4"/>
  <c r="M68" i="4"/>
  <c r="T19" i="4"/>
  <c r="U19" i="4"/>
  <c r="V19" i="4"/>
  <c r="U23" i="4"/>
  <c r="V35" i="4"/>
  <c r="U35" i="4"/>
  <c r="T35" i="4"/>
  <c r="V5" i="4"/>
  <c r="O68" i="4"/>
  <c r="U21" i="4"/>
  <c r="V25" i="4"/>
  <c r="U36" i="4"/>
  <c r="T33" i="4"/>
  <c r="U33" i="4"/>
  <c r="V33" i="4"/>
  <c r="V21" i="4"/>
  <c r="T21" i="4"/>
  <c r="V51" i="4"/>
  <c r="T51" i="4"/>
  <c r="U51" i="4"/>
  <c r="V50" i="4"/>
  <c r="U50" i="4"/>
  <c r="T50" i="4"/>
  <c r="T49" i="4"/>
  <c r="U49" i="4"/>
  <c r="V49" i="4"/>
  <c r="U34" i="4"/>
  <c r="U5" i="4"/>
  <c r="V22" i="4"/>
  <c r="V37" i="4"/>
  <c r="T37" i="4"/>
  <c r="U37" i="4"/>
  <c r="T25" i="4"/>
  <c r="U25" i="4"/>
  <c r="U24" i="4"/>
  <c r="T24" i="4"/>
  <c r="T23" i="4"/>
  <c r="V23" i="4"/>
  <c r="U53" i="4"/>
  <c r="T53" i="4"/>
  <c r="V53" i="4"/>
  <c r="U38" i="4"/>
  <c r="T48" i="4"/>
  <c r="U48" i="4"/>
  <c r="V48" i="4"/>
  <c r="T36" i="4"/>
  <c r="V36" i="4"/>
  <c r="T34" i="4"/>
  <c r="V34" i="4"/>
  <c r="V24" i="4"/>
  <c r="U22" i="4"/>
  <c r="T22" i="4"/>
  <c r="U52" i="4"/>
  <c r="T52" i="4"/>
  <c r="V52" i="4"/>
  <c r="V47" i="4"/>
  <c r="T47" i="4"/>
  <c r="U47" i="4"/>
  <c r="V39" i="4"/>
  <c r="U39" i="4"/>
  <c r="T39" i="4"/>
  <c r="V38" i="4"/>
  <c r="T38" i="4"/>
  <c r="N68" i="4"/>
  <c r="O95" i="5"/>
  <c r="W6" i="4" s="1"/>
  <c r="O94" i="5"/>
  <c r="HC95" i="5"/>
  <c r="W52" i="4" s="1"/>
  <c r="HC94" i="5"/>
  <c r="FT95" i="5"/>
  <c r="FT94" i="5"/>
  <c r="AX95" i="5"/>
  <c r="W21" i="4" s="1"/>
  <c r="AX94" i="5"/>
  <c r="BS95" i="5"/>
  <c r="W34" i="4" s="1"/>
  <c r="BS94" i="5"/>
  <c r="BZ94" i="5"/>
  <c r="BZ95" i="5"/>
  <c r="W35" i="4" s="1"/>
  <c r="V94" i="5"/>
  <c r="V95" i="5"/>
  <c r="W7" i="4" s="1"/>
  <c r="ED94" i="5"/>
  <c r="ED95" i="5"/>
  <c r="W11" i="4" s="1"/>
  <c r="AC95" i="5"/>
  <c r="W8" i="4" s="1"/>
  <c r="AC94" i="5"/>
  <c r="HJ95" i="5"/>
  <c r="W53" i="4" s="1"/>
  <c r="HJ94" i="5"/>
  <c r="DB94" i="5"/>
  <c r="DB95" i="5"/>
  <c r="W49" i="4" s="1"/>
  <c r="K86" i="4" l="1"/>
  <c r="N87" i="4"/>
  <c r="N88" i="4" s="1"/>
  <c r="K83" i="4"/>
  <c r="K85" i="4" s="1"/>
  <c r="Q86" i="4"/>
  <c r="T65" i="4"/>
  <c r="K87" i="4"/>
  <c r="BO99" i="5"/>
  <c r="R84" i="4" s="1"/>
  <c r="BO97" i="5"/>
  <c r="L84" i="4" s="1"/>
  <c r="L85" i="4" s="1"/>
  <c r="AM98" i="5"/>
  <c r="O86" i="4" s="1"/>
  <c r="O88" i="4" s="1"/>
  <c r="CP100" i="5"/>
  <c r="CQ100" i="5" s="1"/>
  <c r="T87" i="4" s="1"/>
  <c r="AL100" i="5"/>
  <c r="AM100" i="5" s="1"/>
  <c r="T86" i="4" s="1"/>
  <c r="N84" i="4"/>
  <c r="N85" i="4" s="1"/>
  <c r="Q87" i="4"/>
  <c r="L66" i="4"/>
  <c r="CQ99" i="5"/>
  <c r="R87" i="4" s="1"/>
  <c r="R88" i="4" s="1"/>
  <c r="L88" i="4"/>
  <c r="J100" i="5"/>
  <c r="K100" i="5" s="1"/>
  <c r="T83" i="4" s="1"/>
  <c r="S88" i="4"/>
  <c r="BN100" i="5"/>
  <c r="BO100" i="5" s="1"/>
  <c r="T84" i="4" s="1"/>
  <c r="K98" i="5"/>
  <c r="O83" i="4" s="1"/>
  <c r="O85" i="4" s="1"/>
  <c r="K99" i="5"/>
  <c r="R83" i="4" s="1"/>
  <c r="P88" i="4"/>
  <c r="J108" i="5"/>
  <c r="K108" i="5" s="1"/>
  <c r="U83" i="4" s="1"/>
  <c r="K105" i="5"/>
  <c r="M83" i="4" s="1"/>
  <c r="M85" i="4" s="1"/>
  <c r="AL108" i="5"/>
  <c r="AM108" i="5" s="1"/>
  <c r="U86" i="4" s="1"/>
  <c r="P85" i="4"/>
  <c r="CP108" i="5"/>
  <c r="CQ108" i="5" s="1"/>
  <c r="U87" i="4" s="1"/>
  <c r="CQ105" i="5"/>
  <c r="M87" i="4" s="1"/>
  <c r="M88" i="4" s="1"/>
  <c r="S85" i="4"/>
  <c r="BN108" i="5"/>
  <c r="BO108" i="5" s="1"/>
  <c r="U84" i="4" s="1"/>
  <c r="Q85" i="4"/>
  <c r="L67" i="4"/>
  <c r="W75" i="4"/>
  <c r="Q66" i="4"/>
  <c r="W76" i="4"/>
  <c r="Q78" i="4"/>
  <c r="Q79" i="4" s="1"/>
  <c r="V78" i="4"/>
  <c r="V79" i="4" s="1"/>
  <c r="W73" i="4"/>
  <c r="W71" i="4"/>
  <c r="V77" i="4"/>
  <c r="L77" i="4"/>
  <c r="W74" i="4"/>
  <c r="Q77" i="4"/>
  <c r="L78" i="4"/>
  <c r="L79" i="4" s="1"/>
  <c r="W72" i="4"/>
  <c r="T45" i="4"/>
  <c r="R67" i="4"/>
  <c r="T59" i="4"/>
  <c r="P66" i="4"/>
  <c r="I66" i="4"/>
  <c r="I67" i="4"/>
  <c r="J67" i="4"/>
  <c r="Q67" i="4"/>
  <c r="T30" i="4"/>
  <c r="N67" i="4"/>
  <c r="O67" i="4"/>
  <c r="K67" i="4"/>
  <c r="S67" i="4"/>
  <c r="H67" i="4"/>
  <c r="T17" i="4"/>
  <c r="T58" i="4"/>
  <c r="J66" i="4"/>
  <c r="T31" i="4"/>
  <c r="T44" i="4"/>
  <c r="R66" i="4"/>
  <c r="H66" i="4"/>
  <c r="T16" i="4"/>
  <c r="M66" i="4"/>
  <c r="P67" i="4"/>
  <c r="N66" i="4"/>
  <c r="O66" i="4"/>
  <c r="K66" i="4"/>
  <c r="S66" i="4"/>
  <c r="M67" i="4"/>
  <c r="P68" i="4"/>
  <c r="V27" i="4"/>
  <c r="T27" i="4"/>
  <c r="H68" i="4"/>
  <c r="K68" i="4"/>
  <c r="I68" i="4"/>
  <c r="T12" i="4"/>
  <c r="T41" i="4"/>
  <c r="V41" i="4"/>
  <c r="U41" i="4"/>
  <c r="U27" i="4"/>
  <c r="V54" i="4"/>
  <c r="U54" i="4"/>
  <c r="T54" i="4"/>
  <c r="V26" i="4"/>
  <c r="T55" i="4"/>
  <c r="U55" i="4"/>
  <c r="U26" i="4"/>
  <c r="T26" i="4"/>
  <c r="L68" i="4"/>
  <c r="R68" i="4"/>
  <c r="U13" i="4"/>
  <c r="V13" i="4"/>
  <c r="U12" i="4"/>
  <c r="S68" i="4"/>
  <c r="J68" i="4"/>
  <c r="V12" i="4"/>
  <c r="Q68" i="4"/>
  <c r="V40" i="4"/>
  <c r="U40" i="4"/>
  <c r="T40" i="4"/>
  <c r="R85" i="4" l="1"/>
  <c r="K88" i="4"/>
  <c r="Q88" i="4"/>
  <c r="T66" i="4"/>
  <c r="T68" i="4"/>
  <c r="T67" i="4"/>
  <c r="T88" i="4"/>
  <c r="W77" i="4"/>
  <c r="X77" i="4" s="1"/>
  <c r="T85" i="4"/>
  <c r="U85" i="4"/>
  <c r="U88" i="4"/>
  <c r="W79" i="4"/>
  <c r="X79" i="4" s="1"/>
</calcChain>
</file>

<file path=xl/sharedStrings.xml><?xml version="1.0" encoding="utf-8"?>
<sst xmlns="http://schemas.openxmlformats.org/spreadsheetml/2006/main" count="1014" uniqueCount="279">
  <si>
    <t>Traffic Volume Counts</t>
  </si>
  <si>
    <t>ชื่อจุดสำรวจ</t>
  </si>
  <si>
    <t>หมายเลขสัญญาณไฟจราจร</t>
  </si>
  <si>
    <t>พิกัด (ละติจูด,ลองจิจูด)</t>
  </si>
  <si>
    <t>ถนนที่สำรวจ</t>
  </si>
  <si>
    <t>วัน-เดือน-ปี ที่สำรวจ</t>
  </si>
  <si>
    <t>สภาพอากาศ</t>
  </si>
  <si>
    <t>ประเภททางแยก</t>
  </si>
  <si>
    <t>NB road_ชื่อถนน</t>
  </si>
  <si>
    <t>EB road_ชื่อถนน</t>
  </si>
  <si>
    <t>SB road_ชื่อถนน</t>
  </si>
  <si>
    <t>WB road_ชื่อถนน</t>
  </si>
  <si>
    <t>SELECTED OBJECT CLASSES</t>
  </si>
  <si>
    <t>รถยนต์/ ตู้,ปิคอัพ/ รถเมล์ใหญ่/ รถเมล์เล็ก/ รถบรรทุก/ รถสามล้อ</t>
  </si>
  <si>
    <t>PCU VALUES</t>
  </si>
  <si>
    <t>CAR</t>
  </si>
  <si>
    <t>VAN</t>
  </si>
  <si>
    <t>BUS</t>
  </si>
  <si>
    <t>TRUCK</t>
  </si>
  <si>
    <t>HEAVY TRUCK</t>
  </si>
  <si>
    <t>TRI-CYCLE</t>
  </si>
  <si>
    <t>ทิศทาง</t>
  </si>
  <si>
    <t>NB1</t>
  </si>
  <si>
    <t>NB2</t>
  </si>
  <si>
    <t>NB3</t>
  </si>
  <si>
    <t>NB4</t>
  </si>
  <si>
    <t>EB5</t>
  </si>
  <si>
    <t>EB6</t>
  </si>
  <si>
    <t>EB7</t>
  </si>
  <si>
    <t>EB8</t>
  </si>
  <si>
    <t>SB9</t>
  </si>
  <si>
    <t>SB10</t>
  </si>
  <si>
    <t>SB11</t>
  </si>
  <si>
    <t>SB12</t>
  </si>
  <si>
    <t>WB13</t>
  </si>
  <si>
    <t>WB14</t>
  </si>
  <si>
    <t>WB15</t>
  </si>
  <si>
    <t>WB16</t>
  </si>
  <si>
    <t>NB*1</t>
  </si>
  <si>
    <t>NB2*</t>
  </si>
  <si>
    <t>NB*3</t>
  </si>
  <si>
    <t>EB*5</t>
  </si>
  <si>
    <t>EB6*</t>
  </si>
  <si>
    <t>EB*7</t>
  </si>
  <si>
    <t>SB*9</t>
  </si>
  <si>
    <t>SB10*</t>
  </si>
  <si>
    <t>SB*11</t>
  </si>
  <si>
    <t>WB*13</t>
  </si>
  <si>
    <t>WB14*</t>
  </si>
  <si>
    <t>WB*15</t>
  </si>
  <si>
    <t>เวลา</t>
  </si>
  <si>
    <t>รถยนต์</t>
  </si>
  <si>
    <t>ตู้,ปิคอัพ</t>
  </si>
  <si>
    <t>เมล์ใหญ่</t>
  </si>
  <si>
    <t>เมล์เล็ก</t>
  </si>
  <si>
    <t>บรรทุก</t>
  </si>
  <si>
    <t>สามล้อ</t>
  </si>
  <si>
    <t>SUM</t>
  </si>
  <si>
    <t>7.00-7.15</t>
  </si>
  <si>
    <t>7.15-7.30</t>
  </si>
  <si>
    <t>7.30-7.45</t>
  </si>
  <si>
    <t>7.45-8.00</t>
  </si>
  <si>
    <t>8.00-8.15</t>
  </si>
  <si>
    <t>8.15-8.30</t>
  </si>
  <si>
    <t>8.30-8.45</t>
  </si>
  <si>
    <t>8.45-9.00</t>
  </si>
  <si>
    <t>9.00-9.15</t>
  </si>
  <si>
    <t>9.15-9.30</t>
  </si>
  <si>
    <t>9.30-9.45</t>
  </si>
  <si>
    <t>9.45-10.00</t>
  </si>
  <si>
    <t>10.00-10.15</t>
  </si>
  <si>
    <t>10.15-10.30</t>
  </si>
  <si>
    <t>10.30-10.45</t>
  </si>
  <si>
    <t>10.45-11.00</t>
  </si>
  <si>
    <t>11.00-11.15</t>
  </si>
  <si>
    <t>11.15-11.30</t>
  </si>
  <si>
    <t>11.30-11.45</t>
  </si>
  <si>
    <t>11.45-12.00</t>
  </si>
  <si>
    <t>12.00-12.15</t>
  </si>
  <si>
    <t>12.15-12.30</t>
  </si>
  <si>
    <t>12.30-12.45</t>
  </si>
  <si>
    <t>12.45-13.00</t>
  </si>
  <si>
    <t>13.00-13.15</t>
  </si>
  <si>
    <t>13.15-13.30</t>
  </si>
  <si>
    <t>13.30-13.45</t>
  </si>
  <si>
    <t>13.45-14.00</t>
  </si>
  <si>
    <t>14.00-14.15</t>
  </si>
  <si>
    <t>14.15-14.30</t>
  </si>
  <si>
    <t>14.30-14.45</t>
  </si>
  <si>
    <t>14.45-15.00</t>
  </si>
  <si>
    <t>15.00-15.15</t>
  </si>
  <si>
    <t>15.15-15.30</t>
  </si>
  <si>
    <t>15.30-15.45</t>
  </si>
  <si>
    <t>15.45-16.00</t>
  </si>
  <si>
    <t>16.00-16.15</t>
  </si>
  <si>
    <t>16.15-16.30</t>
  </si>
  <si>
    <t>16.30-16.45</t>
  </si>
  <si>
    <t>16.45-17.00</t>
  </si>
  <si>
    <t>17.00-17.15</t>
  </si>
  <si>
    <t>17.15-17.30</t>
  </si>
  <si>
    <t>17.30-17.45</t>
  </si>
  <si>
    <t>17.45-18.00</t>
  </si>
  <si>
    <t>18.00-18.15</t>
  </si>
  <si>
    <t>18.15-18.30</t>
  </si>
  <si>
    <t>18.30-18.45</t>
  </si>
  <si>
    <t>18.45-19.00</t>
  </si>
  <si>
    <t>NB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</si>
  <si>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</si>
  <si>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</si>
  <si>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</si>
  <si>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</si>
  <si>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</si>
  <si>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</si>
  <si>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</si>
  <si>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</si>
  <si>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</si>
  <si>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</si>
  <si>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</si>
  <si>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</si>
  <si>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</si>
  <si>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</si>
  <si>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</si>
  <si>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</si>
  <si>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</si>
  <si>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</si>
  <si>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</si>
  <si>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</si>
  <si>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</si>
  <si>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</si>
  <si>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</si>
  <si>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</si>
  <si>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</si>
  <si>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</si>
  <si>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</si>
  <si>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</si>
  <si>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</si>
  <si>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</si>
  <si>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</si>
  <si>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</si>
  <si>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</si>
  <si>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</si>
  <si>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</si>
  <si>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 xml:space="preserve"> </t>
  </si>
  <si>
    <t>7.00-8.00</t>
  </si>
  <si>
    <t>8.01-9.00</t>
  </si>
  <si>
    <t>9.01-10.00</t>
  </si>
  <si>
    <t>10.01-11.00</t>
  </si>
  <si>
    <t>11.01-12.00</t>
  </si>
  <si>
    <t>12.01-13.00</t>
  </si>
  <si>
    <t>13.01-14.00</t>
  </si>
  <si>
    <t>14.01-15.00</t>
  </si>
  <si>
    <t>15.01-16.00</t>
  </si>
  <si>
    <t>16.01-17.00</t>
  </si>
  <si>
    <t>17.01-18.00</t>
  </si>
  <si>
    <t>18.01-19.00</t>
  </si>
  <si>
    <t>EB</t>
  </si>
  <si>
    <t>SB</t>
  </si>
  <si>
    <t>WB</t>
  </si>
  <si>
    <t xml:space="preserve">ชื่อทางแยก </t>
  </si>
  <si>
    <t>ข้อมูลปริมาณการจราจรบริเวณทางแยกในกรุงเทพมหานคร</t>
  </si>
  <si>
    <t xml:space="preserve"> ถนน</t>
  </si>
  <si>
    <t>หมายเลข</t>
  </si>
  <si>
    <t>วันที่</t>
  </si>
  <si>
    <t>ปริมาณการจราจรแต่ละช่วงเวลา (คัน/ชม.)</t>
  </si>
  <si>
    <t>(ไม่รวมรถจักรยานยนต์)</t>
  </si>
  <si>
    <t>ปริมาณรถ</t>
  </si>
  <si>
    <t>เฉลี่ย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</si>
  <si>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</si>
  <si>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</si>
  <si>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</si>
  <si>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</si>
  <si>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</si>
  <si>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</si>
  <si>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</si>
  <si>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</si>
  <si>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</si>
  <si>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</si>
  <si>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</si>
  <si>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</si>
  <si>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รวม</t>
  </si>
  <si>
    <t>ค่าต่ำสุด</t>
  </si>
  <si>
    <t>ค่าสูงสุด</t>
  </si>
  <si>
    <t>PCU/HOUR</t>
  </si>
  <si>
    <t>1*</t>
  </si>
  <si>
    <t>2*</t>
  </si>
  <si>
    <t>3*</t>
  </si>
  <si>
    <t>เข้า</t>
  </si>
  <si>
    <t>ออก</t>
  </si>
  <si>
    <t>นาที</t>
  </si>
  <si>
    <t>7.-</t>
  </si>
  <si>
    <t>8.-</t>
  </si>
  <si>
    <t>9.-</t>
  </si>
  <si>
    <t>10.-</t>
  </si>
  <si>
    <t>11.-</t>
  </si>
  <si>
    <t>12.-</t>
  </si>
  <si>
    <t>13.-</t>
  </si>
  <si>
    <t>14.-</t>
  </si>
  <si>
    <t>15.-</t>
  </si>
  <si>
    <t>16.-</t>
  </si>
  <si>
    <t>17.-</t>
  </si>
  <si>
    <t>18.-</t>
  </si>
  <si>
    <t>QL (เมตร)</t>
  </si>
  <si>
    <t>5*</t>
  </si>
  <si>
    <t>6*</t>
  </si>
  <si>
    <t>7*</t>
  </si>
  <si>
    <t xml:space="preserve">    </t>
  </si>
  <si>
    <t>9*</t>
  </si>
  <si>
    <t>10*</t>
  </si>
  <si>
    <t>11*</t>
  </si>
  <si>
    <t>13*</t>
  </si>
  <si>
    <t>14*</t>
  </si>
  <si>
    <t>15*</t>
  </si>
  <si>
    <t>หมายเหตุ :</t>
  </si>
  <si>
    <t>QL = +300 หมายถึง 300 เมตรขึ้นไป</t>
  </si>
  <si>
    <t>QL = -50 หมายถึง น้อยกว่า 50 เมตร</t>
  </si>
  <si>
    <t xml:space="preserve">   ผู้ตรวจ........................วันที่........./......../........</t>
  </si>
  <si>
    <t>ขอสงวนสิทธิ์โดย สำนักการจราจรและขนส่ง กรุงเทพมหานคร</t>
  </si>
  <si>
    <t xml:space="preserve">   ผู้พิมพ์.........................วันที่........./......../........</t>
  </si>
  <si>
    <t>หากนำข้อมูลไปใช้ขอให้อ้างอิงแหล่งที่มาด้วย</t>
  </si>
  <si>
    <t>รวมทุกทิศทาง</t>
  </si>
  <si>
    <t>(ไม่รวม รถจักรยานยนต์)</t>
  </si>
  <si>
    <t>ชม.</t>
  </si>
  <si>
    <t>ประเภท/ทิศทาง</t>
  </si>
  <si>
    <t>NB 7-9</t>
  </si>
  <si>
    <t>EB 7-9</t>
  </si>
  <si>
    <t>SB 7-9</t>
  </si>
  <si>
    <t>WB 7-9</t>
  </si>
  <si>
    <t>NB 9-17</t>
  </si>
  <si>
    <t>EB 9-17</t>
  </si>
  <si>
    <t>SB 9-17</t>
  </si>
  <si>
    <t>WB 9-17</t>
  </si>
  <si>
    <t>NB 17-19</t>
  </si>
  <si>
    <t>EB 17-19</t>
  </si>
  <si>
    <t>SB 17-19</t>
  </si>
  <si>
    <t>WB 17-19</t>
  </si>
  <si>
    <t>nb+sb</t>
  </si>
  <si>
    <t>7-9</t>
  </si>
  <si>
    <t>รถตู้,ปิคอัพ</t>
  </si>
  <si>
    <t>9-16</t>
  </si>
  <si>
    <t>16-19</t>
  </si>
  <si>
    <t>eb+wb</t>
  </si>
  <si>
    <t>ต่อชั่วโมง</t>
  </si>
  <si>
    <t xml:space="preserve">รวม </t>
  </si>
  <si>
    <t xml:space="preserve">PCU </t>
  </si>
  <si>
    <t>PCU /HOUR</t>
  </si>
  <si>
    <t>7.00-9.00</t>
  </si>
  <si>
    <t>9.00-17.00</t>
  </si>
  <si>
    <t>17.00-19.00</t>
  </si>
  <si>
    <t>ปริมาณการจราจรรถทุกชนิดบนถนนแต่ละเส้น  (หน่วยเป็นคัน)</t>
  </si>
  <si>
    <t>ชื่อถนน</t>
  </si>
  <si>
    <t>เวลาเร่งด่วนเช้า 7-9</t>
  </si>
  <si>
    <t>นอกเวลาเร่งด่วน 9-17</t>
  </si>
  <si>
    <t>เวลาเร่งด่วนเย็น 17-19</t>
  </si>
  <si>
    <t>ตลอดวัน 7-19</t>
  </si>
  <si>
    <t>7 - 9</t>
  </si>
  <si>
    <t>คัน/ช.ม.</t>
  </si>
  <si>
    <t>pcu/hour</t>
  </si>
  <si>
    <t>9 - 17</t>
  </si>
  <si>
    <t>17 - 19</t>
  </si>
  <si>
    <t>sum</t>
  </si>
  <si>
    <t>minute</t>
  </si>
  <si>
    <t>PCU</t>
  </si>
  <si>
    <t>average</t>
  </si>
  <si>
    <t>ปริมาณการจราจรแยกประเภท (ช่วงเวลาเร่งด่วน และนอกเวลาเร่งด่วน)</t>
  </si>
  <si>
    <t>PCU-เข้า</t>
  </si>
  <si>
    <t>PCU-ออก</t>
  </si>
  <si>
    <t>ขาเข้า</t>
  </si>
  <si>
    <t>ขาออก</t>
  </si>
  <si>
    <t>รวม 7 - 19</t>
  </si>
  <si>
    <t xml:space="preserve">    NB</t>
  </si>
  <si>
    <t>ปกติ</t>
  </si>
  <si>
    <t>สี่แยก</t>
  </si>
  <si>
    <t>หลักสี่</t>
  </si>
  <si>
    <t>500</t>
  </si>
  <si>
    <t>13.884608  100.580908</t>
  </si>
  <si>
    <t>แจ้งวัฒนะ - กำแพงเพชร</t>
  </si>
  <si>
    <t>20 พฤษภาคม 2569</t>
  </si>
  <si>
    <t>ถนนกำแพงเพชร 6</t>
  </si>
  <si>
    <t>ถนนแจ้งวัฒนะ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</si>
</sst>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(&quot;฿&quot;* #,##0.00_);_(&quot;฿&quot;* \(#,##0.00\);_(&quot;฿&quot;* &quot;-&quot;??_);_(@_)"/>
    <numFmt numFmtId="188" formatCode="m\-d"/>
  </numFmts>
  <fonts count="46" x14ac:knownFonts="1">
    <font>
      <sz val="10"/>
      <color rgb="FF000000"/>
      <name val="Sarabun"/>
      <scheme val="minor"/>
    </font>
    <font>
      <sz val="10"/>
      <color theme="1"/>
      <name val="Sarabun"/>
    </font>
    <font>
      <b/>
      <sz val="10"/>
      <color theme="0"/>
      <name val="Sarabun"/>
    </font>
    <font>
      <sz val="10"/>
      <color theme="0"/>
      <name val="Sarabun"/>
    </font>
    <font>
      <b/>
      <sz val="9"/>
      <color theme="0"/>
      <name val="Sarabun"/>
    </font>
    <font>
      <sz val="9"/>
      <color theme="1"/>
      <name val="Sarabun"/>
    </font>
    <font>
      <b/>
      <sz val="9"/>
      <color theme="1"/>
      <name val="Sarabun"/>
    </font>
    <font>
      <sz val="9"/>
      <color rgb="FFCC0000"/>
      <name val="Sarabun"/>
    </font>
    <font>
      <b/>
      <sz val="9"/>
      <color rgb="FFCC0000"/>
      <name val="Sarabun"/>
    </font>
    <font>
      <b/>
      <sz val="9"/>
      <color rgb="FFFFFFFF"/>
      <name val="Sarabun"/>
    </font>
    <font>
      <sz val="10"/>
      <name val="Arial"/>
      <family val="2"/>
    </font>
    <font>
      <sz val="15"/>
      <name val="TH Sarabun New"/>
      <family val="2"/>
    </font>
    <font>
      <sz val="14"/>
      <color theme="1"/>
      <name val="TH Sarabun New"/>
      <family val="2"/>
    </font>
    <font>
      <b/>
      <sz val="14"/>
      <color theme="1"/>
      <name val="TH Sarabun New"/>
      <family val="2"/>
    </font>
    <font>
      <sz val="14"/>
      <color rgb="FF000000"/>
      <name val="TH Sarabun New"/>
      <family val="2"/>
    </font>
    <font>
      <sz val="14"/>
      <name val="TH Sarabun New"/>
      <family val="2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16"/>
      <color rgb="FF000000"/>
      <name val="TH Sarabun New"/>
      <family val="2"/>
    </font>
    <font>
      <sz val="16"/>
      <name val="TH Sarabun New"/>
      <family val="2"/>
    </font>
    <font>
      <sz val="15"/>
      <color theme="1"/>
      <name val="TH Sarabun New"/>
      <family val="2"/>
    </font>
    <font>
      <b/>
      <sz val="15"/>
      <color theme="1"/>
      <name val="TH Sarabun New"/>
      <family val="2"/>
    </font>
    <font>
      <sz val="15"/>
      <color rgb="FF000000"/>
      <name val="TH Sarabun New"/>
      <family val="2"/>
    </font>
    <font>
      <sz val="15"/>
      <color rgb="FFFF0000"/>
      <name val="TH Sarabun New"/>
      <family val="2"/>
    </font>
    <font>
      <sz val="9"/>
      <color rgb="FF000000"/>
      <name val="Sarabun"/>
      <scheme val="minor"/>
    </font>
    <font>
      <sz val="9"/>
      <name val="Sarabun"/>
    </font>
    <font>
      <sz val="9"/>
      <color rgb="FF000000"/>
      <name val="Sarabun"/>
    </font>
    <font>
      <b/>
      <sz val="9"/>
      <color rgb="FF002060"/>
      <name val="Sarabun"/>
    </font>
    <font>
      <b/>
      <sz val="9"/>
      <color rgb="FF5D2884"/>
      <name val="Sarabun"/>
    </font>
    <font>
      <b/>
      <sz val="12"/>
      <color theme="1"/>
      <name val="TH Sarabun New"/>
      <family val="2"/>
    </font>
    <font>
      <b/>
      <sz val="8"/>
      <color theme="0"/>
      <name val="Sarabun"/>
    </font>
    <font>
      <b/>
      <sz val="8"/>
      <color theme="1"/>
      <name val="Sarabun"/>
    </font>
    <font>
      <b/>
      <sz val="8"/>
      <color rgb="FFCC0000"/>
      <name val="Sarabun"/>
    </font>
    <font>
      <sz val="8"/>
      <color rgb="FF000000"/>
      <name val="Sarabun"/>
      <scheme val="minor"/>
    </font>
    <font>
      <sz val="8"/>
      <name val="Sarabun"/>
      <scheme val="minor"/>
    </font>
    <font>
      <b/>
      <sz val="18"/>
      <color theme="1"/>
      <name val="TH Sarabun New"/>
      <family val="2"/>
    </font>
    <font>
      <sz val="14"/>
      <name val="TH SarabunPSK"/>
      <family val="2"/>
    </font>
    <font>
      <b/>
      <sz val="14"/>
      <name val="TH Sarabun New"/>
      <family val="2"/>
    </font>
    <font>
      <b/>
      <sz val="14"/>
      <name val="TH Sarabun New"/>
      <family val="2"/>
      <charset val="222"/>
    </font>
    <font>
      <b/>
      <sz val="16"/>
      <name val="TH Sarabun New"/>
      <family val="2"/>
      <charset val="222"/>
    </font>
    <font>
      <b/>
      <sz val="10"/>
      <color rgb="FF000000"/>
      <name val="Sarabun"/>
      <scheme val="minor"/>
    </font>
    <font>
      <sz val="12"/>
      <name val="TH Sarabun New"/>
      <family val="2"/>
    </font>
    <font>
      <b/>
      <sz val="14"/>
      <name val="Angsana New"/>
      <family val="1"/>
    </font>
    <font>
      <sz val="10"/>
      <name val="TH Sarabun New"/>
      <family val="2"/>
    </font>
    <font>
      <sz val="15"/>
      <name val="Angsana New"/>
      <family val="1"/>
    </font>
    <font>
      <b/>
      <sz val="14"/>
      <color theme="1"/>
      <name val="Angsana New"/>
      <family val="1"/>
    </font>
  </fonts>
  <fills count="46">
    <fill>
      <patternFill patternType="none"/>
    </fill>
    <fill>
      <patternFill patternType="gray125"/>
    </fill>
    <fill>
      <patternFill patternType="solid">
        <fgColor rgb="FFDDF0FF"/>
        <bgColor rgb="FFDDF0FF"/>
      </patternFill>
    </fill>
    <fill>
      <patternFill patternType="solid">
        <fgColor rgb="FFEADCF4"/>
        <bgColor rgb="FFEADCF4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649B3F"/>
        <bgColor rgb="FF649B3F"/>
      </patternFill>
    </fill>
    <fill>
      <patternFill patternType="solid">
        <fgColor rgb="FF25A2FF"/>
        <bgColor rgb="FF25A2FF"/>
      </patternFill>
    </fill>
    <fill>
      <patternFill patternType="solid">
        <fgColor rgb="FFFF99FF"/>
        <bgColor rgb="FFFF99FF"/>
      </patternFill>
    </fill>
    <fill>
      <patternFill patternType="solid">
        <fgColor rgb="FFFFE38B"/>
        <bgColor rgb="FFFFE38B"/>
      </patternFill>
    </fill>
    <fill>
      <patternFill patternType="solid">
        <fgColor rgb="FFC0E399"/>
        <bgColor rgb="FFC0E399"/>
      </patternFill>
    </fill>
    <fill>
      <patternFill patternType="solid">
        <fgColor rgb="FFABDBFF"/>
        <bgColor rgb="FFABDBFF"/>
      </patternFill>
    </fill>
    <fill>
      <patternFill patternType="solid">
        <fgColor rgb="FFFFCCFF"/>
        <bgColor rgb="FFFFCCFF"/>
      </patternFill>
    </fill>
    <fill>
      <patternFill patternType="solid">
        <fgColor rgb="FFCCFFCC"/>
        <bgColor rgb="FFCCFFCC"/>
      </patternFill>
    </fill>
    <fill>
      <patternFill patternType="solid">
        <fgColor rgb="FFE7E6E6"/>
        <bgColor rgb="FFE7E6E6"/>
      </patternFill>
    </fill>
    <fill>
      <patternFill patternType="solid">
        <fgColor rgb="FF7F7F7F"/>
        <bgColor rgb="FF7F7F7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B7B7B7"/>
        <bgColor rgb="FFB7B7B7"/>
      </patternFill>
    </fill>
    <fill>
      <patternFill patternType="solid">
        <fgColor rgb="FFFFF4F9"/>
        <bgColor rgb="FFFFF4F9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6FFE5"/>
        <bgColor rgb="FFCCFFCC"/>
      </patternFill>
    </fill>
    <fill>
      <patternFill patternType="solid">
        <fgColor theme="0" tint="-0.14999847407452621"/>
        <bgColor rgb="FFCCFFCC"/>
      </patternFill>
    </fill>
    <fill>
      <patternFill patternType="solid">
        <fgColor rgb="FFCCFFCC"/>
        <bgColor indexed="64"/>
      </patternFill>
    </fill>
    <fill>
      <patternFill patternType="solid">
        <fgColor rgb="FFE7FFE7"/>
        <bgColor rgb="FFE7E6E6"/>
      </patternFill>
    </fill>
    <fill>
      <patternFill patternType="solid">
        <fgColor rgb="FFE7FFE7"/>
        <bgColor rgb="FFF2F2F2"/>
      </patternFill>
    </fill>
    <fill>
      <patternFill patternType="solid">
        <fgColor rgb="FF25A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 tint="-4.9989318521683403E-2"/>
        <bgColor rgb="FFE2EFD9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2" tint="-4.9989318521683403E-2"/>
        <bgColor rgb="FFD8D8D8"/>
      </patternFill>
    </fill>
    <fill>
      <patternFill patternType="solid">
        <fgColor rgb="FFE7FFE7"/>
        <bgColor rgb="FFE2EFD9"/>
      </patternFill>
    </fill>
    <fill>
      <patternFill patternType="gray0625">
        <fgColor rgb="FFE2EFD9"/>
        <bgColor theme="9" tint="0.79998168889431442"/>
      </patternFill>
    </fill>
    <fill>
      <patternFill patternType="lightGray"/>
    </fill>
    <fill>
      <patternFill patternType="lightGray">
        <fgColor rgb="FFE2EFD9"/>
        <bgColor theme="9" tint="0.79998168889431442"/>
      </patternFill>
    </fill>
  </fills>
  <borders count="6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7F7F7F"/>
      </bottom>
      <diagonal/>
    </border>
    <border>
      <left/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thin">
        <color rgb="FF000000"/>
      </left>
      <right/>
      <top style="medium">
        <color rgb="FF7F7F7F"/>
      </top>
      <bottom/>
      <diagonal/>
    </border>
    <border>
      <left/>
      <right style="thin">
        <color rgb="FF000000"/>
      </right>
      <top style="medium">
        <color rgb="FF7F7F7F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7F7F7F"/>
      </left>
      <right style="thin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7F7F7F"/>
      </right>
      <top style="thin">
        <color rgb="FF000000"/>
      </top>
      <bottom style="medium">
        <color rgb="FF7F7F7F"/>
      </bottom>
      <diagonal/>
    </border>
    <border>
      <left style="medium">
        <color rgb="FF7F7F7F"/>
      </left>
      <right style="thin">
        <color rgb="FF000000"/>
      </right>
      <top style="thin">
        <color rgb="FF000000"/>
      </top>
      <bottom style="medium">
        <color rgb="FF7F7F7F"/>
      </bottom>
      <diagonal/>
    </border>
    <border>
      <left style="thin">
        <color rgb="FF000000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thin">
        <color rgb="FF000000"/>
      </right>
      <top style="medium">
        <color rgb="FF7F7F7F"/>
      </top>
      <bottom/>
      <diagonal/>
    </border>
    <border>
      <left style="thin">
        <color rgb="FF000000"/>
      </left>
      <right style="medium">
        <color rgb="FF7F7F7F"/>
      </right>
      <top/>
      <bottom/>
      <diagonal/>
    </border>
    <border>
      <left style="medium">
        <color rgb="FF7F7F7F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7F7F7F"/>
      </right>
      <top/>
      <bottom style="thin">
        <color rgb="FF000000"/>
      </bottom>
      <diagonal/>
    </border>
    <border>
      <left style="medium">
        <color rgb="FF7F7F7F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10" fillId="0" borderId="29"/>
  </cellStyleXfs>
  <cellXfs count="442">
    <xf numFmtId="0" fontId="0" fillId="0" borderId="0" xfId="0"/>
    <xf numFmtId="0" fontId="2" fillId="15" borderId="29" xfId="0" applyFont="1" applyFill="1" applyBorder="1" applyAlignment="1">
      <alignment horizontal="center" vertical="center"/>
    </xf>
    <xf numFmtId="49" fontId="3" fillId="15" borderId="18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16" borderId="29" xfId="0" applyFont="1" applyFill="1" applyBorder="1" applyAlignment="1">
      <alignment horizontal="center" vertical="center"/>
    </xf>
    <xf numFmtId="0" fontId="1" fillId="17" borderId="29" xfId="0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0" fontId="1" fillId="13" borderId="29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top"/>
    </xf>
    <xf numFmtId="0" fontId="5" fillId="5" borderId="19" xfId="0" applyFont="1" applyFill="1" applyBorder="1" applyAlignment="1">
      <alignment horizontal="center" vertical="top"/>
    </xf>
    <xf numFmtId="0" fontId="5" fillId="5" borderId="20" xfId="0" applyFont="1" applyFill="1" applyBorder="1" applyAlignment="1">
      <alignment horizontal="center" vertical="top"/>
    </xf>
    <xf numFmtId="0" fontId="6" fillId="5" borderId="20" xfId="0" applyFont="1" applyFill="1" applyBorder="1" applyAlignment="1">
      <alignment horizontal="center" vertical="top"/>
    </xf>
    <xf numFmtId="187" fontId="6" fillId="5" borderId="20" xfId="0" applyNumberFormat="1" applyFont="1" applyFill="1" applyBorder="1" applyAlignment="1">
      <alignment horizontal="center" vertical="top"/>
    </xf>
    <xf numFmtId="0" fontId="5" fillId="6" borderId="19" xfId="0" applyFont="1" applyFill="1" applyBorder="1" applyAlignment="1">
      <alignment horizontal="center" vertical="top"/>
    </xf>
    <xf numFmtId="0" fontId="5" fillId="6" borderId="20" xfId="0" applyFont="1" applyFill="1" applyBorder="1" applyAlignment="1">
      <alignment horizontal="center" vertical="top"/>
    </xf>
    <xf numFmtId="0" fontId="6" fillId="6" borderId="20" xfId="0" applyFont="1" applyFill="1" applyBorder="1" applyAlignment="1">
      <alignment horizontal="center" vertical="top"/>
    </xf>
    <xf numFmtId="187" fontId="6" fillId="6" borderId="20" xfId="0" applyNumberFormat="1" applyFont="1" applyFill="1" applyBorder="1" applyAlignment="1">
      <alignment horizontal="center" vertical="top"/>
    </xf>
    <xf numFmtId="0" fontId="5" fillId="6" borderId="21" xfId="0" applyFont="1" applyFill="1" applyBorder="1" applyAlignment="1">
      <alignment horizontal="center" vertical="top"/>
    </xf>
    <xf numFmtId="0" fontId="5" fillId="7" borderId="19" xfId="0" applyFont="1" applyFill="1" applyBorder="1" applyAlignment="1">
      <alignment horizontal="center" vertical="top"/>
    </xf>
    <xf numFmtId="0" fontId="5" fillId="7" borderId="20" xfId="0" applyFont="1" applyFill="1" applyBorder="1" applyAlignment="1">
      <alignment horizontal="center" vertical="top"/>
    </xf>
    <xf numFmtId="0" fontId="6" fillId="7" borderId="20" xfId="0" applyFont="1" applyFill="1" applyBorder="1" applyAlignment="1">
      <alignment horizontal="center" vertical="top"/>
    </xf>
    <xf numFmtId="187" fontId="6" fillId="7" borderId="20" xfId="0" applyNumberFormat="1" applyFont="1" applyFill="1" applyBorder="1" applyAlignment="1">
      <alignment horizontal="center" vertical="top"/>
    </xf>
    <xf numFmtId="0" fontId="5" fillId="7" borderId="21" xfId="0" applyFont="1" applyFill="1" applyBorder="1" applyAlignment="1">
      <alignment horizontal="center" vertical="top"/>
    </xf>
    <xf numFmtId="0" fontId="5" fillId="8" borderId="19" xfId="0" applyFont="1" applyFill="1" applyBorder="1" applyAlignment="1">
      <alignment horizontal="center" vertical="top"/>
    </xf>
    <xf numFmtId="0" fontId="5" fillId="8" borderId="20" xfId="0" applyFont="1" applyFill="1" applyBorder="1" applyAlignment="1">
      <alignment horizontal="center" vertical="top"/>
    </xf>
    <xf numFmtId="0" fontId="6" fillId="8" borderId="20" xfId="0" applyFont="1" applyFill="1" applyBorder="1" applyAlignment="1">
      <alignment horizontal="center" vertical="top"/>
    </xf>
    <xf numFmtId="187" fontId="6" fillId="8" borderId="20" xfId="0" applyNumberFormat="1" applyFont="1" applyFill="1" applyBorder="1" applyAlignment="1">
      <alignment horizontal="center" vertical="top"/>
    </xf>
    <xf numFmtId="0" fontId="5" fillId="8" borderId="21" xfId="0" applyFont="1" applyFill="1" applyBorder="1" applyAlignment="1">
      <alignment horizontal="center" vertical="top"/>
    </xf>
    <xf numFmtId="0" fontId="7" fillId="5" borderId="19" xfId="0" applyFont="1" applyFill="1" applyBorder="1" applyAlignment="1">
      <alignment horizontal="center" vertical="top"/>
    </xf>
    <xf numFmtId="0" fontId="7" fillId="5" borderId="20" xfId="0" applyFont="1" applyFill="1" applyBorder="1" applyAlignment="1">
      <alignment horizontal="center" vertical="top"/>
    </xf>
    <xf numFmtId="0" fontId="8" fillId="5" borderId="20" xfId="0" applyFont="1" applyFill="1" applyBorder="1" applyAlignment="1">
      <alignment horizontal="center" vertical="top"/>
    </xf>
    <xf numFmtId="0" fontId="7" fillId="6" borderId="19" xfId="0" applyFont="1" applyFill="1" applyBorder="1" applyAlignment="1">
      <alignment horizontal="center" vertical="top"/>
    </xf>
    <xf numFmtId="0" fontId="7" fillId="6" borderId="20" xfId="0" applyFont="1" applyFill="1" applyBorder="1" applyAlignment="1">
      <alignment horizontal="center" vertical="top"/>
    </xf>
    <xf numFmtId="0" fontId="8" fillId="6" borderId="20" xfId="0" applyFont="1" applyFill="1" applyBorder="1" applyAlignment="1">
      <alignment horizontal="center" vertical="top"/>
    </xf>
    <xf numFmtId="0" fontId="7" fillId="6" borderId="21" xfId="0" applyFont="1" applyFill="1" applyBorder="1" applyAlignment="1">
      <alignment horizontal="center" vertical="top"/>
    </xf>
    <xf numFmtId="0" fontId="7" fillId="7" borderId="19" xfId="0" applyFont="1" applyFill="1" applyBorder="1" applyAlignment="1">
      <alignment horizontal="center" vertical="top"/>
    </xf>
    <xf numFmtId="0" fontId="7" fillId="7" borderId="20" xfId="0" applyFont="1" applyFill="1" applyBorder="1" applyAlignment="1">
      <alignment horizontal="center" vertical="top"/>
    </xf>
    <xf numFmtId="0" fontId="8" fillId="7" borderId="20" xfId="0" applyFont="1" applyFill="1" applyBorder="1" applyAlignment="1">
      <alignment horizontal="center" vertical="top"/>
    </xf>
    <xf numFmtId="0" fontId="7" fillId="7" borderId="21" xfId="0" applyFont="1" applyFill="1" applyBorder="1" applyAlignment="1">
      <alignment horizontal="center" vertical="top"/>
    </xf>
    <xf numFmtId="0" fontId="7" fillId="8" borderId="19" xfId="0" applyFont="1" applyFill="1" applyBorder="1" applyAlignment="1">
      <alignment horizontal="center" vertical="top"/>
    </xf>
    <xf numFmtId="0" fontId="7" fillId="8" borderId="20" xfId="0" applyFont="1" applyFill="1" applyBorder="1" applyAlignment="1">
      <alignment horizontal="center" vertical="top"/>
    </xf>
    <xf numFmtId="0" fontId="8" fillId="8" borderId="20" xfId="0" applyFont="1" applyFill="1" applyBorder="1" applyAlignment="1">
      <alignment horizontal="center" vertical="top"/>
    </xf>
    <xf numFmtId="0" fontId="7" fillId="8" borderId="21" xfId="0" applyFont="1" applyFill="1" applyBorder="1" applyAlignment="1">
      <alignment horizontal="center" vertical="top"/>
    </xf>
    <xf numFmtId="0" fontId="6" fillId="13" borderId="40" xfId="0" applyFont="1" applyFill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5" fillId="0" borderId="24" xfId="0" applyFont="1" applyBorder="1" applyAlignment="1">
      <alignment horizontal="center" vertical="top"/>
    </xf>
    <xf numFmtId="0" fontId="5" fillId="0" borderId="38" xfId="0" applyFont="1" applyBorder="1" applyAlignment="1">
      <alignment horizontal="center" vertical="top"/>
    </xf>
    <xf numFmtId="0" fontId="5" fillId="14" borderId="41" xfId="0" applyFont="1" applyFill="1" applyBorder="1" applyAlignment="1">
      <alignment horizontal="center" vertical="top"/>
    </xf>
    <xf numFmtId="0" fontId="5" fillId="14" borderId="22" xfId="0" applyFont="1" applyFill="1" applyBorder="1" applyAlignment="1">
      <alignment horizontal="center" vertical="top"/>
    </xf>
    <xf numFmtId="0" fontId="7" fillId="14" borderId="22" xfId="0" applyFont="1" applyFill="1" applyBorder="1" applyAlignment="1">
      <alignment horizontal="center" vertical="top"/>
    </xf>
    <xf numFmtId="0" fontId="6" fillId="13" borderId="4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6" fillId="13" borderId="30" xfId="0" applyFont="1" applyFill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27" xfId="0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14" borderId="36" xfId="0" applyFont="1" applyFill="1" applyBorder="1" applyAlignment="1">
      <alignment horizontal="center" vertical="top"/>
    </xf>
    <xf numFmtId="0" fontId="5" fillId="14" borderId="18" xfId="0" applyFont="1" applyFill="1" applyBorder="1" applyAlignment="1">
      <alignment horizontal="center" vertical="top"/>
    </xf>
    <xf numFmtId="0" fontId="7" fillId="14" borderId="18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20" borderId="18" xfId="0" applyFont="1" applyFill="1" applyBorder="1" applyAlignment="1">
      <alignment horizontal="center" vertical="top"/>
    </xf>
    <xf numFmtId="0" fontId="5" fillId="21" borderId="19" xfId="0" applyFont="1" applyFill="1" applyBorder="1" applyAlignment="1">
      <alignment horizontal="center" vertical="top"/>
    </xf>
    <xf numFmtId="0" fontId="5" fillId="21" borderId="20" xfId="0" applyFont="1" applyFill="1" applyBorder="1" applyAlignment="1">
      <alignment horizontal="center" vertical="top"/>
    </xf>
    <xf numFmtId="0" fontId="6" fillId="21" borderId="20" xfId="0" applyFont="1" applyFill="1" applyBorder="1" applyAlignment="1">
      <alignment horizontal="center" vertical="top"/>
    </xf>
    <xf numFmtId="187" fontId="6" fillId="21" borderId="20" xfId="0" applyNumberFormat="1" applyFont="1" applyFill="1" applyBorder="1" applyAlignment="1">
      <alignment horizontal="center" vertical="top"/>
    </xf>
    <xf numFmtId="0" fontId="5" fillId="21" borderId="21" xfId="0" applyFont="1" applyFill="1" applyBorder="1" applyAlignment="1">
      <alignment horizontal="center" vertical="top"/>
    </xf>
    <xf numFmtId="0" fontId="7" fillId="21" borderId="19" xfId="0" applyFont="1" applyFill="1" applyBorder="1" applyAlignment="1">
      <alignment horizontal="center" vertical="top"/>
    </xf>
    <xf numFmtId="0" fontId="7" fillId="21" borderId="20" xfId="0" applyFont="1" applyFill="1" applyBorder="1" applyAlignment="1">
      <alignment horizontal="center" vertical="top"/>
    </xf>
    <xf numFmtId="0" fontId="8" fillId="21" borderId="20" xfId="0" applyFont="1" applyFill="1" applyBorder="1" applyAlignment="1">
      <alignment horizontal="center" vertical="top"/>
    </xf>
    <xf numFmtId="0" fontId="7" fillId="21" borderId="21" xfId="0" applyFont="1" applyFill="1" applyBorder="1" applyAlignment="1">
      <alignment horizontal="center" vertical="top"/>
    </xf>
    <xf numFmtId="188" fontId="6" fillId="22" borderId="0" xfId="0" applyNumberFormat="1" applyFont="1" applyFill="1" applyAlignment="1">
      <alignment horizontal="center" vertical="top"/>
    </xf>
    <xf numFmtId="0" fontId="5" fillId="20" borderId="18" xfId="0" applyFont="1" applyFill="1" applyBorder="1" applyAlignment="1">
      <alignment horizontal="center" vertical="top"/>
    </xf>
    <xf numFmtId="0" fontId="6" fillId="23" borderId="0" xfId="0" applyFont="1" applyFill="1" applyAlignment="1">
      <alignment horizontal="center" vertical="top"/>
    </xf>
    <xf numFmtId="0" fontId="5" fillId="24" borderId="18" xfId="0" applyFont="1" applyFill="1" applyBorder="1" applyAlignment="1">
      <alignment horizontal="center" vertical="top"/>
    </xf>
    <xf numFmtId="0" fontId="6" fillId="5" borderId="18" xfId="0" applyFont="1" applyFill="1" applyBorder="1" applyAlignment="1">
      <alignment horizontal="center" vertical="top"/>
    </xf>
    <xf numFmtId="0" fontId="6" fillId="6" borderId="18" xfId="0" applyFont="1" applyFill="1" applyBorder="1" applyAlignment="1">
      <alignment horizontal="center" vertical="top"/>
    </xf>
    <xf numFmtId="0" fontId="6" fillId="7" borderId="18" xfId="0" applyFont="1" applyFill="1" applyBorder="1" applyAlignment="1">
      <alignment horizontal="center" vertical="top"/>
    </xf>
    <xf numFmtId="0" fontId="6" fillId="8" borderId="18" xfId="0" applyFont="1" applyFill="1" applyBorder="1" applyAlignment="1">
      <alignment horizontal="center" vertical="top"/>
    </xf>
    <xf numFmtId="0" fontId="5" fillId="25" borderId="18" xfId="0" applyFont="1" applyFill="1" applyBorder="1" applyAlignment="1">
      <alignment horizontal="center" vertical="top"/>
    </xf>
    <xf numFmtId="0" fontId="5" fillId="10" borderId="18" xfId="0" applyFont="1" applyFill="1" applyBorder="1" applyAlignment="1">
      <alignment horizontal="center" vertical="top"/>
    </xf>
    <xf numFmtId="0" fontId="5" fillId="11" borderId="18" xfId="0" applyFont="1" applyFill="1" applyBorder="1" applyAlignment="1">
      <alignment horizontal="center" vertical="top"/>
    </xf>
    <xf numFmtId="0" fontId="5" fillId="12" borderId="18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9" fillId="26" borderId="18" xfId="0" applyFont="1" applyFill="1" applyBorder="1" applyAlignment="1">
      <alignment horizontal="center" vertical="top"/>
    </xf>
    <xf numFmtId="188" fontId="9" fillId="26" borderId="0" xfId="0" applyNumberFormat="1" applyFont="1" applyFill="1" applyAlignment="1">
      <alignment horizontal="center" vertical="top"/>
    </xf>
    <xf numFmtId="0" fontId="5" fillId="27" borderId="0" xfId="0" applyFont="1" applyFill="1" applyAlignment="1">
      <alignment horizontal="center" vertical="top"/>
    </xf>
    <xf numFmtId="0" fontId="5" fillId="27" borderId="18" xfId="0" applyFont="1" applyFill="1" applyBorder="1" applyAlignment="1">
      <alignment horizontal="center" vertical="top"/>
    </xf>
    <xf numFmtId="0" fontId="9" fillId="26" borderId="0" xfId="0" applyFont="1" applyFill="1" applyAlignment="1">
      <alignment horizontal="center" vertical="top"/>
    </xf>
    <xf numFmtId="0" fontId="11" fillId="0" borderId="43" xfId="1" applyFont="1" applyBorder="1" applyAlignment="1" applyProtection="1">
      <alignment vertical="center"/>
      <protection locked="0"/>
    </xf>
    <xf numFmtId="0" fontId="12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2" fillId="0" borderId="0" xfId="0" applyFont="1" applyAlignment="1" applyProtection="1">
      <alignment vertical="top"/>
      <protection locked="0"/>
    </xf>
    <xf numFmtId="0" fontId="13" fillId="13" borderId="40" xfId="0" applyFont="1" applyFill="1" applyBorder="1" applyAlignment="1" applyProtection="1">
      <alignment vertical="top"/>
      <protection locked="0"/>
    </xf>
    <xf numFmtId="0" fontId="13" fillId="13" borderId="41" xfId="0" applyFont="1" applyFill="1" applyBorder="1" applyAlignment="1" applyProtection="1">
      <alignment horizontal="center" vertical="top"/>
      <protection locked="0"/>
    </xf>
    <xf numFmtId="0" fontId="13" fillId="13" borderId="29" xfId="0" applyFont="1" applyFill="1" applyBorder="1" applyAlignment="1" applyProtection="1">
      <alignment vertical="top"/>
      <protection locked="0"/>
    </xf>
    <xf numFmtId="1" fontId="13" fillId="13" borderId="31" xfId="0" applyNumberFormat="1" applyFont="1" applyFill="1" applyBorder="1" applyAlignment="1" applyProtection="1">
      <alignment vertical="top"/>
      <protection locked="0"/>
    </xf>
    <xf numFmtId="0" fontId="13" fillId="0" borderId="0" xfId="0" applyFont="1" applyAlignment="1" applyProtection="1">
      <alignment vertical="top"/>
      <protection locked="0"/>
    </xf>
    <xf numFmtId="0" fontId="13" fillId="13" borderId="32" xfId="0" applyFont="1" applyFill="1" applyBorder="1" applyAlignment="1" applyProtection="1">
      <alignment vertical="top"/>
      <protection locked="0"/>
    </xf>
    <xf numFmtId="0" fontId="12" fillId="13" borderId="31" xfId="0" applyFont="1" applyFill="1" applyBorder="1" applyAlignment="1" applyProtection="1">
      <alignment horizontal="center" vertical="top"/>
      <protection locked="0"/>
    </xf>
    <xf numFmtId="16" fontId="12" fillId="13" borderId="18" xfId="0" quotePrefix="1" applyNumberFormat="1" applyFont="1" applyFill="1" applyBorder="1" applyAlignment="1" applyProtection="1">
      <alignment horizontal="center" vertical="top"/>
      <protection locked="0"/>
    </xf>
    <xf numFmtId="0" fontId="12" fillId="13" borderId="18" xfId="0" quotePrefix="1" applyFont="1" applyFill="1" applyBorder="1" applyAlignment="1" applyProtection="1">
      <alignment horizontal="center" vertical="top"/>
      <protection locked="0"/>
    </xf>
    <xf numFmtId="1" fontId="12" fillId="13" borderId="18" xfId="0" applyNumberFormat="1" applyFont="1" applyFill="1" applyBorder="1" applyAlignment="1" applyProtection="1">
      <alignment horizontal="center" vertical="top"/>
      <protection locked="0"/>
    </xf>
    <xf numFmtId="1" fontId="13" fillId="13" borderId="35" xfId="0" applyNumberFormat="1" applyFont="1" applyFill="1" applyBorder="1" applyAlignment="1" applyProtection="1">
      <alignment horizontal="center" vertical="top"/>
      <protection locked="0"/>
    </xf>
    <xf numFmtId="0" fontId="16" fillId="0" borderId="0" xfId="0" applyFont="1" applyAlignment="1">
      <alignment vertical="top"/>
    </xf>
    <xf numFmtId="0" fontId="18" fillId="0" borderId="0" xfId="0" applyFont="1" applyAlignment="1">
      <alignment vertical="top"/>
    </xf>
    <xf numFmtId="1" fontId="16" fillId="0" borderId="27" xfId="0" applyNumberFormat="1" applyFont="1" applyBorder="1" applyAlignment="1" applyProtection="1">
      <alignment vertical="top"/>
      <protection locked="0"/>
    </xf>
    <xf numFmtId="49" fontId="16" fillId="0" borderId="27" xfId="0" applyNumberFormat="1" applyFont="1" applyBorder="1" applyAlignment="1" applyProtection="1">
      <alignment vertical="top"/>
      <protection locked="0"/>
    </xf>
    <xf numFmtId="0" fontId="16" fillId="0" borderId="27" xfId="0" applyFont="1" applyBorder="1" applyAlignment="1" applyProtection="1">
      <alignment vertical="top"/>
      <protection locked="0"/>
    </xf>
    <xf numFmtId="0" fontId="16" fillId="0" borderId="0" xfId="0" applyFont="1" applyAlignment="1" applyProtection="1">
      <alignment vertical="top"/>
      <protection locked="0"/>
    </xf>
    <xf numFmtId="1" fontId="16" fillId="0" borderId="0" xfId="0" applyNumberFormat="1" applyFont="1" applyAlignment="1" applyProtection="1">
      <alignment vertical="top"/>
      <protection locked="0"/>
    </xf>
    <xf numFmtId="0" fontId="20" fillId="0" borderId="0" xfId="0" applyFont="1" applyAlignment="1">
      <alignment vertical="top"/>
    </xf>
    <xf numFmtId="0" fontId="21" fillId="0" borderId="0" xfId="0" applyFont="1" applyAlignment="1">
      <alignment vertical="top"/>
    </xf>
    <xf numFmtId="1" fontId="20" fillId="0" borderId="0" xfId="0" applyNumberFormat="1" applyFont="1" applyAlignment="1">
      <alignment vertical="top"/>
    </xf>
    <xf numFmtId="0" fontId="22" fillId="0" borderId="0" xfId="0" applyFont="1" applyAlignment="1">
      <alignment vertical="top"/>
    </xf>
    <xf numFmtId="0" fontId="20" fillId="0" borderId="0" xfId="0" applyFont="1" applyAlignment="1" applyProtection="1">
      <alignment vertical="top"/>
      <protection locked="0"/>
    </xf>
    <xf numFmtId="0" fontId="20" fillId="0" borderId="29" xfId="0" applyFont="1" applyBorder="1" applyAlignment="1">
      <alignment vertical="top"/>
    </xf>
    <xf numFmtId="0" fontId="11" fillId="0" borderId="29" xfId="0" applyFont="1" applyBorder="1" applyAlignment="1">
      <alignment vertical="top"/>
    </xf>
    <xf numFmtId="0" fontId="20" fillId="0" borderId="34" xfId="0" applyFont="1" applyBorder="1" applyAlignment="1">
      <alignment vertical="top"/>
    </xf>
    <xf numFmtId="0" fontId="21" fillId="0" borderId="29" xfId="0" applyFont="1" applyBorder="1" applyAlignment="1">
      <alignment vertical="top"/>
    </xf>
    <xf numFmtId="0" fontId="20" fillId="0" borderId="29" xfId="0" applyFont="1" applyBorder="1" applyAlignment="1">
      <alignment vertical="top" textRotation="90"/>
    </xf>
    <xf numFmtId="0" fontId="20" fillId="0" borderId="34" xfId="0" applyFont="1" applyBorder="1" applyAlignment="1">
      <alignment vertical="top" textRotation="90"/>
    </xf>
    <xf numFmtId="0" fontId="20" fillId="0" borderId="29" xfId="0" applyFont="1" applyBorder="1" applyAlignment="1">
      <alignment vertical="top" textRotation="180"/>
    </xf>
    <xf numFmtId="0" fontId="21" fillId="0" borderId="34" xfId="0" applyFont="1" applyBorder="1" applyAlignment="1">
      <alignment vertical="top" textRotation="90"/>
    </xf>
    <xf numFmtId="0" fontId="11" fillId="0" borderId="34" xfId="0" applyFont="1" applyBorder="1" applyAlignment="1">
      <alignment vertical="top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vertical="top" textRotation="90"/>
    </xf>
    <xf numFmtId="0" fontId="20" fillId="0" borderId="29" xfId="0" applyFont="1" applyBorder="1" applyAlignment="1" applyProtection="1">
      <alignment vertical="top"/>
      <protection locked="0"/>
    </xf>
    <xf numFmtId="0" fontId="21" fillId="13" borderId="37" xfId="0" applyFont="1" applyFill="1" applyBorder="1" applyAlignment="1" applyProtection="1">
      <alignment vertical="top"/>
      <protection locked="0"/>
    </xf>
    <xf numFmtId="0" fontId="21" fillId="29" borderId="32" xfId="0" applyFont="1" applyFill="1" applyBorder="1" applyAlignment="1" applyProtection="1">
      <alignment vertical="top"/>
      <protection locked="0"/>
    </xf>
    <xf numFmtId="49" fontId="20" fillId="0" borderId="0" xfId="0" applyNumberFormat="1" applyFont="1" applyAlignment="1">
      <alignment vertical="top"/>
    </xf>
    <xf numFmtId="0" fontId="23" fillId="0" borderId="0" xfId="0" applyFont="1" applyAlignment="1">
      <alignment vertical="top"/>
    </xf>
    <xf numFmtId="0" fontId="21" fillId="29" borderId="37" xfId="0" applyFont="1" applyFill="1" applyBorder="1" applyAlignment="1" applyProtection="1">
      <alignment vertical="top"/>
      <protection locked="0"/>
    </xf>
    <xf numFmtId="1" fontId="23" fillId="0" borderId="0" xfId="0" applyNumberFormat="1" applyFont="1" applyAlignment="1">
      <alignment vertical="top"/>
    </xf>
    <xf numFmtId="0" fontId="20" fillId="28" borderId="18" xfId="0" applyFont="1" applyFill="1" applyBorder="1" applyAlignment="1" applyProtection="1">
      <alignment vertical="top"/>
      <protection locked="0"/>
    </xf>
    <xf numFmtId="0" fontId="20" fillId="0" borderId="0" xfId="0" applyFont="1" applyAlignment="1">
      <alignment horizontal="center" vertical="top"/>
    </xf>
    <xf numFmtId="0" fontId="22" fillId="0" borderId="0" xfId="0" applyFont="1" applyAlignment="1">
      <alignment horizontal="center" vertical="top"/>
    </xf>
    <xf numFmtId="0" fontId="24" fillId="0" borderId="0" xfId="0" applyFont="1"/>
    <xf numFmtId="0" fontId="5" fillId="0" borderId="0" xfId="0" applyFont="1" applyAlignment="1">
      <alignment vertical="center"/>
    </xf>
    <xf numFmtId="0" fontId="26" fillId="0" borderId="0" xfId="0" applyFont="1"/>
    <xf numFmtId="0" fontId="26" fillId="0" borderId="3" xfId="0" applyFont="1" applyBorder="1"/>
    <xf numFmtId="0" fontId="26" fillId="0" borderId="4" xfId="0" applyFont="1" applyBorder="1"/>
    <xf numFmtId="0" fontId="27" fillId="0" borderId="5" xfId="0" applyFont="1" applyBorder="1" applyAlignment="1">
      <alignment horizontal="left" vertical="center"/>
    </xf>
    <xf numFmtId="49" fontId="6" fillId="2" borderId="6" xfId="0" applyNumberFormat="1" applyFont="1" applyFill="1" applyBorder="1" applyAlignment="1">
      <alignment horizontal="left" vertical="center"/>
    </xf>
    <xf numFmtId="49" fontId="6" fillId="2" borderId="6" xfId="0" applyNumberFormat="1" applyFont="1" applyFill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0" fontId="28" fillId="0" borderId="5" xfId="0" applyFont="1" applyBorder="1" applyAlignment="1">
      <alignment horizontal="left" vertical="center"/>
    </xf>
    <xf numFmtId="49" fontId="6" fillId="3" borderId="6" xfId="0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0" xfId="0" applyFont="1" applyBorder="1" applyAlignment="1">
      <alignment vertical="top"/>
    </xf>
    <xf numFmtId="0" fontId="5" fillId="0" borderId="11" xfId="0" applyFont="1" applyBorder="1" applyAlignment="1">
      <alignment vertical="top"/>
    </xf>
    <xf numFmtId="0" fontId="5" fillId="0" borderId="0" xfId="0" applyFont="1" applyAlignment="1">
      <alignment vertical="top"/>
    </xf>
    <xf numFmtId="0" fontId="6" fillId="0" borderId="12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0" borderId="17" xfId="0" applyFont="1" applyBorder="1" applyAlignment="1">
      <alignment horizontal="right" vertical="center"/>
    </xf>
    <xf numFmtId="0" fontId="30" fillId="4" borderId="18" xfId="0" applyFont="1" applyFill="1" applyBorder="1" applyAlignment="1">
      <alignment horizontal="center" vertical="top" wrapText="1"/>
    </xf>
    <xf numFmtId="0" fontId="31" fillId="9" borderId="18" xfId="0" applyFont="1" applyFill="1" applyBorder="1" applyAlignment="1">
      <alignment horizontal="center" vertical="top" wrapText="1"/>
    </xf>
    <xf numFmtId="0" fontId="31" fillId="10" borderId="18" xfId="0" applyFont="1" applyFill="1" applyBorder="1" applyAlignment="1">
      <alignment horizontal="center" vertical="top" wrapText="1"/>
    </xf>
    <xf numFmtId="0" fontId="31" fillId="11" borderId="18" xfId="0" applyFont="1" applyFill="1" applyBorder="1" applyAlignment="1">
      <alignment horizontal="center" vertical="top" wrapText="1"/>
    </xf>
    <xf numFmtId="0" fontId="31" fillId="12" borderId="18" xfId="0" applyFont="1" applyFill="1" applyBorder="1" applyAlignment="1">
      <alignment horizontal="center" vertical="top" wrapText="1"/>
    </xf>
    <xf numFmtId="0" fontId="32" fillId="9" borderId="18" xfId="0" applyFont="1" applyFill="1" applyBorder="1" applyAlignment="1">
      <alignment horizontal="center" vertical="top" wrapText="1"/>
    </xf>
    <xf numFmtId="0" fontId="32" fillId="10" borderId="18" xfId="0" applyFont="1" applyFill="1" applyBorder="1" applyAlignment="1">
      <alignment horizontal="center" vertical="top" wrapText="1"/>
    </xf>
    <xf numFmtId="0" fontId="32" fillId="11" borderId="18" xfId="0" applyFont="1" applyFill="1" applyBorder="1" applyAlignment="1">
      <alignment horizontal="center" vertical="top" wrapText="1"/>
    </xf>
    <xf numFmtId="0" fontId="32" fillId="12" borderId="18" xfId="0" applyFont="1" applyFill="1" applyBorder="1" applyAlignment="1">
      <alignment horizontal="center" vertical="top" wrapText="1"/>
    </xf>
    <xf numFmtId="0" fontId="33" fillId="0" borderId="0" xfId="0" applyFont="1"/>
    <xf numFmtId="0" fontId="31" fillId="9" borderId="28" xfId="0" applyFont="1" applyFill="1" applyBorder="1" applyAlignment="1">
      <alignment horizontal="center" vertical="top" wrapText="1"/>
    </xf>
    <xf numFmtId="0" fontId="20" fillId="13" borderId="28" xfId="0" applyFont="1" applyFill="1" applyBorder="1" applyAlignment="1" applyProtection="1">
      <alignment horizontal="center" vertical="center"/>
      <protection locked="0"/>
    </xf>
    <xf numFmtId="1" fontId="20" fillId="28" borderId="18" xfId="0" applyNumberFormat="1" applyFont="1" applyFill="1" applyBorder="1" applyAlignment="1" applyProtection="1">
      <alignment vertical="center"/>
      <protection locked="0"/>
    </xf>
    <xf numFmtId="0" fontId="20" fillId="13" borderId="34" xfId="0" applyFont="1" applyFill="1" applyBorder="1" applyAlignment="1" applyProtection="1">
      <alignment horizontal="center" vertical="center"/>
      <protection locked="0"/>
    </xf>
    <xf numFmtId="0" fontId="21" fillId="0" borderId="28" xfId="0" applyFont="1" applyBorder="1" applyAlignment="1" applyProtection="1">
      <alignment vertical="center"/>
      <protection locked="0"/>
    </xf>
    <xf numFmtId="0" fontId="20" fillId="0" borderId="36" xfId="0" applyFont="1" applyBorder="1" applyAlignment="1" applyProtection="1">
      <alignment horizontal="center" vertical="center"/>
      <protection locked="0"/>
    </xf>
    <xf numFmtId="0" fontId="21" fillId="0" borderId="33" xfId="0" applyFont="1" applyBorder="1" applyAlignment="1" applyProtection="1">
      <alignment vertical="center"/>
      <protection locked="0"/>
    </xf>
    <xf numFmtId="0" fontId="20" fillId="0" borderId="31" xfId="0" applyFont="1" applyBorder="1" applyAlignment="1" applyProtection="1">
      <alignment horizontal="center" vertical="center"/>
      <protection locked="0"/>
    </xf>
    <xf numFmtId="0" fontId="20" fillId="13" borderId="31" xfId="0" applyFont="1" applyFill="1" applyBorder="1" applyAlignment="1" applyProtection="1">
      <alignment horizontal="center" vertical="center"/>
      <protection locked="0"/>
    </xf>
    <xf numFmtId="0" fontId="20" fillId="13" borderId="18" xfId="0" applyFont="1" applyFill="1" applyBorder="1" applyAlignment="1" applyProtection="1">
      <alignment vertical="center"/>
      <protection locked="0"/>
    </xf>
    <xf numFmtId="0" fontId="20" fillId="13" borderId="36" xfId="0" applyFont="1" applyFill="1" applyBorder="1" applyAlignment="1" applyProtection="1">
      <alignment vertical="center"/>
      <protection locked="0"/>
    </xf>
    <xf numFmtId="1" fontId="20" fillId="13" borderId="18" xfId="0" applyNumberFormat="1" applyFont="1" applyFill="1" applyBorder="1" applyAlignment="1" applyProtection="1">
      <alignment vertical="center"/>
      <protection locked="0"/>
    </xf>
    <xf numFmtId="1" fontId="20" fillId="0" borderId="0" xfId="0" applyNumberFormat="1" applyFont="1" applyAlignment="1" applyProtection="1">
      <alignment vertical="center"/>
      <protection locked="0"/>
    </xf>
    <xf numFmtId="0" fontId="20" fillId="0" borderId="0" xfId="0" applyFont="1" applyAlignment="1" applyProtection="1">
      <alignment vertical="center"/>
      <protection locked="0"/>
    </xf>
    <xf numFmtId="0" fontId="21" fillId="0" borderId="33" xfId="0" applyFont="1" applyBorder="1" applyAlignment="1" applyProtection="1">
      <alignment vertical="center" textRotation="90"/>
      <protection locked="0"/>
    </xf>
    <xf numFmtId="0" fontId="20" fillId="0" borderId="18" xfId="0" applyFont="1" applyBorder="1" applyAlignment="1" applyProtection="1">
      <alignment vertical="center"/>
      <protection locked="0"/>
    </xf>
    <xf numFmtId="1" fontId="20" fillId="0" borderId="18" xfId="0" applyNumberFormat="1" applyFont="1" applyBorder="1" applyAlignment="1" applyProtection="1">
      <alignment vertical="center"/>
      <protection locked="0"/>
    </xf>
    <xf numFmtId="0" fontId="21" fillId="0" borderId="18" xfId="0" applyFont="1" applyBorder="1" applyAlignment="1" applyProtection="1">
      <alignment vertical="center"/>
      <protection locked="0"/>
    </xf>
    <xf numFmtId="1" fontId="20" fillId="19" borderId="18" xfId="0" applyNumberFormat="1" applyFont="1" applyFill="1" applyBorder="1" applyAlignment="1" applyProtection="1">
      <alignment vertical="center"/>
      <protection locked="0"/>
    </xf>
    <xf numFmtId="0" fontId="20" fillId="13" borderId="33" xfId="0" applyFont="1" applyFill="1" applyBorder="1" applyAlignment="1" applyProtection="1">
      <alignment horizontal="center" vertical="center"/>
      <protection locked="0"/>
    </xf>
    <xf numFmtId="0" fontId="21" fillId="0" borderId="37" xfId="0" applyFont="1" applyBorder="1" applyAlignment="1" applyProtection="1">
      <alignment vertical="center"/>
      <protection locked="0"/>
    </xf>
    <xf numFmtId="0" fontId="20" fillId="0" borderId="18" xfId="0" applyFont="1" applyBorder="1" applyAlignment="1" applyProtection="1">
      <alignment horizontal="center" vertical="center"/>
      <protection locked="0"/>
    </xf>
    <xf numFmtId="0" fontId="20" fillId="0" borderId="35" xfId="0" applyFont="1" applyBorder="1" applyAlignment="1" applyProtection="1">
      <alignment horizontal="center" vertical="center"/>
      <protection locked="0"/>
    </xf>
    <xf numFmtId="0" fontId="21" fillId="0" borderId="32" xfId="0" applyFont="1" applyBorder="1" applyAlignment="1" applyProtection="1">
      <alignment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7" fillId="0" borderId="0" xfId="0" applyFont="1" applyAlignment="1">
      <alignment horizontal="right" vertical="center"/>
    </xf>
    <xf numFmtId="0" fontId="16" fillId="0" borderId="27" xfId="0" applyFont="1" applyBorder="1" applyAlignment="1" applyProtection="1">
      <alignment horizontal="right" vertical="center"/>
      <protection locked="0"/>
    </xf>
    <xf numFmtId="1" fontId="20" fillId="0" borderId="40" xfId="0" applyNumberFormat="1" applyFont="1" applyBorder="1" applyAlignment="1" applyProtection="1">
      <alignment horizontal="right" vertical="center"/>
      <protection locked="0"/>
    </xf>
    <xf numFmtId="1" fontId="20" fillId="0" borderId="42" xfId="0" applyNumberFormat="1" applyFont="1" applyBorder="1" applyAlignment="1" applyProtection="1">
      <alignment horizontal="right" vertical="center"/>
      <protection locked="0"/>
    </xf>
    <xf numFmtId="1" fontId="20" fillId="0" borderId="0" xfId="0" applyNumberFormat="1" applyFont="1" applyAlignment="1" applyProtection="1">
      <alignment horizontal="right" vertical="center"/>
      <protection locked="0"/>
    </xf>
    <xf numFmtId="1" fontId="16" fillId="0" borderId="0" xfId="0" applyNumberFormat="1" applyFont="1" applyAlignment="1" applyProtection="1">
      <alignment horizontal="right" vertical="center"/>
      <protection locked="0"/>
    </xf>
    <xf numFmtId="1" fontId="20" fillId="0" borderId="18" xfId="0" applyNumberFormat="1" applyFont="1" applyBorder="1" applyAlignment="1" applyProtection="1">
      <alignment horizontal="right" vertical="center"/>
      <protection locked="0"/>
    </xf>
    <xf numFmtId="1" fontId="20" fillId="30" borderId="18" xfId="0" applyNumberFormat="1" applyFont="1" applyFill="1" applyBorder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right" vertical="center"/>
      <protection locked="0"/>
    </xf>
    <xf numFmtId="1" fontId="20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right" vertical="center"/>
    </xf>
    <xf numFmtId="1" fontId="29" fillId="13" borderId="33" xfId="0" applyNumberFormat="1" applyFont="1" applyFill="1" applyBorder="1" applyAlignment="1" applyProtection="1">
      <alignment horizontal="center" vertical="center"/>
      <protection locked="0"/>
    </xf>
    <xf numFmtId="1" fontId="29" fillId="13" borderId="35" xfId="0" applyNumberFormat="1" applyFont="1" applyFill="1" applyBorder="1" applyAlignment="1" applyProtection="1">
      <alignment horizontal="center" vertical="center"/>
      <protection locked="0"/>
    </xf>
    <xf numFmtId="0" fontId="20" fillId="32" borderId="36" xfId="0" applyFont="1" applyFill="1" applyBorder="1" applyAlignment="1" applyProtection="1">
      <alignment vertical="center"/>
      <protection locked="0"/>
    </xf>
    <xf numFmtId="0" fontId="36" fillId="0" borderId="43" xfId="0" applyFont="1" applyBorder="1" applyAlignment="1" applyProtection="1">
      <alignment horizontal="center" vertical="center"/>
      <protection locked="0"/>
    </xf>
    <xf numFmtId="0" fontId="36" fillId="0" borderId="0" xfId="0" applyFont="1" applyAlignment="1" applyProtection="1">
      <alignment horizontal="center" vertical="center"/>
      <protection locked="0"/>
    </xf>
    <xf numFmtId="0" fontId="37" fillId="34" borderId="43" xfId="0" applyFont="1" applyFill="1" applyBorder="1" applyAlignment="1">
      <alignment horizontal="center" vertical="top"/>
    </xf>
    <xf numFmtId="0" fontId="19" fillId="35" borderId="43" xfId="0" applyFont="1" applyFill="1" applyBorder="1" applyAlignment="1">
      <alignment horizontal="center" vertical="top"/>
    </xf>
    <xf numFmtId="0" fontId="19" fillId="28" borderId="43" xfId="0" applyFont="1" applyFill="1" applyBorder="1" applyAlignment="1">
      <alignment horizontal="center" vertical="top"/>
    </xf>
    <xf numFmtId="0" fontId="19" fillId="36" borderId="43" xfId="0" applyFont="1" applyFill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40" fillId="0" borderId="0" xfId="0" applyFont="1"/>
    <xf numFmtId="0" fontId="19" fillId="37" borderId="43" xfId="0" applyFont="1" applyFill="1" applyBorder="1" applyAlignment="1">
      <alignment horizontal="center" vertical="top"/>
    </xf>
    <xf numFmtId="0" fontId="19" fillId="38" borderId="43" xfId="0" applyFont="1" applyFill="1" applyBorder="1" applyAlignment="1">
      <alignment horizontal="center" vertical="top"/>
    </xf>
    <xf numFmtId="0" fontId="20" fillId="13" borderId="39" xfId="0" applyFont="1" applyFill="1" applyBorder="1" applyAlignment="1" applyProtection="1">
      <alignment horizontal="center" vertical="center"/>
      <protection locked="0"/>
    </xf>
    <xf numFmtId="0" fontId="20" fillId="29" borderId="39" xfId="0" applyFont="1" applyFill="1" applyBorder="1" applyAlignment="1" applyProtection="1">
      <alignment horizontal="center" vertical="center"/>
      <protection locked="0"/>
    </xf>
    <xf numFmtId="0" fontId="20" fillId="33" borderId="18" xfId="0" applyFont="1" applyFill="1" applyBorder="1" applyAlignment="1" applyProtection="1">
      <alignment vertical="center"/>
      <protection locked="0"/>
    </xf>
    <xf numFmtId="1" fontId="20" fillId="33" borderId="18" xfId="0" applyNumberFormat="1" applyFont="1" applyFill="1" applyBorder="1" applyAlignment="1" applyProtection="1">
      <alignment vertical="center"/>
      <protection locked="0"/>
    </xf>
    <xf numFmtId="1" fontId="21" fillId="30" borderId="37" xfId="0" applyNumberFormat="1" applyFont="1" applyFill="1" applyBorder="1" applyAlignment="1" applyProtection="1">
      <alignment vertical="center"/>
      <protection locked="0"/>
    </xf>
    <xf numFmtId="1" fontId="20" fillId="30" borderId="36" xfId="0" applyNumberFormat="1" applyFont="1" applyFill="1" applyBorder="1" applyAlignment="1" applyProtection="1">
      <alignment horizontal="center" vertical="center"/>
      <protection locked="0"/>
    </xf>
    <xf numFmtId="1" fontId="20" fillId="30" borderId="18" xfId="0" applyNumberFormat="1" applyFont="1" applyFill="1" applyBorder="1" applyAlignment="1" applyProtection="1">
      <alignment vertical="center"/>
      <protection locked="0"/>
    </xf>
    <xf numFmtId="0" fontId="20" fillId="0" borderId="39" xfId="0" applyFont="1" applyBorder="1" applyAlignment="1" applyProtection="1">
      <alignment horizontal="center" vertical="center"/>
      <protection locked="0"/>
    </xf>
    <xf numFmtId="0" fontId="20" fillId="0" borderId="37" xfId="0" applyFont="1" applyBorder="1" applyAlignment="1" applyProtection="1">
      <alignment vertical="center"/>
      <protection locked="0"/>
    </xf>
    <xf numFmtId="0" fontId="20" fillId="0" borderId="39" xfId="0" applyFont="1" applyBorder="1" applyAlignment="1" applyProtection="1">
      <alignment vertical="center"/>
      <protection locked="0"/>
    </xf>
    <xf numFmtId="0" fontId="20" fillId="0" borderId="36" xfId="0" applyFont="1" applyBorder="1" applyAlignment="1" applyProtection="1">
      <alignment vertical="center"/>
      <protection locked="0"/>
    </xf>
    <xf numFmtId="1" fontId="20" fillId="0" borderId="39" xfId="0" applyNumberFormat="1" applyFont="1" applyBorder="1" applyAlignment="1" applyProtection="1">
      <alignment vertical="center"/>
      <protection locked="0"/>
    </xf>
    <xf numFmtId="1" fontId="20" fillId="0" borderId="36" xfId="0" applyNumberFormat="1" applyFont="1" applyBorder="1" applyAlignment="1" applyProtection="1">
      <alignment vertical="center"/>
      <protection locked="0"/>
    </xf>
    <xf numFmtId="0" fontId="20" fillId="0" borderId="40" xfId="0" applyFont="1" applyBorder="1" applyAlignment="1" applyProtection="1">
      <alignment vertical="center"/>
      <protection locked="0"/>
    </xf>
    <xf numFmtId="0" fontId="12" fillId="13" borderId="18" xfId="0" applyFont="1" applyFill="1" applyBorder="1" applyAlignment="1" applyProtection="1">
      <alignment horizontal="center" vertical="center"/>
      <protection locked="0"/>
    </xf>
    <xf numFmtId="1" fontId="12" fillId="13" borderId="18" xfId="0" applyNumberFormat="1" applyFont="1" applyFill="1" applyBorder="1" applyAlignment="1" applyProtection="1">
      <alignment horizontal="center" vertical="center"/>
      <protection locked="0"/>
    </xf>
    <xf numFmtId="0" fontId="20" fillId="0" borderId="29" xfId="0" applyFont="1" applyBorder="1" applyAlignment="1">
      <alignment vertical="center"/>
    </xf>
    <xf numFmtId="0" fontId="20" fillId="0" borderId="34" xfId="0" applyFont="1" applyBorder="1" applyAlignment="1">
      <alignment vertical="center" textRotation="90"/>
    </xf>
    <xf numFmtId="0" fontId="20" fillId="0" borderId="27" xfId="0" applyFont="1" applyBorder="1" applyAlignment="1" applyProtection="1">
      <alignment horizontal="center" vertical="center"/>
      <protection locked="0"/>
    </xf>
    <xf numFmtId="1" fontId="20" fillId="0" borderId="27" xfId="0" applyNumberFormat="1" applyFont="1" applyBorder="1" applyAlignment="1" applyProtection="1">
      <alignment vertical="center"/>
      <protection locked="0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" fontId="20" fillId="39" borderId="18" xfId="0" applyNumberFormat="1" applyFont="1" applyFill="1" applyBorder="1" applyAlignment="1" applyProtection="1">
      <alignment horizontal="right" vertical="center"/>
      <protection locked="0"/>
    </xf>
    <xf numFmtId="1" fontId="20" fillId="40" borderId="18" xfId="0" applyNumberFormat="1" applyFont="1" applyFill="1" applyBorder="1" applyAlignment="1" applyProtection="1">
      <alignment vertical="center"/>
      <protection locked="0"/>
    </xf>
    <xf numFmtId="1" fontId="20" fillId="41" borderId="18" xfId="0" applyNumberFormat="1" applyFont="1" applyFill="1" applyBorder="1" applyAlignment="1" applyProtection="1">
      <alignment vertical="center"/>
      <protection locked="0"/>
    </xf>
    <xf numFmtId="0" fontId="21" fillId="28" borderId="35" xfId="0" applyFont="1" applyFill="1" applyBorder="1" applyAlignment="1" applyProtection="1">
      <alignment vertical="center"/>
      <protection locked="0"/>
    </xf>
    <xf numFmtId="0" fontId="20" fillId="28" borderId="31" xfId="0" applyFont="1" applyFill="1" applyBorder="1" applyAlignment="1" applyProtection="1">
      <alignment horizontal="center" vertical="center"/>
      <protection locked="0"/>
    </xf>
    <xf numFmtId="0" fontId="21" fillId="28" borderId="32" xfId="0" applyFont="1" applyFill="1" applyBorder="1" applyAlignment="1" applyProtection="1">
      <alignment vertical="center"/>
      <protection locked="0"/>
    </xf>
    <xf numFmtId="1" fontId="20" fillId="42" borderId="18" xfId="0" applyNumberFormat="1" applyFont="1" applyFill="1" applyBorder="1" applyAlignment="1" applyProtection="1">
      <alignment vertical="center"/>
      <protection locked="0"/>
    </xf>
    <xf numFmtId="1" fontId="20" fillId="36" borderId="18" xfId="0" applyNumberFormat="1" applyFont="1" applyFill="1" applyBorder="1" applyAlignment="1" applyProtection="1">
      <alignment horizontal="right" vertical="center"/>
      <protection locked="0"/>
    </xf>
    <xf numFmtId="0" fontId="37" fillId="0" borderId="29" xfId="0" applyFont="1" applyBorder="1" applyAlignment="1">
      <alignment horizontal="center" vertical="top"/>
    </xf>
    <xf numFmtId="0" fontId="19" fillId="0" borderId="29" xfId="0" applyFont="1" applyBorder="1" applyAlignment="1">
      <alignment horizontal="center" vertical="top"/>
    </xf>
    <xf numFmtId="0" fontId="20" fillId="0" borderId="29" xfId="0" applyFont="1" applyBorder="1" applyAlignment="1">
      <alignment horizontal="center" vertical="top"/>
    </xf>
    <xf numFmtId="0" fontId="11" fillId="0" borderId="29" xfId="0" applyFont="1" applyBorder="1" applyAlignment="1">
      <alignment horizontal="center" vertical="top"/>
    </xf>
    <xf numFmtId="0" fontId="20" fillId="0" borderId="34" xfId="0" applyFont="1" applyBorder="1" applyAlignment="1">
      <alignment horizontal="center" vertical="top"/>
    </xf>
    <xf numFmtId="16" fontId="20" fillId="31" borderId="35" xfId="0" quotePrefix="1" applyNumberFormat="1" applyFont="1" applyFill="1" applyBorder="1" applyAlignment="1" applyProtection="1">
      <alignment horizontal="center" vertical="center"/>
      <protection locked="0"/>
    </xf>
    <xf numFmtId="16" fontId="20" fillId="31" borderId="35" xfId="0" applyNumberFormat="1" applyFont="1" applyFill="1" applyBorder="1" applyAlignment="1" applyProtection="1">
      <alignment horizontal="center" vertical="center"/>
      <protection locked="0"/>
    </xf>
    <xf numFmtId="16" fontId="20" fillId="31" borderId="18" xfId="0" applyNumberFormat="1" applyFont="1" applyFill="1" applyBorder="1" applyAlignment="1" applyProtection="1">
      <alignment horizontal="center" vertical="center"/>
      <protection locked="0"/>
    </xf>
    <xf numFmtId="17" fontId="20" fillId="31" borderId="32" xfId="0" quotePrefix="1" applyNumberFormat="1" applyFont="1" applyFill="1" applyBorder="1" applyAlignment="1" applyProtection="1">
      <alignment horizontal="center" vertical="center"/>
      <protection locked="0"/>
    </xf>
    <xf numFmtId="0" fontId="20" fillId="31" borderId="35" xfId="0" applyFont="1" applyFill="1" applyBorder="1" applyAlignment="1" applyProtection="1">
      <alignment horizontal="center" vertical="center"/>
      <protection locked="0"/>
    </xf>
    <xf numFmtId="0" fontId="20" fillId="31" borderId="35" xfId="0" quotePrefix="1" applyFont="1" applyFill="1" applyBorder="1" applyAlignment="1" applyProtection="1">
      <alignment horizontal="center" vertical="center"/>
      <protection locked="0"/>
    </xf>
    <xf numFmtId="0" fontId="20" fillId="31" borderId="18" xfId="0" applyFont="1" applyFill="1" applyBorder="1" applyAlignment="1" applyProtection="1">
      <alignment horizontal="center" vertical="center"/>
      <protection locked="0"/>
    </xf>
    <xf numFmtId="0" fontId="5" fillId="28" borderId="0" xfId="0" applyFont="1" applyFill="1" applyAlignment="1">
      <alignment horizontal="center" vertical="top"/>
    </xf>
    <xf numFmtId="0" fontId="16" fillId="0" borderId="27" xfId="0" applyFont="1" applyBorder="1" applyAlignment="1">
      <alignment vertical="top"/>
    </xf>
    <xf numFmtId="0" fontId="5" fillId="28" borderId="43" xfId="0" applyFont="1" applyFill="1" applyBorder="1" applyAlignment="1">
      <alignment horizontal="center" vertical="top"/>
    </xf>
    <xf numFmtId="0" fontId="5" fillId="0" borderId="43" xfId="0" applyFont="1" applyBorder="1" applyAlignment="1">
      <alignment horizontal="center" vertical="top"/>
    </xf>
    <xf numFmtId="0" fontId="7" fillId="5" borderId="39" xfId="0" applyFont="1" applyFill="1" applyBorder="1" applyAlignment="1">
      <alignment horizontal="center" vertical="top"/>
    </xf>
    <xf numFmtId="0" fontId="7" fillId="14" borderId="40" xfId="0" applyFont="1" applyFill="1" applyBorder="1" applyAlignment="1">
      <alignment horizontal="center" vertical="top"/>
    </xf>
    <xf numFmtId="0" fontId="7" fillId="14" borderId="42" xfId="0" applyFont="1" applyFill="1" applyBorder="1" applyAlignment="1">
      <alignment horizontal="center" vertical="top"/>
    </xf>
    <xf numFmtId="0" fontId="7" fillId="14" borderId="32" xfId="0" applyFont="1" applyFill="1" applyBorder="1" applyAlignment="1">
      <alignment horizontal="center" vertical="top"/>
    </xf>
    <xf numFmtId="0" fontId="7" fillId="21" borderId="39" xfId="0" applyFont="1" applyFill="1" applyBorder="1" applyAlignment="1">
      <alignment horizontal="center" vertical="top"/>
    </xf>
    <xf numFmtId="0" fontId="5" fillId="20" borderId="29" xfId="0" applyFont="1" applyFill="1" applyBorder="1" applyAlignment="1">
      <alignment horizontal="center" vertical="top"/>
    </xf>
    <xf numFmtId="0" fontId="5" fillId="27" borderId="29" xfId="0" applyFont="1" applyFill="1" applyBorder="1" applyAlignment="1">
      <alignment horizontal="center" vertical="top"/>
    </xf>
    <xf numFmtId="0" fontId="7" fillId="6" borderId="39" xfId="0" applyFont="1" applyFill="1" applyBorder="1" applyAlignment="1">
      <alignment horizontal="center" vertical="top"/>
    </xf>
    <xf numFmtId="0" fontId="7" fillId="7" borderId="39" xfId="0" applyFont="1" applyFill="1" applyBorder="1" applyAlignment="1">
      <alignment horizontal="center" vertical="top"/>
    </xf>
    <xf numFmtId="0" fontId="11" fillId="0" borderId="29" xfId="0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1" fillId="0" borderId="42" xfId="0" applyFont="1" applyBorder="1" applyAlignment="1" applyProtection="1">
      <alignment vertical="center"/>
      <protection locked="0"/>
    </xf>
    <xf numFmtId="0" fontId="20" fillId="13" borderId="18" xfId="0" applyFont="1" applyFill="1" applyBorder="1" applyAlignment="1" applyProtection="1">
      <alignment horizontal="center" vertical="center"/>
      <protection locked="0"/>
    </xf>
    <xf numFmtId="1" fontId="20" fillId="0" borderId="42" xfId="0" applyNumberFormat="1" applyFont="1" applyBorder="1" applyAlignment="1" applyProtection="1">
      <alignment vertical="center"/>
      <protection locked="0"/>
    </xf>
    <xf numFmtId="0" fontId="21" fillId="0" borderId="29" xfId="0" applyFont="1" applyBorder="1" applyAlignment="1">
      <alignment vertical="center"/>
    </xf>
    <xf numFmtId="0" fontId="20" fillId="19" borderId="18" xfId="0" applyFont="1" applyFill="1" applyBorder="1" applyAlignment="1" applyProtection="1">
      <alignment horizontal="center" vertical="center"/>
      <protection locked="0"/>
    </xf>
    <xf numFmtId="0" fontId="20" fillId="19" borderId="18" xfId="0" applyFont="1" applyFill="1" applyBorder="1" applyAlignment="1" applyProtection="1">
      <alignment vertical="center"/>
      <protection locked="0"/>
    </xf>
    <xf numFmtId="0" fontId="20" fillId="19" borderId="35" xfId="0" applyFont="1" applyFill="1" applyBorder="1" applyAlignment="1" applyProtection="1">
      <alignment horizontal="center" vertical="center"/>
      <protection locked="0"/>
    </xf>
    <xf numFmtId="0" fontId="22" fillId="0" borderId="29" xfId="0" applyFont="1" applyBorder="1" applyAlignment="1">
      <alignment vertical="center"/>
    </xf>
    <xf numFmtId="0" fontId="20" fillId="0" borderId="29" xfId="0" applyFont="1" applyBorder="1" applyAlignment="1">
      <alignment vertical="center" textRotation="90"/>
    </xf>
    <xf numFmtId="0" fontId="21" fillId="19" borderId="18" xfId="0" applyFont="1" applyFill="1" applyBorder="1" applyAlignment="1" applyProtection="1">
      <alignment horizontal="center" vertical="center"/>
      <protection locked="0"/>
    </xf>
    <xf numFmtId="0" fontId="20" fillId="0" borderId="24" xfId="0" applyFont="1" applyBorder="1" applyAlignment="1">
      <alignment vertical="center"/>
    </xf>
    <xf numFmtId="0" fontId="21" fillId="0" borderId="24" xfId="0" applyFont="1" applyBorder="1" applyAlignment="1">
      <alignment vertical="center"/>
    </xf>
    <xf numFmtId="0" fontId="20" fillId="0" borderId="24" xfId="0" applyFont="1" applyBorder="1" applyAlignment="1">
      <alignment vertical="center" textRotation="90"/>
    </xf>
    <xf numFmtId="0" fontId="20" fillId="0" borderId="41" xfId="0" applyFont="1" applyBorder="1" applyAlignment="1">
      <alignment vertical="center"/>
    </xf>
    <xf numFmtId="0" fontId="21" fillId="0" borderId="40" xfId="0" applyFont="1" applyBorder="1" applyAlignment="1" applyProtection="1">
      <alignment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vertical="top"/>
      <protection locked="0"/>
    </xf>
    <xf numFmtId="0" fontId="41" fillId="0" borderId="0" xfId="0" applyFont="1" applyProtection="1">
      <protection locked="0"/>
    </xf>
    <xf numFmtId="0" fontId="42" fillId="0" borderId="46" xfId="0" applyFont="1" applyBorder="1" applyAlignment="1" applyProtection="1">
      <alignment horizontal="center" vertical="center"/>
      <protection locked="0"/>
    </xf>
    <xf numFmtId="0" fontId="15" fillId="0" borderId="0" xfId="0" applyFont="1" applyProtection="1">
      <protection locked="0"/>
    </xf>
    <xf numFmtId="0" fontId="15" fillId="0" borderId="46" xfId="0" applyFont="1" applyBorder="1" applyAlignment="1" applyProtection="1">
      <alignment horizontal="left"/>
      <protection locked="0"/>
    </xf>
    <xf numFmtId="0" fontId="42" fillId="0" borderId="0" xfId="0" applyFont="1" applyAlignment="1" applyProtection="1">
      <alignment horizontal="center"/>
      <protection locked="0"/>
    </xf>
    <xf numFmtId="0" fontId="15" fillId="0" borderId="46" xfId="0" applyFont="1" applyBorder="1" applyProtection="1">
      <protection locked="0"/>
    </xf>
    <xf numFmtId="0" fontId="43" fillId="0" borderId="46" xfId="0" applyFont="1" applyBorder="1" applyProtection="1">
      <protection locked="0"/>
    </xf>
    <xf numFmtId="0" fontId="43" fillId="0" borderId="52" xfId="0" applyFont="1" applyBorder="1" applyProtection="1">
      <protection locked="0"/>
    </xf>
    <xf numFmtId="0" fontId="11" fillId="0" borderId="29" xfId="0" applyFont="1" applyBorder="1" applyAlignment="1" applyProtection="1">
      <alignment vertical="center"/>
      <protection locked="0"/>
    </xf>
    <xf numFmtId="0" fontId="15" fillId="0" borderId="29" xfId="0" applyFont="1" applyBorder="1" applyProtection="1">
      <protection locked="0"/>
    </xf>
    <xf numFmtId="0" fontId="41" fillId="0" borderId="34" xfId="0" applyFont="1" applyBorder="1" applyAlignment="1" applyProtection="1">
      <alignment textRotation="90"/>
      <protection locked="0"/>
    </xf>
    <xf numFmtId="0" fontId="41" fillId="0" borderId="29" xfId="0" applyFont="1" applyBorder="1" applyAlignment="1" applyProtection="1">
      <alignment horizontal="center" textRotation="180"/>
      <protection locked="0"/>
    </xf>
    <xf numFmtId="0" fontId="37" fillId="0" borderId="34" xfId="0" applyFont="1" applyBorder="1" applyAlignment="1" applyProtection="1">
      <alignment horizontal="right" textRotation="90"/>
      <protection locked="0"/>
    </xf>
    <xf numFmtId="0" fontId="41" fillId="0" borderId="29" xfId="0" quotePrefix="1" applyFont="1" applyBorder="1" applyAlignment="1" applyProtection="1">
      <alignment horizontal="center" vertical="center" textRotation="180"/>
      <protection locked="0"/>
    </xf>
    <xf numFmtId="0" fontId="43" fillId="0" borderId="29" xfId="0" applyFont="1" applyBorder="1" applyProtection="1">
      <protection locked="0"/>
    </xf>
    <xf numFmtId="0" fontId="37" fillId="0" borderId="34" xfId="0" applyFont="1" applyBorder="1" applyAlignment="1" applyProtection="1">
      <alignment horizontal="right" vertical="top" textRotation="90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53" xfId="0" applyFont="1" applyBorder="1" applyAlignment="1" applyProtection="1">
      <alignment vertical="center"/>
      <protection locked="0"/>
    </xf>
    <xf numFmtId="0" fontId="15" fillId="0" borderId="53" xfId="0" applyFont="1" applyBorder="1" applyProtection="1">
      <protection locked="0"/>
    </xf>
    <xf numFmtId="0" fontId="41" fillId="0" borderId="53" xfId="0" applyFont="1" applyBorder="1" applyAlignment="1" applyProtection="1">
      <alignment textRotation="90"/>
      <protection locked="0"/>
    </xf>
    <xf numFmtId="0" fontId="41" fillId="0" borderId="0" xfId="0" applyFont="1" applyAlignment="1" applyProtection="1">
      <alignment horizontal="center" textRotation="180"/>
      <protection locked="0"/>
    </xf>
    <xf numFmtId="0" fontId="42" fillId="0" borderId="0" xfId="0" applyFont="1" applyAlignment="1" applyProtection="1">
      <alignment horizontal="right" textRotation="90"/>
      <protection locked="0"/>
    </xf>
    <xf numFmtId="0" fontId="41" fillId="0" borderId="0" xfId="0" quotePrefix="1" applyFont="1" applyAlignment="1" applyProtection="1">
      <alignment horizontal="center" vertical="center" textRotation="180"/>
      <protection locked="0"/>
    </xf>
    <xf numFmtId="0" fontId="43" fillId="0" borderId="0" xfId="0" applyFont="1" applyProtection="1">
      <protection locked="0"/>
    </xf>
    <xf numFmtId="0" fontId="37" fillId="0" borderId="0" xfId="0" applyFont="1" applyAlignment="1" applyProtection="1">
      <alignment horizontal="right" vertical="top" textRotation="90"/>
      <protection locked="0"/>
    </xf>
    <xf numFmtId="0" fontId="41" fillId="0" borderId="0" xfId="0" applyFont="1" applyAlignment="1" applyProtection="1">
      <alignment horizontal="center" vertical="center" textRotation="180"/>
      <protection locked="0"/>
    </xf>
    <xf numFmtId="0" fontId="41" fillId="0" borderId="0" xfId="0" applyFont="1" applyAlignment="1" applyProtection="1">
      <alignment horizontal="center" vertical="center" textRotation="90"/>
      <protection locked="0"/>
    </xf>
    <xf numFmtId="0" fontId="44" fillId="0" borderId="0" xfId="0" applyFont="1" applyAlignment="1" applyProtection="1">
      <alignment vertical="center"/>
      <protection locked="0"/>
    </xf>
    <xf numFmtId="0" fontId="41" fillId="0" borderId="0" xfId="0" applyFont="1" applyAlignment="1" applyProtection="1">
      <alignment horizontal="center" textRotation="90"/>
      <protection locked="0"/>
    </xf>
    <xf numFmtId="0" fontId="41" fillId="0" borderId="49" xfId="0" applyFont="1" applyBorder="1" applyAlignment="1" applyProtection="1">
      <alignment horizontal="center" vertical="center" textRotation="180"/>
      <protection locked="0"/>
    </xf>
    <xf numFmtId="0" fontId="15" fillId="0" borderId="49" xfId="0" applyFont="1" applyBorder="1" applyProtection="1">
      <protection locked="0"/>
    </xf>
    <xf numFmtId="0" fontId="41" fillId="0" borderId="49" xfId="0" applyFont="1" applyBorder="1" applyAlignment="1" applyProtection="1">
      <alignment horizontal="center" vertical="center" textRotation="90"/>
      <protection locked="0"/>
    </xf>
    <xf numFmtId="0" fontId="15" fillId="0" borderId="56" xfId="0" applyFont="1" applyBorder="1" applyProtection="1">
      <protection locked="0"/>
    </xf>
    <xf numFmtId="0" fontId="43" fillId="0" borderId="56" xfId="0" applyFont="1" applyBorder="1" applyProtection="1">
      <protection locked="0"/>
    </xf>
    <xf numFmtId="0" fontId="41" fillId="0" borderId="46" xfId="0" applyFont="1" applyBorder="1" applyAlignment="1" applyProtection="1">
      <alignment vertical="top"/>
      <protection locked="0"/>
    </xf>
    <xf numFmtId="0" fontId="41" fillId="0" borderId="46" xfId="0" applyFont="1" applyBorder="1" applyProtection="1">
      <protection locked="0"/>
    </xf>
    <xf numFmtId="0" fontId="19" fillId="0" borderId="56" xfId="0" applyFont="1" applyBorder="1" applyAlignment="1" applyProtection="1">
      <alignment vertical="center"/>
      <protection locked="0"/>
    </xf>
    <xf numFmtId="0" fontId="37" fillId="0" borderId="46" xfId="0" applyFont="1" applyBorder="1" applyAlignment="1" applyProtection="1">
      <alignment horizontal="center"/>
      <protection locked="0"/>
    </xf>
    <xf numFmtId="0" fontId="20" fillId="0" borderId="57" xfId="0" applyFont="1" applyBorder="1" applyAlignment="1">
      <alignment vertical="top"/>
    </xf>
    <xf numFmtId="0" fontId="45" fillId="0" borderId="58" xfId="0" applyFont="1" applyBorder="1" applyAlignment="1">
      <alignment horizontal="center" vertical="center"/>
    </xf>
    <xf numFmtId="0" fontId="20" fillId="0" borderId="59" xfId="0" applyFont="1" applyBorder="1" applyAlignment="1">
      <alignment vertical="top"/>
    </xf>
    <xf numFmtId="1" fontId="20" fillId="43" borderId="18" xfId="0" applyNumberFormat="1" applyFont="1" applyFill="1" applyBorder="1" applyAlignment="1" applyProtection="1">
      <alignment vertical="center"/>
      <protection locked="0"/>
    </xf>
    <xf numFmtId="1" fontId="20" fillId="43" borderId="18" xfId="0" applyNumberFormat="1" applyFont="1" applyFill="1" applyBorder="1" applyAlignment="1" applyProtection="1">
      <alignment horizontal="right" vertical="center"/>
      <protection locked="0"/>
    </xf>
    <xf numFmtId="1" fontId="21" fillId="0" borderId="18" xfId="0" applyNumberFormat="1" applyFont="1" applyBorder="1" applyAlignment="1" applyProtection="1">
      <alignment horizontal="center" vertical="center"/>
      <protection locked="0"/>
    </xf>
    <xf numFmtId="1" fontId="20" fillId="0" borderId="18" xfId="0" applyNumberFormat="1" applyFont="1" applyBorder="1" applyAlignment="1" applyProtection="1">
      <alignment horizontal="center" vertical="center"/>
      <protection locked="0"/>
    </xf>
    <xf numFmtId="0" fontId="21" fillId="28" borderId="42" xfId="0" applyFont="1" applyFill="1" applyBorder="1" applyAlignment="1" applyProtection="1">
      <alignment vertical="center"/>
      <protection locked="0"/>
    </xf>
    <xf numFmtId="0" fontId="20" fillId="28" borderId="34" xfId="0" applyFont="1" applyFill="1" applyBorder="1" applyAlignment="1" applyProtection="1">
      <alignment horizontal="center" vertical="center"/>
      <protection locked="0"/>
    </xf>
    <xf numFmtId="1" fontId="20" fillId="28" borderId="28" xfId="0" applyNumberFormat="1" applyFont="1" applyFill="1" applyBorder="1" applyAlignment="1" applyProtection="1">
      <alignment vertical="center"/>
      <protection locked="0"/>
    </xf>
    <xf numFmtId="1" fontId="20" fillId="0" borderId="29" xfId="0" applyNumberFormat="1" applyFont="1" applyBorder="1" applyAlignment="1" applyProtection="1">
      <alignment vertical="center"/>
      <protection locked="0"/>
    </xf>
    <xf numFmtId="1" fontId="20" fillId="0" borderId="29" xfId="0" applyNumberFormat="1" applyFont="1" applyBorder="1" applyAlignment="1" applyProtection="1">
      <alignment horizontal="right" vertical="center"/>
      <protection locked="0"/>
    </xf>
    <xf numFmtId="0" fontId="22" fillId="0" borderId="29" xfId="0" applyFont="1" applyBorder="1" applyAlignment="1">
      <alignment vertical="top"/>
    </xf>
    <xf numFmtId="0" fontId="16" fillId="0" borderId="29" xfId="0" applyFont="1" applyBorder="1" applyAlignment="1">
      <alignment vertical="top"/>
    </xf>
    <xf numFmtId="0" fontId="17" fillId="0" borderId="29" xfId="0" applyFont="1" applyBorder="1" applyAlignment="1" applyProtection="1">
      <alignment vertical="top"/>
      <protection locked="0"/>
    </xf>
    <xf numFmtId="0" fontId="17" fillId="0" borderId="29" xfId="0" applyFont="1" applyBorder="1" applyAlignment="1" applyProtection="1">
      <alignment horizontal="center" vertical="top"/>
      <protection locked="0"/>
    </xf>
    <xf numFmtId="0" fontId="16" fillId="0" borderId="29" xfId="0" applyFont="1" applyBorder="1" applyAlignment="1" applyProtection="1">
      <alignment vertical="top"/>
      <protection locked="0"/>
    </xf>
    <xf numFmtId="1" fontId="17" fillId="0" borderId="29" xfId="0" applyNumberFormat="1" applyFont="1" applyBorder="1" applyAlignment="1" applyProtection="1">
      <alignment vertical="top"/>
      <protection locked="0"/>
    </xf>
    <xf numFmtId="1" fontId="16" fillId="0" borderId="29" xfId="0" applyNumberFormat="1" applyFont="1" applyBorder="1" applyAlignment="1" applyProtection="1">
      <alignment vertical="top"/>
      <protection locked="0"/>
    </xf>
    <xf numFmtId="1" fontId="17" fillId="0" borderId="29" xfId="0" applyNumberFormat="1" applyFont="1" applyBorder="1" applyAlignment="1" applyProtection="1">
      <alignment horizontal="right" vertical="center"/>
      <protection locked="0"/>
    </xf>
    <xf numFmtId="0" fontId="18" fillId="0" borderId="29" xfId="0" applyFont="1" applyBorder="1" applyAlignment="1">
      <alignment vertical="top"/>
    </xf>
    <xf numFmtId="1" fontId="20" fillId="0" borderId="41" xfId="0" applyNumberFormat="1" applyFont="1" applyBorder="1" applyAlignment="1" applyProtection="1">
      <alignment vertical="center"/>
      <protection locked="0"/>
    </xf>
    <xf numFmtId="1" fontId="20" fillId="0" borderId="33" xfId="0" applyNumberFormat="1" applyFont="1" applyBorder="1" applyAlignment="1" applyProtection="1">
      <alignment vertical="center"/>
      <protection locked="0"/>
    </xf>
    <xf numFmtId="1" fontId="20" fillId="0" borderId="35" xfId="0" applyNumberFormat="1" applyFont="1" applyBorder="1" applyAlignment="1" applyProtection="1">
      <alignment vertical="center"/>
      <protection locked="0"/>
    </xf>
    <xf numFmtId="0" fontId="6" fillId="13" borderId="22" xfId="0" applyFont="1" applyFill="1" applyBorder="1" applyAlignment="1">
      <alignment horizontal="center" vertical="center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14" borderId="22" xfId="0" applyFont="1" applyFill="1" applyBorder="1" applyAlignment="1">
      <alignment horizontal="center" vertical="center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0" fontId="7" fillId="14" borderId="22" xfId="0" applyFont="1" applyFill="1" applyBorder="1" applyAlignment="1">
      <alignment horizontal="center" vertical="center"/>
    </xf>
    <xf numFmtId="0" fontId="7" fillId="14" borderId="40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6" fillId="13" borderId="25" xfId="0" applyFont="1" applyFill="1" applyBorder="1" applyAlignment="1">
      <alignment horizontal="center" vertical="center"/>
    </xf>
    <xf numFmtId="0" fontId="5" fillId="0" borderId="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14" borderId="42" xfId="0" applyFont="1" applyFill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27" xfId="0" applyFont="1" applyBorder="1" applyAlignment="1" applyProtection="1">
      <alignment horizontal="center" vertical="center"/>
      <protection locked="0"/>
    </xf>
    <xf numFmtId="0" fontId="7" fillId="14" borderId="28" xfId="0" applyFont="1" applyFill="1" applyBorder="1" applyAlignment="1">
      <alignment horizontal="center" vertical="center"/>
    </xf>
    <xf numFmtId="0" fontId="5" fillId="14" borderId="45" xfId="0" applyFont="1" applyFill="1" applyBorder="1" applyAlignment="1">
      <alignment horizontal="center" vertical="center"/>
    </xf>
    <xf numFmtId="0" fontId="5" fillId="14" borderId="18" xfId="0" applyFont="1" applyFill="1" applyBorder="1" applyAlignment="1">
      <alignment horizontal="center" vertical="center"/>
    </xf>
    <xf numFmtId="0" fontId="7" fillId="14" borderId="18" xfId="0" applyFont="1" applyFill="1" applyBorder="1" applyAlignment="1">
      <alignment horizontal="center" vertical="center"/>
    </xf>
    <xf numFmtId="0" fontId="7" fillId="14" borderId="32" xfId="0" applyFont="1" applyFill="1" applyBorder="1" applyAlignment="1">
      <alignment horizontal="center" vertical="center"/>
    </xf>
    <xf numFmtId="0" fontId="21" fillId="0" borderId="60" xfId="0" applyFont="1" applyBorder="1" applyAlignment="1" applyProtection="1">
      <alignment vertical="center"/>
      <protection locked="0"/>
    </xf>
    <xf numFmtId="0" fontId="21" fillId="0" borderId="61" xfId="0" applyFont="1" applyBorder="1" applyAlignment="1" applyProtection="1">
      <alignment vertical="center"/>
      <protection locked="0"/>
    </xf>
    <xf numFmtId="0" fontId="11" fillId="44" borderId="43" xfId="1" applyFont="1" applyFill="1" applyBorder="1" applyAlignment="1" applyProtection="1">
      <alignment vertical="center"/>
      <protection locked="0"/>
    </xf>
    <xf numFmtId="1" fontId="20" fillId="44" borderId="18" xfId="0" applyNumberFormat="1" applyFont="1" applyFill="1" applyBorder="1" applyAlignment="1" applyProtection="1">
      <alignment vertical="center"/>
      <protection locked="0"/>
    </xf>
    <xf numFmtId="1" fontId="20" fillId="45" borderId="18" xfId="0" applyNumberFormat="1" applyFont="1" applyFill="1" applyBorder="1" applyAlignment="1" applyProtection="1">
      <alignment vertical="center"/>
      <protection locked="0"/>
    </xf>
    <xf numFmtId="1" fontId="20" fillId="45" borderId="18" xfId="0" applyNumberFormat="1" applyFont="1" applyFill="1" applyBorder="1" applyAlignment="1" applyProtection="1">
      <alignment horizontal="right" vertical="center"/>
      <protection locked="0"/>
    </xf>
    <xf numFmtId="0" fontId="6" fillId="0" borderId="1" xfId="0" applyFont="1" applyBorder="1" applyAlignment="1">
      <alignment horizontal="center" vertical="center"/>
    </xf>
    <xf numFmtId="0" fontId="25" fillId="0" borderId="2" xfId="0" applyFont="1" applyBorder="1"/>
    <xf numFmtId="49" fontId="16" fillId="0" borderId="44" xfId="0" applyNumberFormat="1" applyFont="1" applyBorder="1" applyAlignment="1">
      <alignment vertical="top"/>
    </xf>
    <xf numFmtId="0" fontId="16" fillId="0" borderId="44" xfId="0" applyFont="1" applyBorder="1" applyAlignment="1">
      <alignment vertical="top"/>
    </xf>
    <xf numFmtId="0" fontId="20" fillId="0" borderId="37" xfId="0" applyFont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 vertical="center"/>
      <protection locked="0"/>
    </xf>
    <xf numFmtId="0" fontId="11" fillId="0" borderId="36" xfId="0" applyFont="1" applyBorder="1" applyAlignment="1" applyProtection="1">
      <alignment horizontal="center" vertical="center"/>
      <protection locked="0"/>
    </xf>
    <xf numFmtId="1" fontId="16" fillId="0" borderId="27" xfId="0" applyNumberFormat="1" applyFont="1" applyBorder="1" applyAlignment="1" applyProtection="1">
      <alignment vertical="top"/>
      <protection locked="0"/>
    </xf>
    <xf numFmtId="0" fontId="20" fillId="0" borderId="37" xfId="0" applyFont="1" applyBorder="1" applyAlignment="1" applyProtection="1">
      <alignment vertical="center"/>
      <protection locked="0"/>
    </xf>
    <xf numFmtId="0" fontId="11" fillId="0" borderId="36" xfId="0" applyFont="1" applyBorder="1" applyAlignment="1" applyProtection="1">
      <alignment vertical="center"/>
      <protection locked="0"/>
    </xf>
    <xf numFmtId="49" fontId="20" fillId="0" borderId="37" xfId="0" applyNumberFormat="1" applyFont="1" applyBorder="1" applyAlignment="1" applyProtection="1">
      <alignment horizontal="center" vertical="center"/>
      <protection locked="0"/>
    </xf>
    <xf numFmtId="0" fontId="20" fillId="31" borderId="40" xfId="0" applyFont="1" applyFill="1" applyBorder="1" applyAlignment="1" applyProtection="1">
      <alignment horizontal="center" vertical="center"/>
      <protection locked="0"/>
    </xf>
    <xf numFmtId="0" fontId="11" fillId="31" borderId="24" xfId="0" applyFont="1" applyFill="1" applyBorder="1" applyAlignment="1" applyProtection="1">
      <alignment horizontal="center" vertical="center"/>
      <protection locked="0"/>
    </xf>
    <xf numFmtId="0" fontId="11" fillId="31" borderId="41" xfId="0" applyFont="1" applyFill="1" applyBorder="1" applyAlignment="1" applyProtection="1">
      <alignment horizontal="center" vertical="center"/>
      <protection locked="0"/>
    </xf>
    <xf numFmtId="0" fontId="11" fillId="31" borderId="32" xfId="0" applyFont="1" applyFill="1" applyBorder="1" applyAlignment="1" applyProtection="1">
      <alignment horizontal="center" vertical="center"/>
      <protection locked="0"/>
    </xf>
    <xf numFmtId="0" fontId="11" fillId="31" borderId="27" xfId="0" applyFont="1" applyFill="1" applyBorder="1" applyAlignment="1" applyProtection="1">
      <alignment horizontal="center" vertical="center"/>
      <protection locked="0"/>
    </xf>
    <xf numFmtId="0" fontId="11" fillId="31" borderId="31" xfId="0" applyFont="1" applyFill="1" applyBorder="1" applyAlignment="1" applyProtection="1">
      <alignment horizontal="center" vertical="center"/>
      <protection locked="0"/>
    </xf>
    <xf numFmtId="0" fontId="21" fillId="0" borderId="37" xfId="0" applyFont="1" applyBorder="1" applyAlignment="1" applyProtection="1">
      <alignment vertical="center"/>
      <protection locked="0"/>
    </xf>
    <xf numFmtId="0" fontId="11" fillId="0" borderId="39" xfId="0" applyFont="1" applyBorder="1" applyAlignment="1" applyProtection="1">
      <alignment vertical="center"/>
      <protection locked="0"/>
    </xf>
    <xf numFmtId="49" fontId="17" fillId="0" borderId="29" xfId="0" applyNumberFormat="1" applyFont="1" applyBorder="1" applyAlignment="1">
      <alignment vertical="top"/>
    </xf>
    <xf numFmtId="0" fontId="17" fillId="0" borderId="29" xfId="0" applyFont="1" applyBorder="1" applyAlignment="1">
      <alignment vertical="top"/>
    </xf>
    <xf numFmtId="1" fontId="13" fillId="13" borderId="32" xfId="0" applyNumberFormat="1" applyFont="1" applyFill="1" applyBorder="1" applyAlignment="1" applyProtection="1">
      <alignment horizontal="center" vertical="top"/>
      <protection locked="0"/>
    </xf>
    <xf numFmtId="0" fontId="15" fillId="0" borderId="31" xfId="0" applyFont="1" applyBorder="1" applyAlignment="1" applyProtection="1">
      <alignment horizontal="center" vertical="top"/>
      <protection locked="0"/>
    </xf>
    <xf numFmtId="1" fontId="16" fillId="0" borderId="27" xfId="0" applyNumberFormat="1" applyFont="1" applyBorder="1" applyAlignment="1">
      <alignment vertical="top"/>
    </xf>
    <xf numFmtId="0" fontId="21" fillId="13" borderId="28" xfId="0" applyFont="1" applyFill="1" applyBorder="1" applyAlignment="1" applyProtection="1">
      <alignment vertical="center" textRotation="90"/>
      <protection locked="0"/>
    </xf>
    <xf numFmtId="0" fontId="11" fillId="0" borderId="33" xfId="0" applyFont="1" applyBorder="1" applyAlignment="1" applyProtection="1">
      <alignment vertical="center"/>
      <protection locked="0"/>
    </xf>
    <xf numFmtId="0" fontId="11" fillId="0" borderId="35" xfId="0" applyFont="1" applyBorder="1" applyAlignment="1" applyProtection="1">
      <alignment vertical="center"/>
      <protection locked="0"/>
    </xf>
    <xf numFmtId="0" fontId="11" fillId="0" borderId="60" xfId="0" applyFont="1" applyBorder="1" applyAlignment="1" applyProtection="1">
      <alignment vertical="center"/>
      <protection locked="0"/>
    </xf>
    <xf numFmtId="0" fontId="29" fillId="0" borderId="29" xfId="0" applyFont="1" applyBorder="1" applyAlignment="1">
      <alignment horizontal="center" vertical="top"/>
    </xf>
    <xf numFmtId="0" fontId="29" fillId="0" borderId="34" xfId="0" applyFont="1" applyBorder="1" applyAlignment="1">
      <alignment horizontal="center" vertical="top"/>
    </xf>
    <xf numFmtId="0" fontId="35" fillId="0" borderId="29" xfId="0" applyFont="1" applyBorder="1" applyAlignment="1" applyProtection="1">
      <alignment vertical="top"/>
      <protection locked="0"/>
    </xf>
    <xf numFmtId="49" fontId="15" fillId="0" borderId="53" xfId="0" applyNumberFormat="1" applyFont="1" applyBorder="1" applyAlignment="1" applyProtection="1">
      <alignment horizontal="center" vertical="center" textRotation="90"/>
      <protection locked="0"/>
    </xf>
    <xf numFmtId="0" fontId="15" fillId="0" borderId="29" xfId="0" applyFont="1" applyBorder="1" applyAlignment="1" applyProtection="1">
      <alignment horizontal="center" vertical="center" textRotation="90"/>
      <protection locked="0"/>
    </xf>
    <xf numFmtId="0" fontId="15" fillId="0" borderId="57" xfId="0" applyFont="1" applyBorder="1" applyAlignment="1" applyProtection="1">
      <alignment horizontal="center" vertical="center" textRotation="90"/>
      <protection locked="0"/>
    </xf>
    <xf numFmtId="49" fontId="15" fillId="0" borderId="47" xfId="0" applyNumberFormat="1" applyFont="1" applyBorder="1" applyAlignment="1" applyProtection="1">
      <alignment horizontal="center" vertical="center" textRotation="90"/>
      <protection locked="0"/>
    </xf>
    <xf numFmtId="0" fontId="15" fillId="0" borderId="48" xfId="0" applyFont="1" applyBorder="1" applyAlignment="1" applyProtection="1">
      <alignment horizontal="center" vertical="center" textRotation="90"/>
      <protection locked="0"/>
    </xf>
    <xf numFmtId="0" fontId="15" fillId="0" borderId="51" xfId="0" applyFont="1" applyBorder="1" applyAlignment="1" applyProtection="1">
      <alignment horizontal="center" vertical="center" textRotation="90"/>
      <protection locked="0"/>
    </xf>
    <xf numFmtId="0" fontId="15" fillId="0" borderId="0" xfId="0" applyFont="1" applyProtection="1">
      <protection locked="0"/>
    </xf>
    <xf numFmtId="0" fontId="35" fillId="0" borderId="29" xfId="0" applyFont="1" applyBorder="1" applyAlignment="1">
      <alignment vertical="top"/>
    </xf>
    <xf numFmtId="49" fontId="16" fillId="0" borderId="27" xfId="0" applyNumberFormat="1" applyFont="1" applyBorder="1" applyAlignment="1">
      <alignment vertical="top"/>
    </xf>
    <xf numFmtId="0" fontId="16" fillId="0" borderId="27" xfId="0" applyFont="1" applyBorder="1" applyAlignment="1">
      <alignment vertical="top"/>
    </xf>
    <xf numFmtId="49" fontId="15" fillId="0" borderId="49" xfId="0" applyNumberFormat="1" applyFont="1" applyBorder="1" applyAlignment="1" applyProtection="1">
      <alignment horizontal="center" vertical="center"/>
      <protection locked="0"/>
    </xf>
    <xf numFmtId="0" fontId="15" fillId="0" borderId="50" xfId="0" applyFont="1" applyBorder="1" applyAlignment="1" applyProtection="1">
      <alignment horizontal="center" vertical="center"/>
      <protection locked="0"/>
    </xf>
    <xf numFmtId="49" fontId="15" fillId="0" borderId="54" xfId="0" applyNumberFormat="1" applyFont="1" applyBorder="1" applyAlignment="1" applyProtection="1">
      <alignment horizontal="center" vertical="center"/>
      <protection locked="0"/>
    </xf>
    <xf numFmtId="0" fontId="15" fillId="0" borderId="55" xfId="0" applyFont="1" applyBorder="1" applyAlignment="1" applyProtection="1">
      <alignment horizontal="center" vertical="center"/>
      <protection locked="0"/>
    </xf>
    <xf numFmtId="0" fontId="20" fillId="31" borderId="37" xfId="0" applyFont="1" applyFill="1" applyBorder="1" applyAlignment="1" applyProtection="1">
      <alignment horizontal="center" vertical="center"/>
      <protection locked="0"/>
    </xf>
    <xf numFmtId="0" fontId="11" fillId="31" borderId="36" xfId="0" applyFont="1" applyFill="1" applyBorder="1" applyAlignment="1" applyProtection="1">
      <alignment horizontal="center" vertical="center"/>
      <protection locked="0"/>
    </xf>
    <xf numFmtId="16" fontId="20" fillId="31" borderId="37" xfId="0" applyNumberFormat="1" applyFont="1" applyFill="1" applyBorder="1" applyAlignment="1" applyProtection="1">
      <alignment horizontal="center" vertical="center"/>
      <protection locked="0"/>
    </xf>
    <xf numFmtId="0" fontId="11" fillId="31" borderId="39" xfId="0" applyFont="1" applyFill="1" applyBorder="1" applyAlignment="1" applyProtection="1">
      <alignment horizontal="center" vertical="center"/>
      <protection locked="0"/>
    </xf>
    <xf numFmtId="0" fontId="19" fillId="0" borderId="27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Normal 2" xfId="1" xr:uid="{4CAFF27D-131D-4001-96AF-006EEABE028C}"/>
  </cellStyles>
  <dxfs count="0"/>
  <tableStyles count="0" defaultTableStyle="TableStyleMedium2" defaultPivotStyle="PivotStyleLight16"/>
  <colors>
    <mruColors>
      <color rgb="FFCCFFCC"/>
      <color rgb="FFE7FFE7"/>
      <color rgb="FFFF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/>
              <a:t>ปริมาณการจราจรตามช่วงเวลา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8760692424824117E-2"/>
          <c:y val="0.13794667143640668"/>
          <c:w val="0.84371021181001193"/>
          <c:h val="0.708265825925763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Report!$H$4:$S$4</c:f>
              <c:strCache>
                <c:ptCount val="12"/>
                <c:pt idx="0">
                  <c:v>07-08</c:v>
                </c:pt>
                <c:pt idx="1">
                  <c:v>08-09</c:v>
                </c:pt>
                <c:pt idx="2">
                  <c:v>09-10</c:v>
                </c:pt>
                <c:pt idx="3">
                  <c:v>10-11</c:v>
                </c:pt>
                <c:pt idx="4">
                  <c:v>11-12</c:v>
                </c:pt>
                <c:pt idx="5">
                  <c:v>12-13</c:v>
                </c:pt>
                <c:pt idx="6">
                  <c:v>13-14</c:v>
                </c:pt>
                <c:pt idx="7">
                  <c:v>14-15</c:v>
                </c:pt>
                <c:pt idx="8">
                  <c:v>15-16</c:v>
                </c:pt>
                <c:pt idx="9">
                  <c:v>16-17</c:v>
                </c:pt>
                <c:pt idx="10">
                  <c:v>17-18</c:v>
                </c:pt>
                <c:pt idx="11">
                  <c:v>18-19</c:v>
                </c:pt>
              </c:strCache>
            </c:strRef>
          </c:cat>
          <c:val>
            <c:numRef>
              <c:f>Report!$H$68:$S$68</c:f>
              <c:numCache>
                <c:formatCode>0</c:formatCode>
                <c:ptCount val="12"/>
                <c:pt idx="0">
                  <c:v>3550</c:v>
                </c:pt>
                <c:pt idx="1">
                  <c:v>3448</c:v>
                </c:pt>
                <c:pt idx="2">
                  <c:v>3368</c:v>
                </c:pt>
                <c:pt idx="3">
                  <c:v>3173</c:v>
                </c:pt>
                <c:pt idx="4">
                  <c:v>3134</c:v>
                </c:pt>
                <c:pt idx="5">
                  <c:v>3133</c:v>
                </c:pt>
                <c:pt idx="6">
                  <c:v>3180</c:v>
                </c:pt>
                <c:pt idx="7">
                  <c:v>3210</c:v>
                </c:pt>
                <c:pt idx="8">
                  <c:v>3309</c:v>
                </c:pt>
                <c:pt idx="9">
                  <c:v>3734</c:v>
                </c:pt>
                <c:pt idx="10">
                  <c:v>3835</c:v>
                </c:pt>
                <c:pt idx="11">
                  <c:v>3477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8C-4CEB-9363-554D79931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1567041"/>
        <c:axId val="70646864"/>
      </c:barChart>
      <c:catAx>
        <c:axId val="701567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ช่วงเวลา</a:t>
                </a:r>
              </a:p>
            </c:rich>
          </c:tx>
          <c:layout>
            <c:manualLayout>
              <c:xMode val="edge"/>
              <c:yMode val="edge"/>
              <c:x val="0.9423326434772471"/>
              <c:y val="0.873407089933307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>
              <a:defRPr/>
            </a:pPr>
            <a:endParaRPr lang="th-TH"/>
          </a:p>
        </c:txPr>
        <c:crossAx val="70646864"/>
        <c:crosses val="autoZero"/>
        <c:auto val="1"/>
        <c:lblAlgn val="ctr"/>
        <c:lblOffset val="100"/>
        <c:noMultiLvlLbl val="1"/>
      </c:catAx>
      <c:valAx>
        <c:axId val="70646864"/>
        <c:scaling>
          <c:orientation val="minMax"/>
        </c:scaling>
        <c:delete val="0"/>
        <c:axPos val="l"/>
        <c:majorGridlines>
          <c:spPr>
            <a:ln>
              <a:solidFill>
                <a:srgbClr val="CCFFCC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th-TH"/>
                  <a:t>ปริมาณ(คัน/ชม.)</a:t>
                </a:r>
              </a:p>
            </c:rich>
          </c:tx>
          <c:layout>
            <c:manualLayout>
              <c:xMode val="edge"/>
              <c:yMode val="edge"/>
              <c:x val="1.8250177121384857E-3"/>
              <c:y val="3.7318515472833887E-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 rot="0"/>
          <a:lstStyle/>
          <a:p>
            <a:pPr>
              <a:defRPr/>
            </a:pPr>
            <a:endParaRPr lang="th-TH"/>
          </a:p>
        </c:txPr>
        <c:crossAx val="701567041"/>
        <c:crosses val="autoZero"/>
        <c:crossBetween val="between"/>
      </c:valAx>
    </c:plotArea>
    <c:plotVisOnly val="1"/>
    <c:dispBlanksAs val="zero"/>
    <c:showDLblsOverMax val="1"/>
  </c:chart>
  <c:txPr>
    <a:bodyPr/>
    <a:lstStyle/>
    <a:p>
      <a:pPr>
        <a:defRPr sz="1400">
          <a:latin typeface="TH Sarabun New" panose="020B0500040200020003" pitchFamily="34" charset="-34"/>
          <a:cs typeface="TH Sarabun New" panose="020B0500040200020003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</xdr:colOff>
      <xdr:row>0</xdr:row>
      <xdr:rowOff>0</xdr:rowOff>
    </xdr:from>
    <xdr:ext cx="14287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279325" y="3646650"/>
          <a:ext cx="133350" cy="266700"/>
        </a:xfrm>
        <a:prstGeom prst="upArrow">
          <a:avLst>
            <a:gd name="adj1" fmla="val 50000"/>
            <a:gd name="adj2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57150</xdr:colOff>
      <xdr:row>0</xdr:row>
      <xdr:rowOff>0</xdr:rowOff>
    </xdr:from>
    <xdr:ext cx="238125" cy="2667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 flipH="1">
          <a:off x="5231700" y="3651413"/>
          <a:ext cx="228600" cy="257175"/>
        </a:xfrm>
        <a:prstGeom prst="bentArrow">
          <a:avLst>
            <a:gd name="adj1" fmla="val 25000"/>
            <a:gd name="adj2" fmla="val 25927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</xdr:colOff>
      <xdr:row>0</xdr:row>
      <xdr:rowOff>0</xdr:rowOff>
    </xdr:from>
    <xdr:ext cx="238125" cy="257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38100</xdr:colOff>
      <xdr:row>0</xdr:row>
      <xdr:rowOff>0</xdr:rowOff>
    </xdr:from>
    <xdr:ext cx="238125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57150</xdr:colOff>
      <xdr:row>0</xdr:row>
      <xdr:rowOff>0</xdr:rowOff>
    </xdr:from>
    <xdr:ext cx="142875" cy="2762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279325" y="3646650"/>
          <a:ext cx="133350" cy="266700"/>
        </a:xfrm>
        <a:prstGeom prst="upArrow">
          <a:avLst>
            <a:gd name="adj1" fmla="val 50000"/>
            <a:gd name="adj2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95250</xdr:colOff>
      <xdr:row>0</xdr:row>
      <xdr:rowOff>0</xdr:rowOff>
    </xdr:from>
    <xdr:ext cx="238125" cy="266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flipH="1">
          <a:off x="5231700" y="3651413"/>
          <a:ext cx="228600" cy="257175"/>
        </a:xfrm>
        <a:prstGeom prst="bentArrow">
          <a:avLst>
            <a:gd name="adj1" fmla="val 25000"/>
            <a:gd name="adj2" fmla="val 25927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47</xdr:col>
      <xdr:colOff>85725</xdr:colOff>
      <xdr:row>0</xdr:row>
      <xdr:rowOff>0</xdr:rowOff>
    </xdr:from>
    <xdr:ext cx="238125" cy="25717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54</xdr:col>
      <xdr:colOff>76200</xdr:colOff>
      <xdr:row>0</xdr:row>
      <xdr:rowOff>0</xdr:rowOff>
    </xdr:from>
    <xdr:ext cx="238125" cy="257175"/>
    <xdr:sp macro="" textlink="">
      <xdr:nvSpPr>
        <xdr:cNvPr id="9" name="Shape 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68</xdr:col>
      <xdr:colOff>76200</xdr:colOff>
      <xdr:row>0</xdr:row>
      <xdr:rowOff>0</xdr:rowOff>
    </xdr:from>
    <xdr:ext cx="142875" cy="27622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5279325" y="3646650"/>
          <a:ext cx="133350" cy="266700"/>
        </a:xfrm>
        <a:prstGeom prst="upArrow">
          <a:avLst>
            <a:gd name="adj1" fmla="val 50000"/>
            <a:gd name="adj2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61</xdr:col>
      <xdr:colOff>114300</xdr:colOff>
      <xdr:row>0</xdr:row>
      <xdr:rowOff>0</xdr:rowOff>
    </xdr:from>
    <xdr:ext cx="238125" cy="266700"/>
    <xdr:sp macro="" textlink="">
      <xdr:nvSpPr>
        <xdr:cNvPr id="11" name="Shape 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 flipH="1">
          <a:off x="5231700" y="3651413"/>
          <a:ext cx="228600" cy="257175"/>
        </a:xfrm>
        <a:prstGeom prst="bentArrow">
          <a:avLst>
            <a:gd name="adj1" fmla="val 25000"/>
            <a:gd name="adj2" fmla="val 25927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75</xdr:col>
      <xdr:colOff>104775</xdr:colOff>
      <xdr:row>0</xdr:row>
      <xdr:rowOff>0</xdr:rowOff>
    </xdr:from>
    <xdr:ext cx="238125" cy="257175"/>
    <xdr:sp macro="" textlink="">
      <xdr:nvSpPr>
        <xdr:cNvPr id="12" name="Shape 5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82</xdr:col>
      <xdr:colOff>95250</xdr:colOff>
      <xdr:row>0</xdr:row>
      <xdr:rowOff>0</xdr:rowOff>
    </xdr:from>
    <xdr:ext cx="238125" cy="257175"/>
    <xdr:sp macro="" textlink="">
      <xdr:nvSpPr>
        <xdr:cNvPr id="13" name="Shape 6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96</xdr:col>
      <xdr:colOff>85725</xdr:colOff>
      <xdr:row>0</xdr:row>
      <xdr:rowOff>0</xdr:rowOff>
    </xdr:from>
    <xdr:ext cx="142875" cy="276225"/>
    <xdr:sp macro="" textlink="">
      <xdr:nvSpPr>
        <xdr:cNvPr id="15" name="Shape 3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279325" y="3646650"/>
          <a:ext cx="133350" cy="266700"/>
        </a:xfrm>
        <a:prstGeom prst="upArrow">
          <a:avLst>
            <a:gd name="adj1" fmla="val 50000"/>
            <a:gd name="adj2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89</xdr:col>
      <xdr:colOff>123825</xdr:colOff>
      <xdr:row>0</xdr:row>
      <xdr:rowOff>0</xdr:rowOff>
    </xdr:from>
    <xdr:ext cx="238125" cy="266700"/>
    <xdr:sp macro="" textlink="">
      <xdr:nvSpPr>
        <xdr:cNvPr id="16" name="Shape 7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/>
      </xdr:nvSpPr>
      <xdr:spPr>
        <a:xfrm flipH="1">
          <a:off x="5231700" y="3651413"/>
          <a:ext cx="228600" cy="257175"/>
        </a:xfrm>
        <a:prstGeom prst="bentArrow">
          <a:avLst>
            <a:gd name="adj1" fmla="val 25000"/>
            <a:gd name="adj2" fmla="val 25927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103</xdr:col>
      <xdr:colOff>114300</xdr:colOff>
      <xdr:row>0</xdr:row>
      <xdr:rowOff>0</xdr:rowOff>
    </xdr:from>
    <xdr:ext cx="238125" cy="257175"/>
    <xdr:sp macro="" textlink="">
      <xdr:nvSpPr>
        <xdr:cNvPr id="17" name="Shape 5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110</xdr:col>
      <xdr:colOff>104775</xdr:colOff>
      <xdr:row>0</xdr:row>
      <xdr:rowOff>0</xdr:rowOff>
    </xdr:from>
    <xdr:ext cx="238125" cy="257175"/>
    <xdr:sp macro="" textlink="">
      <xdr:nvSpPr>
        <xdr:cNvPr id="18" name="Shape 6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60</xdr:row>
      <xdr:rowOff>0</xdr:rowOff>
    </xdr:from>
    <xdr:ext cx="85725" cy="20955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5307900" y="3679988"/>
          <a:ext cx="76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152400</xdr:colOff>
      <xdr:row>15</xdr:row>
      <xdr:rowOff>180975</xdr:rowOff>
    </xdr:from>
    <xdr:ext cx="257175" cy="923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/>
      </xdr:nvSpPr>
      <xdr:spPr>
        <a:xfrm>
          <a:off x="5217419" y="3322800"/>
          <a:ext cx="257163" cy="914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200"/>
            <a:buFont typeface="Arial"/>
            <a:buNone/>
          </a:pPr>
          <a:endParaRPr sz="1200"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  <xdr:oneCellAnchor>
    <xdr:from>
      <xdr:col>5</xdr:col>
      <xdr:colOff>6255</xdr:colOff>
      <xdr:row>88</xdr:row>
      <xdr:rowOff>167641</xdr:rowOff>
    </xdr:from>
    <xdr:ext cx="9437101" cy="5125537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F9B838D-6635-4C36-9714-8309B9E40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9524</xdr:colOff>
      <xdr:row>2</xdr:row>
      <xdr:rowOff>19050</xdr:rowOff>
    </xdr:from>
    <xdr:ext cx="771526" cy="390526"/>
    <xdr:grpSp>
      <xdr:nvGrpSpPr>
        <xdr:cNvPr id="7" name="Shape 2">
          <a:extLst>
            <a:ext uri="{FF2B5EF4-FFF2-40B4-BE49-F238E27FC236}">
              <a16:creationId xmlns:a16="http://schemas.microsoft.com/office/drawing/2014/main" id="{FA64325A-FFEC-40D8-B241-C434608DD54E}"/>
            </a:ext>
          </a:extLst>
        </xdr:cNvPr>
        <xdr:cNvGrpSpPr/>
      </xdr:nvGrpSpPr>
      <xdr:grpSpPr>
        <a:xfrm>
          <a:off x="3697060" y="644979"/>
          <a:ext cx="771526" cy="390526"/>
          <a:chOff x="4764975" y="3532350"/>
          <a:chExt cx="1162050" cy="495300"/>
        </a:xfrm>
      </xdr:grpSpPr>
      <xdr:cxnSp macro="">
        <xdr:nvCxnSpPr>
          <xdr:cNvPr id="8" name="Shape 20">
            <a:extLst>
              <a:ext uri="{FF2B5EF4-FFF2-40B4-BE49-F238E27FC236}">
                <a16:creationId xmlns:a16="http://schemas.microsoft.com/office/drawing/2014/main" id="{E40AE754-2F32-988F-9F71-F40B009EA878}"/>
              </a:ext>
            </a:extLst>
          </xdr:cNvPr>
          <xdr:cNvCxnSpPr/>
        </xdr:nvCxnSpPr>
        <xdr:spPr>
          <a:xfrm>
            <a:off x="4764975" y="3532350"/>
            <a:ext cx="1162050" cy="4953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7</xdr:col>
      <xdr:colOff>200025</xdr:colOff>
      <xdr:row>78</xdr:row>
      <xdr:rowOff>95250</xdr:rowOff>
    </xdr:from>
    <xdr:ext cx="8477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F4BA9F9E-682F-4EE2-9E22-BC26236B6F6A}"/>
            </a:ext>
          </a:extLst>
        </xdr:cNvPr>
        <xdr:cNvGrpSpPr/>
      </xdr:nvGrpSpPr>
      <xdr:grpSpPr>
        <a:xfrm>
          <a:off x="4880882" y="14001750"/>
          <a:ext cx="847725" cy="38100"/>
          <a:chOff x="4922138" y="3780000"/>
          <a:chExt cx="847725" cy="0"/>
        </a:xfrm>
      </xdr:grpSpPr>
      <xdr:cxnSp macro="">
        <xdr:nvCxnSpPr>
          <xdr:cNvPr id="10" name="Shape 21">
            <a:extLst>
              <a:ext uri="{FF2B5EF4-FFF2-40B4-BE49-F238E27FC236}">
                <a16:creationId xmlns:a16="http://schemas.microsoft.com/office/drawing/2014/main" id="{6D370CED-38D7-86B4-C0EE-661AD5A42F3D}"/>
              </a:ext>
            </a:extLst>
          </xdr:cNvPr>
          <xdr:cNvCxnSpPr/>
        </xdr:nvCxnSpPr>
        <xdr:spPr>
          <a:xfrm>
            <a:off x="4922138" y="3780000"/>
            <a:ext cx="8477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12</xdr:col>
      <xdr:colOff>209550</xdr:colOff>
      <xdr:row>78</xdr:row>
      <xdr:rowOff>95250</xdr:rowOff>
    </xdr:from>
    <xdr:ext cx="84772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3245B74A-6D74-4305-A70A-F6B7800DC37C}"/>
            </a:ext>
          </a:extLst>
        </xdr:cNvPr>
        <xdr:cNvGrpSpPr/>
      </xdr:nvGrpSpPr>
      <xdr:grpSpPr>
        <a:xfrm>
          <a:off x="7952014" y="14001750"/>
          <a:ext cx="847725" cy="38100"/>
          <a:chOff x="4922138" y="3780000"/>
          <a:chExt cx="847725" cy="0"/>
        </a:xfrm>
      </xdr:grpSpPr>
      <xdr:cxnSp macro="">
        <xdr:nvCxnSpPr>
          <xdr:cNvPr id="27" name="Shape 22">
            <a:extLst>
              <a:ext uri="{FF2B5EF4-FFF2-40B4-BE49-F238E27FC236}">
                <a16:creationId xmlns:a16="http://schemas.microsoft.com/office/drawing/2014/main" id="{F0E58EFA-643D-DD84-4C6C-12CC5102FD8D}"/>
              </a:ext>
            </a:extLst>
          </xdr:cNvPr>
          <xdr:cNvCxnSpPr/>
        </xdr:nvCxnSpPr>
        <xdr:spPr>
          <a:xfrm>
            <a:off x="4922138" y="3780000"/>
            <a:ext cx="8477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17</xdr:col>
      <xdr:colOff>180975</xdr:colOff>
      <xdr:row>78</xdr:row>
      <xdr:rowOff>95250</xdr:rowOff>
    </xdr:from>
    <xdr:ext cx="847725" cy="38100"/>
    <xdr:grpSp>
      <xdr:nvGrpSpPr>
        <xdr:cNvPr id="28" name="Shape 2">
          <a:extLst>
            <a:ext uri="{FF2B5EF4-FFF2-40B4-BE49-F238E27FC236}">
              <a16:creationId xmlns:a16="http://schemas.microsoft.com/office/drawing/2014/main" id="{7E4D1B4F-9847-4817-BAF6-F3DD7B464AA8}"/>
            </a:ext>
          </a:extLst>
        </xdr:cNvPr>
        <xdr:cNvGrpSpPr/>
      </xdr:nvGrpSpPr>
      <xdr:grpSpPr>
        <a:xfrm>
          <a:off x="10985046" y="14001750"/>
          <a:ext cx="847725" cy="38100"/>
          <a:chOff x="4922138" y="3780000"/>
          <a:chExt cx="847725" cy="0"/>
        </a:xfrm>
      </xdr:grpSpPr>
      <xdr:cxnSp macro="">
        <xdr:nvCxnSpPr>
          <xdr:cNvPr id="29" name="Shape 21">
            <a:extLst>
              <a:ext uri="{FF2B5EF4-FFF2-40B4-BE49-F238E27FC236}">
                <a16:creationId xmlns:a16="http://schemas.microsoft.com/office/drawing/2014/main" id="{327059B9-955A-97E0-BBB3-7C13F0EFB917}"/>
              </a:ext>
            </a:extLst>
          </xdr:cNvPr>
          <xdr:cNvCxnSpPr/>
        </xdr:nvCxnSpPr>
        <xdr:spPr>
          <a:xfrm>
            <a:off x="4922138" y="3780000"/>
            <a:ext cx="8477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20</xdr:col>
      <xdr:colOff>171450</xdr:colOff>
      <xdr:row>78</xdr:row>
      <xdr:rowOff>95250</xdr:rowOff>
    </xdr:from>
    <xdr:ext cx="228600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FBDA1321-D145-4807-9157-E0F848E4C1BB}"/>
            </a:ext>
          </a:extLst>
        </xdr:cNvPr>
        <xdr:cNvGrpSpPr/>
      </xdr:nvGrpSpPr>
      <xdr:grpSpPr>
        <a:xfrm>
          <a:off x="12812486" y="14001750"/>
          <a:ext cx="228600" cy="38100"/>
          <a:chOff x="5231700" y="3780000"/>
          <a:chExt cx="228600" cy="0"/>
        </a:xfrm>
      </xdr:grpSpPr>
      <xdr:cxnSp macro="">
        <xdr:nvCxnSpPr>
          <xdr:cNvPr id="31" name="Shape 23">
            <a:extLst>
              <a:ext uri="{FF2B5EF4-FFF2-40B4-BE49-F238E27FC236}">
                <a16:creationId xmlns:a16="http://schemas.microsoft.com/office/drawing/2014/main" id="{21C1FE71-5040-A3B4-D0CA-B424E8FDD2F0}"/>
              </a:ext>
            </a:extLst>
          </xdr:cNvPr>
          <xdr:cNvCxnSpPr/>
        </xdr:nvCxnSpPr>
        <xdr:spPr>
          <a:xfrm>
            <a:off x="5231700" y="3780000"/>
            <a:ext cx="2286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15</xdr:col>
      <xdr:colOff>114300</xdr:colOff>
      <xdr:row>78</xdr:row>
      <xdr:rowOff>95250</xdr:rowOff>
    </xdr:from>
    <xdr:ext cx="304800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61B44866-9D19-453F-9937-912450E6F530}"/>
            </a:ext>
          </a:extLst>
        </xdr:cNvPr>
        <xdr:cNvGrpSpPr/>
      </xdr:nvGrpSpPr>
      <xdr:grpSpPr>
        <a:xfrm>
          <a:off x="9693729" y="14001750"/>
          <a:ext cx="304800" cy="38100"/>
          <a:chOff x="5193600" y="3780000"/>
          <a:chExt cx="304800" cy="0"/>
        </a:xfrm>
      </xdr:grpSpPr>
      <xdr:cxnSp macro="">
        <xdr:nvCxnSpPr>
          <xdr:cNvPr id="33" name="Shape 24">
            <a:extLst>
              <a:ext uri="{FF2B5EF4-FFF2-40B4-BE49-F238E27FC236}">
                <a16:creationId xmlns:a16="http://schemas.microsoft.com/office/drawing/2014/main" id="{D3E0057F-67C9-E2D4-A28E-6BFEC0F4AC42}"/>
              </a:ext>
            </a:extLst>
          </xdr:cNvPr>
          <xdr:cNvCxnSpPr/>
        </xdr:nvCxnSpPr>
        <xdr:spPr>
          <a:xfrm>
            <a:off x="5193600" y="3780000"/>
            <a:ext cx="3048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10</xdr:col>
      <xdr:colOff>114300</xdr:colOff>
      <xdr:row>78</xdr:row>
      <xdr:rowOff>95250</xdr:rowOff>
    </xdr:from>
    <xdr:ext cx="304800" cy="38100"/>
    <xdr:grpSp>
      <xdr:nvGrpSpPr>
        <xdr:cNvPr id="34" name="Shape 2">
          <a:extLst>
            <a:ext uri="{FF2B5EF4-FFF2-40B4-BE49-F238E27FC236}">
              <a16:creationId xmlns:a16="http://schemas.microsoft.com/office/drawing/2014/main" id="{8C031AFE-2028-4AB9-AC8C-219DF93EA4FE}"/>
            </a:ext>
          </a:extLst>
        </xdr:cNvPr>
        <xdr:cNvGrpSpPr/>
      </xdr:nvGrpSpPr>
      <xdr:grpSpPr>
        <a:xfrm>
          <a:off x="6632121" y="14001750"/>
          <a:ext cx="304800" cy="38100"/>
          <a:chOff x="5193600" y="3780000"/>
          <a:chExt cx="304800" cy="0"/>
        </a:xfrm>
      </xdr:grpSpPr>
      <xdr:cxnSp macro="">
        <xdr:nvCxnSpPr>
          <xdr:cNvPr id="35" name="Shape 24">
            <a:extLst>
              <a:ext uri="{FF2B5EF4-FFF2-40B4-BE49-F238E27FC236}">
                <a16:creationId xmlns:a16="http://schemas.microsoft.com/office/drawing/2014/main" id="{81A489E0-993C-DAAA-BAA4-FFBA69544EED}"/>
              </a:ext>
            </a:extLst>
          </xdr:cNvPr>
          <xdr:cNvCxnSpPr/>
        </xdr:nvCxnSpPr>
        <xdr:spPr>
          <a:xfrm>
            <a:off x="5193600" y="3780000"/>
            <a:ext cx="3048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cxnSp>
    </xdr:grpSp>
    <xdr:clientData fLocksWithSheet="0"/>
  </xdr:oneCellAnchor>
  <xdr:oneCellAnchor>
    <xdr:from>
      <xdr:col>0</xdr:col>
      <xdr:colOff>57150</xdr:colOff>
      <xdr:row>60</xdr:row>
      <xdr:rowOff>0</xdr:rowOff>
    </xdr:from>
    <xdr:ext cx="76200" cy="200025"/>
    <xdr:sp macro="" textlink="">
      <xdr:nvSpPr>
        <xdr:cNvPr id="36" name="Shape 25">
          <a:extLst>
            <a:ext uri="{FF2B5EF4-FFF2-40B4-BE49-F238E27FC236}">
              <a16:creationId xmlns:a16="http://schemas.microsoft.com/office/drawing/2014/main" id="{57C7518A-0421-490A-B5AB-5A20658422ED}"/>
            </a:ext>
          </a:extLst>
        </xdr:cNvPr>
        <xdr:cNvSpPr txBox="1"/>
      </xdr:nvSpPr>
      <xdr:spPr>
        <a:xfrm>
          <a:off x="57150" y="13157200"/>
          <a:ext cx="76200" cy="200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161926</xdr:colOff>
      <xdr:row>15</xdr:row>
      <xdr:rowOff>190501</xdr:rowOff>
    </xdr:from>
    <xdr:ext cx="257163" cy="914400"/>
    <xdr:sp macro="" textlink="">
      <xdr:nvSpPr>
        <xdr:cNvPr id="37" name="Shape 30">
          <a:extLst>
            <a:ext uri="{FF2B5EF4-FFF2-40B4-BE49-F238E27FC236}">
              <a16:creationId xmlns:a16="http://schemas.microsoft.com/office/drawing/2014/main" id="{0DDBA4CA-3E9D-498E-919F-89C7EC95D170}"/>
            </a:ext>
          </a:extLst>
        </xdr:cNvPr>
        <xdr:cNvSpPr/>
      </xdr:nvSpPr>
      <xdr:spPr>
        <a:xfrm>
          <a:off x="1876426" y="3632201"/>
          <a:ext cx="257163" cy="9144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200">
            <a:latin typeface="+mj-lt"/>
          </a:endParaRPr>
        </a:p>
      </xdr:txBody>
    </xdr:sp>
    <xdr:clientData fLocksWithSheet="0"/>
  </xdr:oneCellAnchor>
  <xdr:oneCellAnchor>
    <xdr:from>
      <xdr:col>22</xdr:col>
      <xdr:colOff>19050</xdr:colOff>
      <xdr:row>0</xdr:row>
      <xdr:rowOff>55563</xdr:rowOff>
    </xdr:from>
    <xdr:ext cx="514350" cy="481012"/>
    <xdr:pic>
      <xdr:nvPicPr>
        <xdr:cNvPr id="38" name="image1.png">
          <a:extLst>
            <a:ext uri="{FF2B5EF4-FFF2-40B4-BE49-F238E27FC236}">
              <a16:creationId xmlns:a16="http://schemas.microsoft.com/office/drawing/2014/main" id="{C5779C5F-AC18-466C-913F-A93BF4FAD3A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163550" y="55563"/>
          <a:ext cx="514350" cy="481012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478022</xdr:colOff>
      <xdr:row>9</xdr:row>
      <xdr:rowOff>38250</xdr:rowOff>
    </xdr:from>
    <xdr:to>
      <xdr:col>5</xdr:col>
      <xdr:colOff>173599</xdr:colOff>
      <xdr:row>9</xdr:row>
      <xdr:rowOff>180203</xdr:rowOff>
    </xdr:to>
    <xdr:sp macro="" textlink="">
      <xdr:nvSpPr>
        <xdr:cNvPr id="4" name="Text Box 98">
          <a:extLst>
            <a:ext uri="{FF2B5EF4-FFF2-40B4-BE49-F238E27FC236}">
              <a16:creationId xmlns:a16="http://schemas.microsoft.com/office/drawing/2014/main" id="{67A62AA2-8966-4683-AB2D-67237920B723}"/>
            </a:ext>
          </a:extLst>
        </xdr:cNvPr>
        <xdr:cNvSpPr txBox="1">
          <a:spLocks noChangeArrowheads="1"/>
        </xdr:cNvSpPr>
      </xdr:nvSpPr>
      <xdr:spPr bwMode="auto">
        <a:xfrm>
          <a:off x="3249797" y="1885950"/>
          <a:ext cx="476627" cy="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="vert270"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TH Sarabun New" panose="020B0500040200020003" pitchFamily="34" charset="-34"/>
              <a:cs typeface="TH Sarabun New" panose="020B0500040200020003" pitchFamily="34" charset="-34"/>
            </a:rPr>
            <a:t>WB</a:t>
          </a:r>
          <a:endParaRPr lang="th-TH" sz="1400" b="1" i="0" u="none" strike="noStrike" baseline="0">
            <a:solidFill>
              <a:srgbClr val="000000"/>
            </a:solidFill>
            <a:latin typeface="TH Sarabun New" panose="020B0500040200020003" pitchFamily="34" charset="-34"/>
            <a:cs typeface="TH Sarabun New" panose="020B0500040200020003" pitchFamily="34" charset="-34"/>
          </a:endParaRPr>
        </a:p>
      </xdr:txBody>
    </xdr:sp>
    <xdr:clientData/>
  </xdr:twoCellAnchor>
  <xdr:twoCellAnchor>
    <xdr:from>
      <xdr:col>0</xdr:col>
      <xdr:colOff>130945</xdr:colOff>
      <xdr:row>8</xdr:row>
      <xdr:rowOff>0</xdr:rowOff>
    </xdr:from>
    <xdr:to>
      <xdr:col>1</xdr:col>
      <xdr:colOff>35121</xdr:colOff>
      <xdr:row>8</xdr:row>
      <xdr:rowOff>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CBE10E0-74E9-4F51-9B5B-E6FF7678D4BE}"/>
            </a:ext>
          </a:extLst>
        </xdr:cNvPr>
        <xdr:cNvGrpSpPr/>
      </xdr:nvGrpSpPr>
      <xdr:grpSpPr>
        <a:xfrm>
          <a:off x="130945" y="1850571"/>
          <a:ext cx="611747" cy="0"/>
          <a:chOff x="235720" y="3054735"/>
          <a:chExt cx="452585" cy="227370"/>
        </a:xfrm>
      </xdr:grpSpPr>
      <xdr:sp macro="" textlink="">
        <xdr:nvSpPr>
          <xdr:cNvPr id="12" name="Freeform 91">
            <a:extLst>
              <a:ext uri="{FF2B5EF4-FFF2-40B4-BE49-F238E27FC236}">
                <a16:creationId xmlns:a16="http://schemas.microsoft.com/office/drawing/2014/main" id="{89E835A2-C4EA-187D-E6A6-31C2CC616149}"/>
              </a:ext>
            </a:extLst>
          </xdr:cNvPr>
          <xdr:cNvSpPr>
            <a:spLocks/>
          </xdr:cNvSpPr>
        </xdr:nvSpPr>
        <xdr:spPr bwMode="auto">
          <a:xfrm rot="16200000" flipH="1" flipV="1">
            <a:off x="503880" y="3097680"/>
            <a:ext cx="157645" cy="211205"/>
          </a:xfrm>
          <a:custGeom>
            <a:avLst/>
            <a:gdLst>
              <a:gd name="T0" fmla="*/ 0 w 21"/>
              <a:gd name="T1" fmla="*/ 2147483646 h 31"/>
              <a:gd name="T2" fmla="*/ 2147483646 w 21"/>
              <a:gd name="T3" fmla="*/ 2147483646 h 31"/>
              <a:gd name="T4" fmla="*/ 2147483646 w 21"/>
              <a:gd name="T5" fmla="*/ 2147483646 h 31"/>
              <a:gd name="T6" fmla="*/ 2147483646 w 21"/>
              <a:gd name="T7" fmla="*/ 2147483646 h 31"/>
              <a:gd name="T8" fmla="*/ 2147483646 w 21"/>
              <a:gd name="T9" fmla="*/ 2147483646 h 31"/>
              <a:gd name="T10" fmla="*/ 2147483646 w 21"/>
              <a:gd name="T11" fmla="*/ 2147483646 h 31"/>
              <a:gd name="T12" fmla="*/ 2147483646 w 21"/>
              <a:gd name="T13" fmla="*/ 2147483646 h 31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21" h="31">
                <a:moveTo>
                  <a:pt x="0" y="31"/>
                </a:moveTo>
                <a:cubicBezTo>
                  <a:pt x="0" y="21"/>
                  <a:pt x="0" y="11"/>
                  <a:pt x="1" y="6"/>
                </a:cubicBezTo>
                <a:cubicBezTo>
                  <a:pt x="2" y="1"/>
                  <a:pt x="5" y="2"/>
                  <a:pt x="8" y="1"/>
                </a:cubicBezTo>
                <a:cubicBezTo>
                  <a:pt x="11" y="0"/>
                  <a:pt x="15" y="1"/>
                  <a:pt x="17" y="2"/>
                </a:cubicBezTo>
                <a:cubicBezTo>
                  <a:pt x="19" y="3"/>
                  <a:pt x="19" y="4"/>
                  <a:pt x="20" y="6"/>
                </a:cubicBezTo>
                <a:cubicBezTo>
                  <a:pt x="21" y="8"/>
                  <a:pt x="21" y="10"/>
                  <a:pt x="21" y="12"/>
                </a:cubicBezTo>
                <a:cubicBezTo>
                  <a:pt x="21" y="14"/>
                  <a:pt x="21" y="15"/>
                  <a:pt x="21" y="1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F9A3B78A-1450-1B3C-D13D-47F1A7773C9F}"/>
              </a:ext>
            </a:extLst>
          </xdr:cNvPr>
          <xdr:cNvSpPr txBox="1"/>
        </xdr:nvSpPr>
        <xdr:spPr>
          <a:xfrm>
            <a:off x="235720" y="3054735"/>
            <a:ext cx="226098" cy="153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8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0</xdr:col>
      <xdr:colOff>164330</xdr:colOff>
      <xdr:row>8</xdr:row>
      <xdr:rowOff>0</xdr:rowOff>
    </xdr:from>
    <xdr:to>
      <xdr:col>2</xdr:col>
      <xdr:colOff>270820</xdr:colOff>
      <xdr:row>8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15806021-1294-48A2-8E32-317D0B62BDF0}"/>
            </a:ext>
          </a:extLst>
        </xdr:cNvPr>
        <xdr:cNvGrpSpPr/>
      </xdr:nvGrpSpPr>
      <xdr:grpSpPr>
        <a:xfrm>
          <a:off x="164330" y="1850571"/>
          <a:ext cx="1208669" cy="0"/>
          <a:chOff x="240530" y="2280227"/>
          <a:chExt cx="1054179" cy="153939"/>
        </a:xfrm>
      </xdr:grpSpPr>
      <xdr:sp macro="" textlink="">
        <xdr:nvSpPr>
          <xdr:cNvPr id="17" name="Line 84">
            <a:extLst>
              <a:ext uri="{FF2B5EF4-FFF2-40B4-BE49-F238E27FC236}">
                <a16:creationId xmlns:a16="http://schemas.microsoft.com/office/drawing/2014/main" id="{13A4F50A-7048-37BD-FF1E-7F037726073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883767" y="1940991"/>
            <a:ext cx="0" cy="8218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EE051F74-76C5-748A-4138-A286EC9C3037}"/>
              </a:ext>
            </a:extLst>
          </xdr:cNvPr>
          <xdr:cNvSpPr txBox="1"/>
        </xdr:nvSpPr>
        <xdr:spPr>
          <a:xfrm>
            <a:off x="240530" y="2280227"/>
            <a:ext cx="226098" cy="153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6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0</xdr:col>
      <xdr:colOff>164234</xdr:colOff>
      <xdr:row>8</xdr:row>
      <xdr:rowOff>0</xdr:rowOff>
    </xdr:from>
    <xdr:to>
      <xdr:col>2</xdr:col>
      <xdr:colOff>94453</xdr:colOff>
      <xdr:row>8</xdr:row>
      <xdr:rowOff>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9F8810D4-5795-41B0-8996-78B5773C9A0E}"/>
            </a:ext>
          </a:extLst>
        </xdr:cNvPr>
        <xdr:cNvGrpSpPr/>
      </xdr:nvGrpSpPr>
      <xdr:grpSpPr>
        <a:xfrm>
          <a:off x="164234" y="1850571"/>
          <a:ext cx="1032398" cy="0"/>
          <a:chOff x="239228" y="2381250"/>
          <a:chExt cx="879114" cy="260641"/>
        </a:xfrm>
      </xdr:grpSpPr>
      <xdr:sp macro="" textlink="">
        <xdr:nvSpPr>
          <xdr:cNvPr id="20" name="Freeform 116">
            <a:extLst>
              <a:ext uri="{FF2B5EF4-FFF2-40B4-BE49-F238E27FC236}">
                <a16:creationId xmlns:a16="http://schemas.microsoft.com/office/drawing/2014/main" id="{3FF23F52-F878-0743-6A4E-D5698C83822E}"/>
              </a:ext>
            </a:extLst>
          </xdr:cNvPr>
          <xdr:cNvSpPr>
            <a:spLocks/>
          </xdr:cNvSpPr>
        </xdr:nvSpPr>
        <xdr:spPr bwMode="auto">
          <a:xfrm rot="5400000" flipH="1">
            <a:off x="708812" y="2232361"/>
            <a:ext cx="180056" cy="639004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C6DCCF5-1F94-F773-B04F-8974A73A50A6}"/>
              </a:ext>
            </a:extLst>
          </xdr:cNvPr>
          <xdr:cNvSpPr txBox="1"/>
        </xdr:nvSpPr>
        <xdr:spPr>
          <a:xfrm>
            <a:off x="239228" y="2381250"/>
            <a:ext cx="226098" cy="1491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7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0</xdr:col>
      <xdr:colOff>133350</xdr:colOff>
      <xdr:row>14</xdr:row>
      <xdr:rowOff>200699</xdr:rowOff>
    </xdr:from>
    <xdr:to>
      <xdr:col>0</xdr:col>
      <xdr:colOff>358844</xdr:colOff>
      <xdr:row>16</xdr:row>
      <xdr:rowOff>80916</xdr:rowOff>
    </xdr:to>
    <xdr:sp macro="" textlink="">
      <xdr:nvSpPr>
        <xdr:cNvPr id="49" name="Text Box 98">
          <a:extLst>
            <a:ext uri="{FF2B5EF4-FFF2-40B4-BE49-F238E27FC236}">
              <a16:creationId xmlns:a16="http://schemas.microsoft.com/office/drawing/2014/main" id="{127A802F-07D5-47B7-B8C1-D0D2355399AD}"/>
            </a:ext>
          </a:extLst>
        </xdr:cNvPr>
        <xdr:cNvSpPr txBox="1">
          <a:spLocks noChangeArrowheads="1"/>
        </xdr:cNvSpPr>
      </xdr:nvSpPr>
      <xdr:spPr bwMode="auto">
        <a:xfrm flipH="1" flipV="1">
          <a:off x="133350" y="2715299"/>
          <a:ext cx="225494" cy="29931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="vert" wrap="none" lIns="18288" tIns="22860" rIns="0" bIns="0" anchor="t" upright="1">
          <a:noAutofit/>
        </a:bodyPr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EB</a:t>
          </a:r>
          <a:endParaRPr lang="th-TH" sz="1400" b="1" i="0" u="none" strike="noStrike" baseline="0">
            <a:solidFill>
              <a:srgbClr val="00000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4</xdr:col>
      <xdr:colOff>409575</xdr:colOff>
      <xdr:row>11</xdr:row>
      <xdr:rowOff>161925</xdr:rowOff>
    </xdr:from>
    <xdr:to>
      <xdr:col>4</xdr:col>
      <xdr:colOff>635069</xdr:colOff>
      <xdr:row>13</xdr:row>
      <xdr:rowOff>42142</xdr:rowOff>
    </xdr:to>
    <xdr:sp macro="" textlink="">
      <xdr:nvSpPr>
        <xdr:cNvPr id="86" name="Text Box 98">
          <a:extLst>
            <a:ext uri="{FF2B5EF4-FFF2-40B4-BE49-F238E27FC236}">
              <a16:creationId xmlns:a16="http://schemas.microsoft.com/office/drawing/2014/main" id="{DE274E2C-978D-49ED-968B-08ED7A179C72}"/>
            </a:ext>
          </a:extLst>
        </xdr:cNvPr>
        <xdr:cNvSpPr txBox="1">
          <a:spLocks noChangeArrowheads="1"/>
        </xdr:cNvSpPr>
      </xdr:nvSpPr>
      <xdr:spPr bwMode="auto">
        <a:xfrm flipH="1" flipV="1">
          <a:off x="3181350" y="2047875"/>
          <a:ext cx="225494" cy="299317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="vert270" wrap="none" lIns="18288" tIns="22860" rIns="0" bIns="0" anchor="ctr" upright="1">
          <a:noAutofit/>
        </a:bodyPr>
        <a:lstStyle/>
        <a:p>
          <a:pPr algn="ctr" rtl="0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ngsana New" panose="02020603050405020304" pitchFamily="18" charset="-34"/>
              <a:cs typeface="Angsana New" panose="02020603050405020304" pitchFamily="18" charset="-34"/>
            </a:rPr>
            <a:t>WB</a:t>
          </a:r>
          <a:endParaRPr lang="th-TH" sz="1400" b="1" i="0" u="none" strike="noStrike" baseline="0">
            <a:solidFill>
              <a:srgbClr val="000000"/>
            </a:solidFill>
            <a:latin typeface="Angsana New" panose="02020603050405020304" pitchFamily="18" charset="-34"/>
            <a:cs typeface="Angsana New" panose="02020603050405020304" pitchFamily="18" charset="-34"/>
          </a:endParaRPr>
        </a:p>
      </xdr:txBody>
    </xdr:sp>
    <xdr:clientData/>
  </xdr:twoCellAnchor>
  <xdr:twoCellAnchor>
    <xdr:from>
      <xdr:col>0</xdr:col>
      <xdr:colOff>331694</xdr:colOff>
      <xdr:row>2</xdr:row>
      <xdr:rowOff>98612</xdr:rowOff>
    </xdr:from>
    <xdr:to>
      <xdr:col>0</xdr:col>
      <xdr:colOff>608052</xdr:colOff>
      <xdr:row>4</xdr:row>
      <xdr:rowOff>160408</xdr:rowOff>
    </xdr:to>
    <xdr:grpSp>
      <xdr:nvGrpSpPr>
        <xdr:cNvPr id="93" name="Group 92">
          <a:extLst>
            <a:ext uri="{FF2B5EF4-FFF2-40B4-BE49-F238E27FC236}">
              <a16:creationId xmlns:a16="http://schemas.microsoft.com/office/drawing/2014/main" id="{110E2F9C-8FAD-4C59-AA6E-6AE4A07CBFA0}"/>
            </a:ext>
          </a:extLst>
        </xdr:cNvPr>
        <xdr:cNvGrpSpPr/>
      </xdr:nvGrpSpPr>
      <xdr:grpSpPr>
        <a:xfrm>
          <a:off x="331694" y="724541"/>
          <a:ext cx="276358" cy="470010"/>
          <a:chOff x="438150" y="676276"/>
          <a:chExt cx="276358" cy="492102"/>
        </a:xfrm>
      </xdr:grpSpPr>
      <xdr:sp macro="" textlink="">
        <xdr:nvSpPr>
          <xdr:cNvPr id="94" name="AutoShape 11" descr="75%">
            <a:extLst>
              <a:ext uri="{FF2B5EF4-FFF2-40B4-BE49-F238E27FC236}">
                <a16:creationId xmlns:a16="http://schemas.microsoft.com/office/drawing/2014/main" id="{0BDEC47A-8B2E-1A83-81F4-C4E69A88F398}"/>
              </a:ext>
            </a:extLst>
          </xdr:cNvPr>
          <xdr:cNvSpPr>
            <a:spLocks noChangeArrowheads="1"/>
          </xdr:cNvSpPr>
        </xdr:nvSpPr>
        <xdr:spPr bwMode="auto">
          <a:xfrm>
            <a:off x="466726" y="676276"/>
            <a:ext cx="209550" cy="228600"/>
          </a:xfrm>
          <a:prstGeom prst="flowChartExtract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95" name="TextBox 94">
            <a:extLst>
              <a:ext uri="{FF2B5EF4-FFF2-40B4-BE49-F238E27FC236}">
                <a16:creationId xmlns:a16="http://schemas.microsoft.com/office/drawing/2014/main" id="{D4ADA843-FC17-B1E9-C1E9-C366728C01B7}"/>
              </a:ext>
            </a:extLst>
          </xdr:cNvPr>
          <xdr:cNvSpPr txBox="1"/>
        </xdr:nvSpPr>
        <xdr:spPr>
          <a:xfrm>
            <a:off x="438150" y="809625"/>
            <a:ext cx="276358" cy="35875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500" b="1">
                <a:latin typeface="Angsana New" panose="02020603050405020304" pitchFamily="18" charset="-34"/>
                <a:cs typeface="Angsana New" panose="02020603050405020304" pitchFamily="18" charset="-34"/>
              </a:rPr>
              <a:t>N</a:t>
            </a:r>
            <a:endParaRPr lang="th-TH" sz="1500" b="1">
              <a:latin typeface="Angsana New" panose="02020603050405020304" pitchFamily="18" charset="-34"/>
              <a:cs typeface="Angsana New" panose="02020603050405020304" pitchFamily="18" charset="-34"/>
            </a:endParaRPr>
          </a:p>
        </xdr:txBody>
      </xdr:sp>
    </xdr:grpSp>
    <xdr:clientData/>
  </xdr:twoCellAnchor>
  <xdr:twoCellAnchor>
    <xdr:from>
      <xdr:col>0</xdr:col>
      <xdr:colOff>169141</xdr:colOff>
      <xdr:row>8</xdr:row>
      <xdr:rowOff>0</xdr:rowOff>
    </xdr:from>
    <xdr:to>
      <xdr:col>2</xdr:col>
      <xdr:colOff>89944</xdr:colOff>
      <xdr:row>12</xdr:row>
      <xdr:rowOff>1924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E4362A53-D46F-4658-9444-50BC08D28FF3}"/>
            </a:ext>
          </a:extLst>
        </xdr:cNvPr>
        <xdr:cNvGrpSpPr/>
      </xdr:nvGrpSpPr>
      <xdr:grpSpPr>
        <a:xfrm>
          <a:off x="169141" y="1850571"/>
          <a:ext cx="1022982" cy="206032"/>
          <a:chOff x="245341" y="2061238"/>
          <a:chExt cx="868492" cy="267095"/>
        </a:xfrm>
      </xdr:grpSpPr>
      <xdr:sp macro="" textlink="">
        <xdr:nvSpPr>
          <xdr:cNvPr id="60" name="Freeform 85">
            <a:extLst>
              <a:ext uri="{FF2B5EF4-FFF2-40B4-BE49-F238E27FC236}">
                <a16:creationId xmlns:a16="http://schemas.microsoft.com/office/drawing/2014/main" id="{D82EA2F4-43AF-69FB-5E4D-CC67EB852F47}"/>
              </a:ext>
            </a:extLst>
          </xdr:cNvPr>
          <xdr:cNvSpPr>
            <a:spLocks/>
          </xdr:cNvSpPr>
        </xdr:nvSpPr>
        <xdr:spPr bwMode="auto">
          <a:xfrm rot="5400000">
            <a:off x="694590" y="1841477"/>
            <a:ext cx="199481" cy="639004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n-US"/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8ABC491A-13C8-AF17-F35D-612991B18625}"/>
              </a:ext>
            </a:extLst>
          </xdr:cNvPr>
          <xdr:cNvSpPr txBox="1"/>
        </xdr:nvSpPr>
        <xdr:spPr>
          <a:xfrm>
            <a:off x="245341" y="2174394"/>
            <a:ext cx="226098" cy="153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5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0</xdr:col>
      <xdr:colOff>164330</xdr:colOff>
      <xdr:row>11</xdr:row>
      <xdr:rowOff>203149</xdr:rowOff>
    </xdr:from>
    <xdr:to>
      <xdr:col>2</xdr:col>
      <xdr:colOff>270820</xdr:colOff>
      <xdr:row>12</xdr:row>
      <xdr:rowOff>140611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036955A8-7041-4898-8ECF-5DC26739EF0D}"/>
            </a:ext>
          </a:extLst>
        </xdr:cNvPr>
        <xdr:cNvGrpSpPr/>
      </xdr:nvGrpSpPr>
      <xdr:grpSpPr>
        <a:xfrm>
          <a:off x="164330" y="2053720"/>
          <a:ext cx="1208669" cy="141570"/>
          <a:chOff x="240530" y="2280227"/>
          <a:chExt cx="1054179" cy="153939"/>
        </a:xfrm>
      </xdr:grpSpPr>
      <xdr:sp macro="" textlink="">
        <xdr:nvSpPr>
          <xdr:cNvPr id="69" name="Line 84">
            <a:extLst>
              <a:ext uri="{FF2B5EF4-FFF2-40B4-BE49-F238E27FC236}">
                <a16:creationId xmlns:a16="http://schemas.microsoft.com/office/drawing/2014/main" id="{120D58C3-339F-23C1-EFFE-37CF77614AE3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883767" y="1940991"/>
            <a:ext cx="0" cy="8218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0" name="TextBox 69">
            <a:extLst>
              <a:ext uri="{FF2B5EF4-FFF2-40B4-BE49-F238E27FC236}">
                <a16:creationId xmlns:a16="http://schemas.microsoft.com/office/drawing/2014/main" id="{89CB1519-EECC-4E7D-8A1D-F6A0BE7B9942}"/>
              </a:ext>
            </a:extLst>
          </xdr:cNvPr>
          <xdr:cNvSpPr txBox="1"/>
        </xdr:nvSpPr>
        <xdr:spPr>
          <a:xfrm>
            <a:off x="240530" y="2280227"/>
            <a:ext cx="226098" cy="1539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6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0</xdr:col>
      <xdr:colOff>164234</xdr:colOff>
      <xdr:row>12</xdr:row>
      <xdr:rowOff>87695</xdr:rowOff>
    </xdr:from>
    <xdr:to>
      <xdr:col>2</xdr:col>
      <xdr:colOff>94453</xdr:colOff>
      <xdr:row>13</xdr:row>
      <xdr:rowOff>131858</xdr:rowOff>
    </xdr:to>
    <xdr:grpSp>
      <xdr:nvGrpSpPr>
        <xdr:cNvPr id="71" name="Group 70">
          <a:extLst>
            <a:ext uri="{FF2B5EF4-FFF2-40B4-BE49-F238E27FC236}">
              <a16:creationId xmlns:a16="http://schemas.microsoft.com/office/drawing/2014/main" id="{63AB1B8D-D881-43D1-8F84-93DD6366CB8B}"/>
            </a:ext>
          </a:extLst>
        </xdr:cNvPr>
        <xdr:cNvGrpSpPr/>
      </xdr:nvGrpSpPr>
      <xdr:grpSpPr>
        <a:xfrm>
          <a:off x="164234" y="2142374"/>
          <a:ext cx="1032398" cy="248270"/>
          <a:chOff x="239228" y="2381250"/>
          <a:chExt cx="879114" cy="260641"/>
        </a:xfrm>
      </xdr:grpSpPr>
      <xdr:sp macro="" textlink="">
        <xdr:nvSpPr>
          <xdr:cNvPr id="72" name="Freeform 116">
            <a:extLst>
              <a:ext uri="{FF2B5EF4-FFF2-40B4-BE49-F238E27FC236}">
                <a16:creationId xmlns:a16="http://schemas.microsoft.com/office/drawing/2014/main" id="{0D1CD093-3567-0222-4985-EE0C220B09AB}"/>
              </a:ext>
            </a:extLst>
          </xdr:cNvPr>
          <xdr:cNvSpPr>
            <a:spLocks/>
          </xdr:cNvSpPr>
        </xdr:nvSpPr>
        <xdr:spPr bwMode="auto">
          <a:xfrm rot="5400000" flipH="1">
            <a:off x="708812" y="2232361"/>
            <a:ext cx="180056" cy="639004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3" name="TextBox 72">
            <a:extLst>
              <a:ext uri="{FF2B5EF4-FFF2-40B4-BE49-F238E27FC236}">
                <a16:creationId xmlns:a16="http://schemas.microsoft.com/office/drawing/2014/main" id="{02F59478-BC2F-FE2F-1772-2DEAF124F712}"/>
              </a:ext>
            </a:extLst>
          </xdr:cNvPr>
          <xdr:cNvSpPr txBox="1"/>
        </xdr:nvSpPr>
        <xdr:spPr>
          <a:xfrm>
            <a:off x="239228" y="2381250"/>
            <a:ext cx="226098" cy="1491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7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0</xdr:col>
      <xdr:colOff>243843</xdr:colOff>
      <xdr:row>13</xdr:row>
      <xdr:rowOff>15239</xdr:rowOff>
    </xdr:from>
    <xdr:to>
      <xdr:col>0</xdr:col>
      <xdr:colOff>758194</xdr:colOff>
      <xdr:row>14</xdr:row>
      <xdr:rowOff>11428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9AE64251-E68C-4416-81E4-D92E55203A78}"/>
            </a:ext>
          </a:extLst>
        </xdr:cNvPr>
        <xdr:cNvGrpSpPr/>
      </xdr:nvGrpSpPr>
      <xdr:grpSpPr>
        <a:xfrm>
          <a:off x="243843" y="2274025"/>
          <a:ext cx="457201" cy="200296"/>
          <a:chOff x="1073281" y="1651504"/>
          <a:chExt cx="835250" cy="276182"/>
        </a:xfrm>
      </xdr:grpSpPr>
      <xdr:sp macro="" textlink="">
        <xdr:nvSpPr>
          <xdr:cNvPr id="83" name="Freeform 91">
            <a:extLst>
              <a:ext uri="{FF2B5EF4-FFF2-40B4-BE49-F238E27FC236}">
                <a16:creationId xmlns:a16="http://schemas.microsoft.com/office/drawing/2014/main" id="{29E0BE12-549B-4E75-2A15-269A47FF24CE}"/>
              </a:ext>
            </a:extLst>
          </xdr:cNvPr>
          <xdr:cNvSpPr>
            <a:spLocks/>
          </xdr:cNvSpPr>
        </xdr:nvSpPr>
        <xdr:spPr bwMode="auto">
          <a:xfrm rot="16200000" flipH="1" flipV="1">
            <a:off x="1572810" y="1591965"/>
            <a:ext cx="199323" cy="472119"/>
          </a:xfrm>
          <a:custGeom>
            <a:avLst/>
            <a:gdLst>
              <a:gd name="T0" fmla="*/ 0 w 21"/>
              <a:gd name="T1" fmla="*/ 2147483646 h 31"/>
              <a:gd name="T2" fmla="*/ 2147483646 w 21"/>
              <a:gd name="T3" fmla="*/ 2147483646 h 31"/>
              <a:gd name="T4" fmla="*/ 2147483646 w 21"/>
              <a:gd name="T5" fmla="*/ 2147483646 h 31"/>
              <a:gd name="T6" fmla="*/ 2147483646 w 21"/>
              <a:gd name="T7" fmla="*/ 2147483646 h 31"/>
              <a:gd name="T8" fmla="*/ 2147483646 w 21"/>
              <a:gd name="T9" fmla="*/ 2147483646 h 31"/>
              <a:gd name="T10" fmla="*/ 2147483646 w 21"/>
              <a:gd name="T11" fmla="*/ 2147483646 h 31"/>
              <a:gd name="T12" fmla="*/ 2147483646 w 21"/>
              <a:gd name="T13" fmla="*/ 2147483646 h 31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connsiteX0" fmla="*/ 8 w 10008"/>
              <a:gd name="connsiteY0" fmla="*/ 10038 h 10038"/>
              <a:gd name="connsiteX1" fmla="*/ 484 w 10008"/>
              <a:gd name="connsiteY1" fmla="*/ 1973 h 10038"/>
              <a:gd name="connsiteX2" fmla="*/ 3551 w 10008"/>
              <a:gd name="connsiteY2" fmla="*/ 92 h 10038"/>
              <a:gd name="connsiteX3" fmla="*/ 8103 w 10008"/>
              <a:gd name="connsiteY3" fmla="*/ 683 h 10038"/>
              <a:gd name="connsiteX4" fmla="*/ 9532 w 10008"/>
              <a:gd name="connsiteY4" fmla="*/ 1973 h 10038"/>
              <a:gd name="connsiteX5" fmla="*/ 10008 w 10008"/>
              <a:gd name="connsiteY5" fmla="*/ 3909 h 10038"/>
              <a:gd name="connsiteX6" fmla="*/ 10008 w 10008"/>
              <a:gd name="connsiteY6" fmla="*/ 5199 h 10038"/>
              <a:gd name="connsiteX0" fmla="*/ 8 w 10008"/>
              <a:gd name="connsiteY0" fmla="*/ 10177 h 10177"/>
              <a:gd name="connsiteX1" fmla="*/ 484 w 10008"/>
              <a:gd name="connsiteY1" fmla="*/ 2112 h 10177"/>
              <a:gd name="connsiteX2" fmla="*/ 3551 w 10008"/>
              <a:gd name="connsiteY2" fmla="*/ 231 h 10177"/>
              <a:gd name="connsiteX3" fmla="*/ 6408 w 10008"/>
              <a:gd name="connsiteY3" fmla="*/ 95 h 10177"/>
              <a:gd name="connsiteX4" fmla="*/ 8103 w 10008"/>
              <a:gd name="connsiteY4" fmla="*/ 822 h 10177"/>
              <a:gd name="connsiteX5" fmla="*/ 9532 w 10008"/>
              <a:gd name="connsiteY5" fmla="*/ 2112 h 10177"/>
              <a:gd name="connsiteX6" fmla="*/ 10008 w 10008"/>
              <a:gd name="connsiteY6" fmla="*/ 4048 h 10177"/>
              <a:gd name="connsiteX7" fmla="*/ 10008 w 10008"/>
              <a:gd name="connsiteY7" fmla="*/ 5338 h 10177"/>
              <a:gd name="connsiteX0" fmla="*/ 3 w 10003"/>
              <a:gd name="connsiteY0" fmla="*/ 10302 h 10302"/>
              <a:gd name="connsiteX1" fmla="*/ 479 w 10003"/>
              <a:gd name="connsiteY1" fmla="*/ 2237 h 10302"/>
              <a:gd name="connsiteX2" fmla="*/ 3279 w 10003"/>
              <a:gd name="connsiteY2" fmla="*/ 154 h 10302"/>
              <a:gd name="connsiteX3" fmla="*/ 6403 w 10003"/>
              <a:gd name="connsiteY3" fmla="*/ 220 h 10302"/>
              <a:gd name="connsiteX4" fmla="*/ 8098 w 10003"/>
              <a:gd name="connsiteY4" fmla="*/ 947 h 10302"/>
              <a:gd name="connsiteX5" fmla="*/ 9527 w 10003"/>
              <a:gd name="connsiteY5" fmla="*/ 2237 h 10302"/>
              <a:gd name="connsiteX6" fmla="*/ 10003 w 10003"/>
              <a:gd name="connsiteY6" fmla="*/ 4173 h 10302"/>
              <a:gd name="connsiteX7" fmla="*/ 10003 w 10003"/>
              <a:gd name="connsiteY7" fmla="*/ 5463 h 10302"/>
              <a:gd name="connsiteX0" fmla="*/ 3 w 10003"/>
              <a:gd name="connsiteY0" fmla="*/ 10391 h 10391"/>
              <a:gd name="connsiteX1" fmla="*/ 479 w 10003"/>
              <a:gd name="connsiteY1" fmla="*/ 2326 h 10391"/>
              <a:gd name="connsiteX2" fmla="*/ 3279 w 10003"/>
              <a:gd name="connsiteY2" fmla="*/ 243 h 10391"/>
              <a:gd name="connsiteX3" fmla="*/ 6403 w 10003"/>
              <a:gd name="connsiteY3" fmla="*/ 107 h 10391"/>
              <a:gd name="connsiteX4" fmla="*/ 8098 w 10003"/>
              <a:gd name="connsiteY4" fmla="*/ 1036 h 10391"/>
              <a:gd name="connsiteX5" fmla="*/ 9527 w 10003"/>
              <a:gd name="connsiteY5" fmla="*/ 2326 h 10391"/>
              <a:gd name="connsiteX6" fmla="*/ 10003 w 10003"/>
              <a:gd name="connsiteY6" fmla="*/ 4262 h 10391"/>
              <a:gd name="connsiteX7" fmla="*/ 10003 w 10003"/>
              <a:gd name="connsiteY7" fmla="*/ 5552 h 10391"/>
              <a:gd name="connsiteX0" fmla="*/ 3 w 10003"/>
              <a:gd name="connsiteY0" fmla="*/ 10391 h 10391"/>
              <a:gd name="connsiteX1" fmla="*/ 479 w 10003"/>
              <a:gd name="connsiteY1" fmla="*/ 2326 h 10391"/>
              <a:gd name="connsiteX2" fmla="*/ 3279 w 10003"/>
              <a:gd name="connsiteY2" fmla="*/ 243 h 10391"/>
              <a:gd name="connsiteX3" fmla="*/ 6403 w 10003"/>
              <a:gd name="connsiteY3" fmla="*/ 107 h 10391"/>
              <a:gd name="connsiteX4" fmla="*/ 8243 w 10003"/>
              <a:gd name="connsiteY4" fmla="*/ 834 h 10391"/>
              <a:gd name="connsiteX5" fmla="*/ 9527 w 10003"/>
              <a:gd name="connsiteY5" fmla="*/ 2326 h 10391"/>
              <a:gd name="connsiteX6" fmla="*/ 10003 w 10003"/>
              <a:gd name="connsiteY6" fmla="*/ 4262 h 10391"/>
              <a:gd name="connsiteX7" fmla="*/ 10003 w 10003"/>
              <a:gd name="connsiteY7" fmla="*/ 5552 h 10391"/>
              <a:gd name="connsiteX0" fmla="*/ 2 w 10002"/>
              <a:gd name="connsiteY0" fmla="*/ 10519 h 10519"/>
              <a:gd name="connsiteX1" fmla="*/ 478 w 10002"/>
              <a:gd name="connsiteY1" fmla="*/ 2454 h 10519"/>
              <a:gd name="connsiteX2" fmla="*/ 3205 w 10002"/>
              <a:gd name="connsiteY2" fmla="*/ 169 h 10519"/>
              <a:gd name="connsiteX3" fmla="*/ 6402 w 10002"/>
              <a:gd name="connsiteY3" fmla="*/ 235 h 10519"/>
              <a:gd name="connsiteX4" fmla="*/ 8242 w 10002"/>
              <a:gd name="connsiteY4" fmla="*/ 962 h 10519"/>
              <a:gd name="connsiteX5" fmla="*/ 9526 w 10002"/>
              <a:gd name="connsiteY5" fmla="*/ 2454 h 10519"/>
              <a:gd name="connsiteX6" fmla="*/ 10002 w 10002"/>
              <a:gd name="connsiteY6" fmla="*/ 4390 h 10519"/>
              <a:gd name="connsiteX7" fmla="*/ 10002 w 10002"/>
              <a:gd name="connsiteY7" fmla="*/ 5680 h 10519"/>
              <a:gd name="connsiteX0" fmla="*/ 1 w 10001"/>
              <a:gd name="connsiteY0" fmla="*/ 10519 h 10519"/>
              <a:gd name="connsiteX1" fmla="*/ 477 w 10001"/>
              <a:gd name="connsiteY1" fmla="*/ 2454 h 10519"/>
              <a:gd name="connsiteX2" fmla="*/ 2896 w 10001"/>
              <a:gd name="connsiteY2" fmla="*/ 169 h 10519"/>
              <a:gd name="connsiteX3" fmla="*/ 6401 w 10001"/>
              <a:gd name="connsiteY3" fmla="*/ 235 h 10519"/>
              <a:gd name="connsiteX4" fmla="*/ 8241 w 10001"/>
              <a:gd name="connsiteY4" fmla="*/ 962 h 10519"/>
              <a:gd name="connsiteX5" fmla="*/ 9525 w 10001"/>
              <a:gd name="connsiteY5" fmla="*/ 2454 h 10519"/>
              <a:gd name="connsiteX6" fmla="*/ 10001 w 10001"/>
              <a:gd name="connsiteY6" fmla="*/ 4390 h 10519"/>
              <a:gd name="connsiteX7" fmla="*/ 10001 w 10001"/>
              <a:gd name="connsiteY7" fmla="*/ 5680 h 10519"/>
              <a:gd name="connsiteX0" fmla="*/ 1 w 10001"/>
              <a:gd name="connsiteY0" fmla="*/ 10572 h 10572"/>
              <a:gd name="connsiteX1" fmla="*/ 477 w 10001"/>
              <a:gd name="connsiteY1" fmla="*/ 2507 h 10572"/>
              <a:gd name="connsiteX2" fmla="*/ 2896 w 10001"/>
              <a:gd name="connsiteY2" fmla="*/ 222 h 10572"/>
              <a:gd name="connsiteX3" fmla="*/ 6350 w 10001"/>
              <a:gd name="connsiteY3" fmla="*/ 152 h 10572"/>
              <a:gd name="connsiteX4" fmla="*/ 8241 w 10001"/>
              <a:gd name="connsiteY4" fmla="*/ 1015 h 10572"/>
              <a:gd name="connsiteX5" fmla="*/ 9525 w 10001"/>
              <a:gd name="connsiteY5" fmla="*/ 2507 h 10572"/>
              <a:gd name="connsiteX6" fmla="*/ 10001 w 10001"/>
              <a:gd name="connsiteY6" fmla="*/ 4443 h 10572"/>
              <a:gd name="connsiteX7" fmla="*/ 10001 w 10001"/>
              <a:gd name="connsiteY7" fmla="*/ 5733 h 10572"/>
              <a:gd name="connsiteX0" fmla="*/ 1 w 10001"/>
              <a:gd name="connsiteY0" fmla="*/ 10572 h 10572"/>
              <a:gd name="connsiteX1" fmla="*/ 477 w 10001"/>
              <a:gd name="connsiteY1" fmla="*/ 2507 h 10572"/>
              <a:gd name="connsiteX2" fmla="*/ 2896 w 10001"/>
              <a:gd name="connsiteY2" fmla="*/ 222 h 10572"/>
              <a:gd name="connsiteX3" fmla="*/ 6350 w 10001"/>
              <a:gd name="connsiteY3" fmla="*/ 152 h 10572"/>
              <a:gd name="connsiteX4" fmla="*/ 8241 w 10001"/>
              <a:gd name="connsiteY4" fmla="*/ 1015 h 10572"/>
              <a:gd name="connsiteX5" fmla="*/ 9525 w 10001"/>
              <a:gd name="connsiteY5" fmla="*/ 2507 h 10572"/>
              <a:gd name="connsiteX6" fmla="*/ 10001 w 10001"/>
              <a:gd name="connsiteY6" fmla="*/ 4443 h 10572"/>
              <a:gd name="connsiteX7" fmla="*/ 10001 w 10001"/>
              <a:gd name="connsiteY7" fmla="*/ 6231 h 10572"/>
              <a:gd name="connsiteX0" fmla="*/ 2 w 9951"/>
              <a:gd name="connsiteY0" fmla="*/ 11342 h 11342"/>
              <a:gd name="connsiteX1" fmla="*/ 427 w 9951"/>
              <a:gd name="connsiteY1" fmla="*/ 2507 h 11342"/>
              <a:gd name="connsiteX2" fmla="*/ 2846 w 9951"/>
              <a:gd name="connsiteY2" fmla="*/ 222 h 11342"/>
              <a:gd name="connsiteX3" fmla="*/ 6300 w 9951"/>
              <a:gd name="connsiteY3" fmla="*/ 152 h 11342"/>
              <a:gd name="connsiteX4" fmla="*/ 8191 w 9951"/>
              <a:gd name="connsiteY4" fmla="*/ 1015 h 11342"/>
              <a:gd name="connsiteX5" fmla="*/ 9475 w 9951"/>
              <a:gd name="connsiteY5" fmla="*/ 2507 h 11342"/>
              <a:gd name="connsiteX6" fmla="*/ 9951 w 9951"/>
              <a:gd name="connsiteY6" fmla="*/ 4443 h 11342"/>
              <a:gd name="connsiteX7" fmla="*/ 9951 w 9951"/>
              <a:gd name="connsiteY7" fmla="*/ 6231 h 1134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</a:cxnLst>
            <a:rect l="l" t="t" r="r" b="b"/>
            <a:pathLst>
              <a:path w="9951" h="11342">
                <a:moveTo>
                  <a:pt x="2" y="11342"/>
                </a:moveTo>
                <a:cubicBezTo>
                  <a:pt x="2" y="8116"/>
                  <a:pt x="-47" y="4360"/>
                  <a:pt x="427" y="2507"/>
                </a:cubicBezTo>
                <a:cubicBezTo>
                  <a:pt x="901" y="654"/>
                  <a:pt x="1867" y="614"/>
                  <a:pt x="2846" y="222"/>
                </a:cubicBezTo>
                <a:cubicBezTo>
                  <a:pt x="3825" y="-170"/>
                  <a:pt x="5541" y="54"/>
                  <a:pt x="6300" y="152"/>
                </a:cubicBezTo>
                <a:cubicBezTo>
                  <a:pt x="7059" y="251"/>
                  <a:pt x="7662" y="623"/>
                  <a:pt x="8191" y="1015"/>
                </a:cubicBezTo>
                <a:cubicBezTo>
                  <a:pt x="8720" y="1407"/>
                  <a:pt x="9182" y="1936"/>
                  <a:pt x="9475" y="2507"/>
                </a:cubicBezTo>
                <a:cubicBezTo>
                  <a:pt x="9768" y="3078"/>
                  <a:pt x="9951" y="3798"/>
                  <a:pt x="9951" y="4443"/>
                </a:cubicBezTo>
                <a:lnTo>
                  <a:pt x="9951" y="6231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E736FB11-458D-C3CF-9DC4-EE3D941E1CF0}"/>
              </a:ext>
            </a:extLst>
          </xdr:cNvPr>
          <xdr:cNvSpPr txBox="1"/>
        </xdr:nvSpPr>
        <xdr:spPr>
          <a:xfrm>
            <a:off x="1073281" y="1651504"/>
            <a:ext cx="228920" cy="1734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 b="1">
                <a:latin typeface="TH Sarabun New" panose="020B0500040200020003" pitchFamily="34" charset="-34"/>
                <a:cs typeface="TH Sarabun New" panose="020B0500040200020003" pitchFamily="34" charset="-34"/>
              </a:rPr>
              <a:t>8</a:t>
            </a:r>
            <a:endParaRPr lang="th-TH" sz="1200" b="1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625339</xdr:colOff>
      <xdr:row>3</xdr:row>
      <xdr:rowOff>144318</xdr:rowOff>
    </xdr:from>
    <xdr:to>
      <xdr:col>2</xdr:col>
      <xdr:colOff>1005371</xdr:colOff>
      <xdr:row>8</xdr:row>
      <xdr:rowOff>0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E517C407-CEAC-4DE9-9FE6-BEF5F58B3952}"/>
            </a:ext>
          </a:extLst>
        </xdr:cNvPr>
        <xdr:cNvGrpSpPr/>
      </xdr:nvGrpSpPr>
      <xdr:grpSpPr>
        <a:xfrm>
          <a:off x="1727518" y="974354"/>
          <a:ext cx="380032" cy="876217"/>
          <a:chOff x="1270006" y="1015039"/>
          <a:chExt cx="380032" cy="1001504"/>
        </a:xfrm>
      </xdr:grpSpPr>
      <xdr:sp macro="" textlink="">
        <xdr:nvSpPr>
          <xdr:cNvPr id="24" name="Freeform 116">
            <a:extLst>
              <a:ext uri="{FF2B5EF4-FFF2-40B4-BE49-F238E27FC236}">
                <a16:creationId xmlns:a16="http://schemas.microsoft.com/office/drawing/2014/main" id="{CA9233B8-6493-4E2F-92CF-9CD291531C54}"/>
              </a:ext>
            </a:extLst>
          </xdr:cNvPr>
          <xdr:cNvSpPr>
            <a:spLocks/>
          </xdr:cNvSpPr>
        </xdr:nvSpPr>
        <xdr:spPr bwMode="auto">
          <a:xfrm rot="10800000" flipH="1">
            <a:off x="1270006" y="1263055"/>
            <a:ext cx="182880" cy="753488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62CA745A-CB34-031D-D618-65BA4F2EE2D9}"/>
              </a:ext>
            </a:extLst>
          </xdr:cNvPr>
          <xdr:cNvSpPr txBox="1"/>
        </xdr:nvSpPr>
        <xdr:spPr>
          <a:xfrm>
            <a:off x="1308938" y="1015039"/>
            <a:ext cx="341100" cy="2477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11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807817</xdr:colOff>
      <xdr:row>3</xdr:row>
      <xdr:rowOff>149031</xdr:rowOff>
    </xdr:from>
    <xdr:to>
      <xdr:col>2</xdr:col>
      <xdr:colOff>1148917</xdr:colOff>
      <xdr:row>11</xdr:row>
      <xdr:rowOff>179511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5AD91104-D2D0-480A-B680-E5405F0B9020}"/>
            </a:ext>
          </a:extLst>
        </xdr:cNvPr>
        <xdr:cNvGrpSpPr/>
      </xdr:nvGrpSpPr>
      <xdr:grpSpPr>
        <a:xfrm>
          <a:off x="1909996" y="979067"/>
          <a:ext cx="341100" cy="1051015"/>
          <a:chOff x="1919336" y="1164374"/>
          <a:chExt cx="341100" cy="1138030"/>
        </a:xfrm>
      </xdr:grpSpPr>
      <xdr:sp macro="" textlink="">
        <xdr:nvSpPr>
          <xdr:cNvPr id="39" name="Line 109">
            <a:extLst>
              <a:ext uri="{FF2B5EF4-FFF2-40B4-BE49-F238E27FC236}">
                <a16:creationId xmlns:a16="http://schemas.microsoft.com/office/drawing/2014/main" id="{68E38DBE-75B3-C481-E97E-D6D8BB5BD55D}"/>
              </a:ext>
            </a:extLst>
          </xdr:cNvPr>
          <xdr:cNvSpPr>
            <a:spLocks noChangeShapeType="1"/>
          </xdr:cNvSpPr>
        </xdr:nvSpPr>
        <xdr:spPr bwMode="auto">
          <a:xfrm>
            <a:off x="2051076" y="1396984"/>
            <a:ext cx="0" cy="9054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0" name="TextBox 39">
            <a:extLst>
              <a:ext uri="{FF2B5EF4-FFF2-40B4-BE49-F238E27FC236}">
                <a16:creationId xmlns:a16="http://schemas.microsoft.com/office/drawing/2014/main" id="{D63F66CA-9ED0-ECFE-5CC0-EB9A41D3B293}"/>
              </a:ext>
            </a:extLst>
          </xdr:cNvPr>
          <xdr:cNvSpPr txBox="1"/>
        </xdr:nvSpPr>
        <xdr:spPr>
          <a:xfrm>
            <a:off x="1919336" y="1164374"/>
            <a:ext cx="341100" cy="2477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10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954520</xdr:colOff>
      <xdr:row>3</xdr:row>
      <xdr:rowOff>149030</xdr:rowOff>
    </xdr:from>
    <xdr:to>
      <xdr:col>3</xdr:col>
      <xdr:colOff>36691</xdr:colOff>
      <xdr:row>11</xdr:row>
      <xdr:rowOff>9525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87864529-F202-40EE-8EDA-240E88ED1D87}"/>
            </a:ext>
          </a:extLst>
        </xdr:cNvPr>
        <xdr:cNvGrpSpPr/>
      </xdr:nvGrpSpPr>
      <xdr:grpSpPr>
        <a:xfrm>
          <a:off x="2056699" y="979066"/>
          <a:ext cx="483706" cy="881030"/>
          <a:chOff x="2102235" y="1133391"/>
          <a:chExt cx="341100" cy="1008562"/>
        </a:xfrm>
      </xdr:grpSpPr>
      <xdr:sp macro="" textlink="">
        <xdr:nvSpPr>
          <xdr:cNvPr id="42" name="Freeform 88">
            <a:extLst>
              <a:ext uri="{FF2B5EF4-FFF2-40B4-BE49-F238E27FC236}">
                <a16:creationId xmlns:a16="http://schemas.microsoft.com/office/drawing/2014/main" id="{19B9BD78-DAE0-0323-7499-C7C3169A9486}"/>
              </a:ext>
            </a:extLst>
          </xdr:cNvPr>
          <xdr:cNvSpPr>
            <a:spLocks/>
          </xdr:cNvSpPr>
        </xdr:nvSpPr>
        <xdr:spPr bwMode="auto">
          <a:xfrm rot="10800000">
            <a:off x="2204520" y="1388465"/>
            <a:ext cx="150071" cy="753488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EDAB0589-D973-41A3-F782-687ABEDDB32C}"/>
              </a:ext>
            </a:extLst>
          </xdr:cNvPr>
          <xdr:cNvSpPr txBox="1"/>
        </xdr:nvSpPr>
        <xdr:spPr>
          <a:xfrm>
            <a:off x="2102235" y="1133391"/>
            <a:ext cx="341100" cy="2477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9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1229153</xdr:colOff>
      <xdr:row>15</xdr:row>
      <xdr:rowOff>129550</xdr:rowOff>
    </xdr:from>
    <xdr:to>
      <xdr:col>4</xdr:col>
      <xdr:colOff>499109</xdr:colOff>
      <xdr:row>17</xdr:row>
      <xdr:rowOff>11319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C2473DFF-9D95-46F4-B1F8-5BBD1B4CF4BC}"/>
            </a:ext>
          </a:extLst>
        </xdr:cNvPr>
        <xdr:cNvGrpSpPr/>
      </xdr:nvGrpSpPr>
      <xdr:grpSpPr>
        <a:xfrm rot="10800000">
          <a:off x="2331332" y="2796550"/>
          <a:ext cx="1066098" cy="289983"/>
          <a:chOff x="233083" y="2061238"/>
          <a:chExt cx="880750" cy="317329"/>
        </a:xfrm>
      </xdr:grpSpPr>
      <xdr:sp macro="" textlink="">
        <xdr:nvSpPr>
          <xdr:cNvPr id="75" name="Freeform 85">
            <a:extLst>
              <a:ext uri="{FF2B5EF4-FFF2-40B4-BE49-F238E27FC236}">
                <a16:creationId xmlns:a16="http://schemas.microsoft.com/office/drawing/2014/main" id="{0C013440-CFBC-24FE-AE09-5981486B42F0}"/>
              </a:ext>
            </a:extLst>
          </xdr:cNvPr>
          <xdr:cNvSpPr>
            <a:spLocks/>
          </xdr:cNvSpPr>
        </xdr:nvSpPr>
        <xdr:spPr bwMode="auto">
          <a:xfrm rot="5400000">
            <a:off x="694590" y="1841477"/>
            <a:ext cx="199481" cy="639004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/>
          <a:lstStyle/>
          <a:p>
            <a:endParaRPr lang="en-US"/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7925BBAD-6564-AC2F-7934-A2FFC811BC4B}"/>
              </a:ext>
            </a:extLst>
          </xdr:cNvPr>
          <xdr:cNvSpPr txBox="1"/>
        </xdr:nvSpPr>
        <xdr:spPr>
          <a:xfrm>
            <a:off x="233083" y="2109350"/>
            <a:ext cx="238357" cy="2692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13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1082446</xdr:colOff>
      <xdr:row>14</xdr:row>
      <xdr:rowOff>201632</xdr:rowOff>
    </xdr:from>
    <xdr:to>
      <xdr:col>4</xdr:col>
      <xdr:colOff>499110</xdr:colOff>
      <xdr:row>16</xdr:row>
      <xdr:rowOff>11651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C36A8EF2-EC79-4A0E-B7BB-2FE127EE5D68}"/>
            </a:ext>
          </a:extLst>
        </xdr:cNvPr>
        <xdr:cNvGrpSpPr/>
      </xdr:nvGrpSpPr>
      <xdr:grpSpPr>
        <a:xfrm rot="10800000">
          <a:off x="2184625" y="2664525"/>
          <a:ext cx="1212806" cy="218233"/>
          <a:chOff x="226409" y="2278250"/>
          <a:chExt cx="1088997" cy="240899"/>
        </a:xfrm>
      </xdr:grpSpPr>
      <xdr:sp macro="" textlink="">
        <xdr:nvSpPr>
          <xdr:cNvPr id="78" name="Line 84">
            <a:extLst>
              <a:ext uri="{FF2B5EF4-FFF2-40B4-BE49-F238E27FC236}">
                <a16:creationId xmlns:a16="http://schemas.microsoft.com/office/drawing/2014/main" id="{56FD08E8-18CA-0D66-B567-96D37FC4AA07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904464" y="1979473"/>
            <a:ext cx="0" cy="82188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9" name="TextBox 78">
            <a:extLst>
              <a:ext uri="{FF2B5EF4-FFF2-40B4-BE49-F238E27FC236}">
                <a16:creationId xmlns:a16="http://schemas.microsoft.com/office/drawing/2014/main" id="{DECB26CC-3A56-13DE-4F8A-45F69AA573B9}"/>
              </a:ext>
            </a:extLst>
          </xdr:cNvPr>
          <xdr:cNvSpPr txBox="1"/>
        </xdr:nvSpPr>
        <xdr:spPr>
          <a:xfrm>
            <a:off x="226409" y="2278250"/>
            <a:ext cx="240219" cy="2408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vert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14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24467</xdr:colOff>
      <xdr:row>16</xdr:row>
      <xdr:rowOff>170707</xdr:rowOff>
    </xdr:from>
    <xdr:to>
      <xdr:col>2</xdr:col>
      <xdr:colOff>288830</xdr:colOff>
      <xdr:row>21</xdr:row>
      <xdr:rowOff>28671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83719B28-14DB-4FB2-B97D-459E11F1095D}"/>
            </a:ext>
          </a:extLst>
        </xdr:cNvPr>
        <xdr:cNvGrpSpPr/>
      </xdr:nvGrpSpPr>
      <xdr:grpSpPr>
        <a:xfrm>
          <a:off x="1126646" y="3041814"/>
          <a:ext cx="264363" cy="878500"/>
          <a:chOff x="991206" y="3586430"/>
          <a:chExt cx="264363" cy="940350"/>
        </a:xfrm>
      </xdr:grpSpPr>
      <xdr:sp macro="" textlink="">
        <xdr:nvSpPr>
          <xdr:cNvPr id="51" name="Freeform 90">
            <a:extLst>
              <a:ext uri="{FF2B5EF4-FFF2-40B4-BE49-F238E27FC236}">
                <a16:creationId xmlns:a16="http://schemas.microsoft.com/office/drawing/2014/main" id="{DD689919-3692-650D-47D5-BBD33FC41C36}"/>
              </a:ext>
            </a:extLst>
          </xdr:cNvPr>
          <xdr:cNvSpPr>
            <a:spLocks/>
          </xdr:cNvSpPr>
        </xdr:nvSpPr>
        <xdr:spPr bwMode="auto">
          <a:xfrm rot="10800000" flipH="1" flipV="1">
            <a:off x="991206" y="3586430"/>
            <a:ext cx="200025" cy="730879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DEEA5082-5D60-6EF7-7063-74EAF2C0D8BC}"/>
              </a:ext>
            </a:extLst>
          </xdr:cNvPr>
          <xdr:cNvSpPr txBox="1"/>
        </xdr:nvSpPr>
        <xdr:spPr>
          <a:xfrm>
            <a:off x="1063145" y="4281440"/>
            <a:ext cx="192424" cy="245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1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213348</xdr:colOff>
      <xdr:row>16</xdr:row>
      <xdr:rowOff>8408</xdr:rowOff>
    </xdr:from>
    <xdr:to>
      <xdr:col>2</xdr:col>
      <xdr:colOff>405772</xdr:colOff>
      <xdr:row>21</xdr:row>
      <xdr:rowOff>33482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687E7F70-8531-427E-A36A-7BF3EAF04BDE}"/>
            </a:ext>
          </a:extLst>
        </xdr:cNvPr>
        <xdr:cNvGrpSpPr/>
      </xdr:nvGrpSpPr>
      <xdr:grpSpPr>
        <a:xfrm>
          <a:off x="1315527" y="2879515"/>
          <a:ext cx="192424" cy="1045610"/>
          <a:chOff x="1159356" y="3417203"/>
          <a:chExt cx="192424" cy="1114388"/>
        </a:xfrm>
      </xdr:grpSpPr>
      <xdr:sp macro="" textlink="">
        <xdr:nvSpPr>
          <xdr:cNvPr id="54" name="Line 109">
            <a:extLst>
              <a:ext uri="{FF2B5EF4-FFF2-40B4-BE49-F238E27FC236}">
                <a16:creationId xmlns:a16="http://schemas.microsoft.com/office/drawing/2014/main" id="{6C4D594F-A135-76A9-9CE5-7AA1BB5BB60A}"/>
              </a:ext>
            </a:extLst>
          </xdr:cNvPr>
          <xdr:cNvSpPr>
            <a:spLocks noChangeShapeType="1"/>
          </xdr:cNvSpPr>
        </xdr:nvSpPr>
        <xdr:spPr bwMode="auto">
          <a:xfrm flipV="1">
            <a:off x="1286481" y="3417203"/>
            <a:ext cx="0" cy="88479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F5FAEABE-4C95-25E8-F07C-8FC028B93DC6}"/>
              </a:ext>
            </a:extLst>
          </xdr:cNvPr>
          <xdr:cNvSpPr txBox="1"/>
        </xdr:nvSpPr>
        <xdr:spPr>
          <a:xfrm>
            <a:off x="1159356" y="4286251"/>
            <a:ext cx="192424" cy="245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2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>
    <xdr:from>
      <xdr:col>2</xdr:col>
      <xdr:colOff>343948</xdr:colOff>
      <xdr:row>16</xdr:row>
      <xdr:rowOff>161183</xdr:rowOff>
    </xdr:from>
    <xdr:to>
      <xdr:col>2</xdr:col>
      <xdr:colOff>661656</xdr:colOff>
      <xdr:row>21</xdr:row>
      <xdr:rowOff>33483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FA9B3B5D-288D-43BF-828B-4535B9E3627B}"/>
            </a:ext>
          </a:extLst>
        </xdr:cNvPr>
        <xdr:cNvGrpSpPr/>
      </xdr:nvGrpSpPr>
      <xdr:grpSpPr>
        <a:xfrm>
          <a:off x="1446127" y="3032290"/>
          <a:ext cx="317708" cy="892836"/>
          <a:chOff x="1265191" y="3586430"/>
          <a:chExt cx="317708" cy="955048"/>
        </a:xfrm>
      </xdr:grpSpPr>
      <xdr:sp macro="" textlink="">
        <xdr:nvSpPr>
          <xdr:cNvPr id="57" name="Freeform 110">
            <a:extLst>
              <a:ext uri="{FF2B5EF4-FFF2-40B4-BE49-F238E27FC236}">
                <a16:creationId xmlns:a16="http://schemas.microsoft.com/office/drawing/2014/main" id="{17AFF76A-AFC8-E576-A63B-6C1C4FDD75BC}"/>
              </a:ext>
            </a:extLst>
          </xdr:cNvPr>
          <xdr:cNvSpPr>
            <a:spLocks/>
          </xdr:cNvSpPr>
        </xdr:nvSpPr>
        <xdr:spPr bwMode="auto">
          <a:xfrm flipH="1">
            <a:off x="1381731" y="3586430"/>
            <a:ext cx="201168" cy="730841"/>
          </a:xfrm>
          <a:custGeom>
            <a:avLst/>
            <a:gdLst>
              <a:gd name="T0" fmla="*/ 2147483646 w 20"/>
              <a:gd name="T1" fmla="*/ 2147483646 h 75"/>
              <a:gd name="T2" fmla="*/ 2147483646 w 20"/>
              <a:gd name="T3" fmla="*/ 2147483646 h 75"/>
              <a:gd name="T4" fmla="*/ 2147483646 w 20"/>
              <a:gd name="T5" fmla="*/ 2147483646 h 75"/>
              <a:gd name="T6" fmla="*/ 2147483646 w 20"/>
              <a:gd name="T7" fmla="*/ 2147483646 h 75"/>
              <a:gd name="T8" fmla="*/ 0 w 20"/>
              <a:gd name="T9" fmla="*/ 0 h 75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20" h="75">
                <a:moveTo>
                  <a:pt x="20" y="75"/>
                </a:moveTo>
                <a:cubicBezTo>
                  <a:pt x="20" y="55"/>
                  <a:pt x="20" y="36"/>
                  <a:pt x="20" y="25"/>
                </a:cubicBezTo>
                <a:cubicBezTo>
                  <a:pt x="20" y="14"/>
                  <a:pt x="20" y="12"/>
                  <a:pt x="18" y="8"/>
                </a:cubicBezTo>
                <a:cubicBezTo>
                  <a:pt x="16" y="4"/>
                  <a:pt x="12" y="2"/>
                  <a:pt x="9" y="1"/>
                </a:cubicBezTo>
                <a:cubicBezTo>
                  <a:pt x="6" y="0"/>
                  <a:pt x="1" y="0"/>
                  <a:pt x="0" y="0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2C8E5056-597A-1742-CA71-51E1552FFA12}"/>
              </a:ext>
            </a:extLst>
          </xdr:cNvPr>
          <xdr:cNvSpPr txBox="1"/>
        </xdr:nvSpPr>
        <xdr:spPr>
          <a:xfrm>
            <a:off x="1265191" y="4296138"/>
            <a:ext cx="192424" cy="245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sz="1200">
                <a:latin typeface="TH Sarabun New" panose="020B0500040200020003" pitchFamily="34" charset="-34"/>
                <a:cs typeface="TH Sarabun New" panose="020B0500040200020003" pitchFamily="34" charset="-34"/>
              </a:rPr>
              <a:t>3</a:t>
            </a:r>
            <a:endParaRPr lang="th-TH" sz="1200">
              <a:latin typeface="TH Sarabun New" panose="020B0500040200020003" pitchFamily="34" charset="-34"/>
              <a:cs typeface="TH Sarabun New" panose="020B0500040200020003" pitchFamily="34" charset="-34"/>
            </a:endParaRPr>
          </a:p>
        </xdr:txBody>
      </xdr:sp>
    </xdr:grpSp>
    <xdr:clientData/>
  </xdr:twoCellAnchor>
  <xdr:twoCellAnchor editAs="oneCell">
    <xdr:from>
      <xdr:col>0</xdr:col>
      <xdr:colOff>0</xdr:colOff>
      <xdr:row>62</xdr:row>
      <xdr:rowOff>0</xdr:rowOff>
    </xdr:from>
    <xdr:to>
      <xdr:col>5</xdr:col>
      <xdr:colOff>9525</xdr:colOff>
      <xdr:row>80</xdr:row>
      <xdr:rowOff>57150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9ADBE7D-452E-4B0E-8616-807CAA1A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96600"/>
          <a:ext cx="3686175" cy="3781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</xdr:colOff>
      <xdr:row>0</xdr:row>
      <xdr:rowOff>0</xdr:rowOff>
    </xdr:from>
    <xdr:ext cx="142875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279325" y="3646650"/>
          <a:ext cx="133350" cy="266700"/>
        </a:xfrm>
        <a:prstGeom prst="upArrow">
          <a:avLst>
            <a:gd name="adj1" fmla="val 50000"/>
            <a:gd name="adj2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57150</xdr:colOff>
      <xdr:row>0</xdr:row>
      <xdr:rowOff>0</xdr:rowOff>
    </xdr:from>
    <xdr:ext cx="238125" cy="2667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 flipH="1">
          <a:off x="5231700" y="3651413"/>
          <a:ext cx="228600" cy="257175"/>
        </a:xfrm>
        <a:prstGeom prst="bentArrow">
          <a:avLst>
            <a:gd name="adj1" fmla="val 25000"/>
            <a:gd name="adj2" fmla="val 25927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</xdr:colOff>
      <xdr:row>0</xdr:row>
      <xdr:rowOff>0</xdr:rowOff>
    </xdr:from>
    <xdr:ext cx="238125" cy="2571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38100</xdr:colOff>
      <xdr:row>0</xdr:row>
      <xdr:rowOff>0</xdr:rowOff>
    </xdr:from>
    <xdr:ext cx="238125" cy="2571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231700" y="3656175"/>
          <a:ext cx="228600" cy="247650"/>
        </a:xfrm>
        <a:prstGeom prst="uturnArrow">
          <a:avLst>
            <a:gd name="adj1" fmla="val 25000"/>
            <a:gd name="adj2" fmla="val 25000"/>
            <a:gd name="adj3" fmla="val 25000"/>
            <a:gd name="adj4" fmla="val 43750"/>
            <a:gd name="adj5" fmla="val 75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arabun"/>
        <a:ea typeface="Sarabun"/>
        <a:cs typeface="Sarabun"/>
      </a:majorFont>
      <a:minorFont>
        <a:latin typeface="Sarabun"/>
        <a:ea typeface="Sarabun"/>
        <a:cs typeface="Sarab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outlinePr summaryBelow="0" summaryRight="0"/>
  </sheetPr>
  <dimension ref="A1:Z1000"/>
  <sheetViews>
    <sheetView workbookViewId="0">
      <pane ySplit="1" topLeftCell="A2" activePane="bottomLeft" state="frozen"/>
      <selection pane="bottomLeft" activeCell="F8" sqref="F8"/>
    </sheetView>
  </sheetViews>
  <sheetFormatPr defaultColWidth="14.42578125" defaultRowHeight="15" customHeight="1" x14ac:dyDescent="0.55000000000000004"/>
  <cols>
    <col min="1" max="1" width="28.85546875" style="140" customWidth="1"/>
    <col min="2" max="2" width="54.85546875" style="140" customWidth="1"/>
    <col min="3" max="3" width="5" style="140" customWidth="1"/>
    <col min="4" max="4" width="5.85546875" style="140" customWidth="1"/>
    <col min="5" max="26" width="12.85546875" style="140" customWidth="1"/>
    <col min="27" max="16384" width="14.42578125" style="140"/>
  </cols>
  <sheetData>
    <row r="1" spans="1:26" ht="18.75" customHeight="1" x14ac:dyDescent="0.55000000000000004">
      <c r="A1" s="392" t="s">
        <v>0</v>
      </c>
      <c r="B1" s="393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2"/>
      <c r="X1" s="142"/>
      <c r="Y1" s="142"/>
      <c r="Z1" s="142"/>
    </row>
    <row r="2" spans="1:26" ht="18.75" customHeight="1" x14ac:dyDescent="0.55000000000000004">
      <c r="A2" s="143"/>
      <c r="B2" s="144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2"/>
      <c r="X2" s="142"/>
      <c r="Y2" s="142"/>
      <c r="Z2" s="142"/>
    </row>
    <row r="3" spans="1:26" ht="18.75" customHeight="1" x14ac:dyDescent="0.55000000000000004">
      <c r="A3" s="145" t="s">
        <v>1</v>
      </c>
      <c r="B3" s="146" t="s">
        <v>272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2"/>
      <c r="X3" s="142"/>
      <c r="Y3" s="142"/>
      <c r="Z3" s="142"/>
    </row>
    <row r="4" spans="1:26" ht="18.75" customHeight="1" x14ac:dyDescent="0.55000000000000004">
      <c r="A4" s="145" t="s">
        <v>2</v>
      </c>
      <c r="B4" s="146" t="s">
        <v>273</v>
      </c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2"/>
      <c r="X4" s="142"/>
      <c r="Y4" s="142"/>
      <c r="Z4" s="142"/>
    </row>
    <row r="5" spans="1:26" ht="18.75" customHeight="1" x14ac:dyDescent="0.55000000000000004">
      <c r="A5" s="145" t="s">
        <v>3</v>
      </c>
      <c r="B5" s="146" t="s">
        <v>274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2"/>
      <c r="X5" s="142"/>
      <c r="Y5" s="142"/>
      <c r="Z5" s="142"/>
    </row>
    <row r="6" spans="1:26" ht="18.75" customHeight="1" x14ac:dyDescent="0.55000000000000004">
      <c r="A6" s="145" t="s">
        <v>4</v>
      </c>
      <c r="B6" s="146" t="s">
        <v>275</v>
      </c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2"/>
      <c r="X6" s="142"/>
      <c r="Y6" s="142"/>
      <c r="Z6" s="142"/>
    </row>
    <row r="7" spans="1:26" ht="18.75" customHeight="1" x14ac:dyDescent="0.55000000000000004">
      <c r="A7" s="145" t="s">
        <v>5</v>
      </c>
      <c r="B7" s="146" t="s">
        <v>276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2"/>
      <c r="X7" s="142"/>
      <c r="Y7" s="142"/>
      <c r="Z7" s="142"/>
    </row>
    <row r="8" spans="1:26" ht="18.75" customHeight="1" x14ac:dyDescent="0.55000000000000004">
      <c r="A8" s="145" t="s">
        <v>6</v>
      </c>
      <c r="B8" s="147" t="s">
        <v>270</v>
      </c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2"/>
      <c r="X8" s="142"/>
      <c r="Y8" s="142"/>
      <c r="Z8" s="142"/>
    </row>
    <row r="9" spans="1:26" ht="18.75" customHeight="1" x14ac:dyDescent="0.55000000000000004">
      <c r="A9" s="145" t="s">
        <v>7</v>
      </c>
      <c r="B9" s="147" t="s">
        <v>271</v>
      </c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2"/>
      <c r="X9" s="142"/>
      <c r="Y9" s="142"/>
      <c r="Z9" s="142"/>
    </row>
    <row r="10" spans="1:26" ht="9.75" customHeight="1" x14ac:dyDescent="0.55000000000000004">
      <c r="A10" s="145"/>
      <c r="B10" s="148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2"/>
      <c r="X10" s="142"/>
      <c r="Y10" s="142"/>
      <c r="Z10" s="142"/>
    </row>
    <row r="11" spans="1:26" ht="18.75" customHeight="1" x14ac:dyDescent="0.55000000000000004">
      <c r="A11" s="149" t="s">
        <v>8</v>
      </c>
      <c r="B11" s="150" t="s">
        <v>277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2"/>
      <c r="X11" s="142"/>
      <c r="Y11" s="142"/>
      <c r="Z11" s="142"/>
    </row>
    <row r="12" spans="1:26" ht="18.75" customHeight="1" x14ac:dyDescent="0.55000000000000004">
      <c r="A12" s="149" t="s">
        <v>9</v>
      </c>
      <c r="B12" s="150" t="s">
        <v>278</v>
      </c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2"/>
      <c r="X12" s="142"/>
      <c r="Y12" s="142"/>
      <c r="Z12" s="142"/>
    </row>
    <row r="13" spans="1:26" ht="18.75" customHeight="1" x14ac:dyDescent="0.55000000000000004">
      <c r="A13" s="149" t="s">
        <v>10</v>
      </c>
      <c r="B13" s="150" t="s">
        <v>277</v>
      </c>
      <c r="C13" s="141"/>
      <c r="D13" s="141"/>
      <c r="E13" s="141"/>
      <c r="F13" s="141"/>
      <c r="G13" s="141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2"/>
      <c r="X13" s="142"/>
      <c r="Y13" s="142"/>
      <c r="Z13" s="142"/>
    </row>
    <row r="14" spans="1:26" ht="18.75" customHeight="1" x14ac:dyDescent="0.55000000000000004">
      <c r="A14" s="149" t="s">
        <v>11</v>
      </c>
      <c r="B14" s="150" t="s">
        <v>278</v>
      </c>
      <c r="C14" s="141"/>
      <c r="D14" s="141"/>
      <c r="E14" s="141"/>
      <c r="F14" s="141"/>
      <c r="G14" s="141"/>
      <c r="H14" s="141"/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2"/>
      <c r="X14" s="142"/>
      <c r="Y14" s="142"/>
      <c r="Z14" s="142"/>
    </row>
    <row r="15" spans="1:26" ht="18.75" customHeight="1" x14ac:dyDescent="0.55000000000000004">
      <c r="A15" s="151"/>
      <c r="B15" s="152"/>
      <c r="C15" s="141"/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2"/>
      <c r="X15" s="142"/>
      <c r="Y15" s="142"/>
      <c r="Z15" s="142"/>
    </row>
    <row r="16" spans="1:26" ht="18.75" customHeight="1" x14ac:dyDescent="0.55000000000000004">
      <c r="A16" s="153"/>
      <c r="B16" s="141"/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2"/>
      <c r="V16" s="142"/>
      <c r="W16" s="142"/>
      <c r="X16" s="142"/>
      <c r="Y16" s="142"/>
      <c r="Z16" s="142"/>
    </row>
    <row r="17" spans="1:26" ht="20.25" customHeight="1" x14ac:dyDescent="0.55000000000000004">
      <c r="A17" s="154" t="s">
        <v>12</v>
      </c>
      <c r="B17" s="155" t="s">
        <v>13</v>
      </c>
      <c r="C17" s="156"/>
      <c r="D17" s="156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2"/>
      <c r="V17" s="142"/>
      <c r="W17" s="142"/>
      <c r="X17" s="142"/>
      <c r="Y17" s="142"/>
      <c r="Z17" s="142"/>
    </row>
    <row r="18" spans="1:26" ht="18.75" customHeight="1" x14ac:dyDescent="0.55000000000000004">
      <c r="A18" s="157" t="s">
        <v>14</v>
      </c>
      <c r="B18" s="158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2"/>
      <c r="X18" s="142"/>
      <c r="Y18" s="142"/>
      <c r="Z18" s="142"/>
    </row>
    <row r="19" spans="1:26" ht="18.75" customHeight="1" x14ac:dyDescent="0.55000000000000004">
      <c r="A19" s="159" t="s">
        <v>15</v>
      </c>
      <c r="B19" s="160">
        <v>1</v>
      </c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2"/>
      <c r="X19" s="142"/>
      <c r="Y19" s="142"/>
      <c r="Z19" s="142"/>
    </row>
    <row r="20" spans="1:26" ht="18.75" customHeight="1" x14ac:dyDescent="0.55000000000000004">
      <c r="A20" s="159" t="s">
        <v>16</v>
      </c>
      <c r="B20" s="160">
        <v>1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2"/>
      <c r="X20" s="142"/>
      <c r="Y20" s="142"/>
      <c r="Z20" s="142"/>
    </row>
    <row r="21" spans="1:26" ht="18.75" customHeight="1" x14ac:dyDescent="0.55000000000000004">
      <c r="A21" s="159" t="s">
        <v>17</v>
      </c>
      <c r="B21" s="160">
        <v>2.1</v>
      </c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2"/>
      <c r="X21" s="142"/>
      <c r="Y21" s="142"/>
      <c r="Z21" s="142"/>
    </row>
    <row r="22" spans="1:26" ht="18.75" customHeight="1" x14ac:dyDescent="0.55000000000000004">
      <c r="A22" s="159" t="s">
        <v>18</v>
      </c>
      <c r="B22" s="160">
        <v>1.5</v>
      </c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2"/>
      <c r="X22" s="142"/>
      <c r="Y22" s="142"/>
      <c r="Z22" s="142"/>
    </row>
    <row r="23" spans="1:26" ht="18.75" customHeight="1" x14ac:dyDescent="0.55000000000000004">
      <c r="A23" s="159" t="s">
        <v>19</v>
      </c>
      <c r="B23" s="160">
        <v>2.5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2"/>
      <c r="X23" s="142"/>
      <c r="Y23" s="142"/>
      <c r="Z23" s="142"/>
    </row>
    <row r="24" spans="1:26" ht="18.75" customHeight="1" x14ac:dyDescent="0.55000000000000004">
      <c r="A24" s="161" t="s">
        <v>20</v>
      </c>
      <c r="B24" s="162">
        <v>0.93</v>
      </c>
      <c r="C24" s="141"/>
      <c r="D24" s="141"/>
      <c r="E24" s="141"/>
      <c r="F24" s="141"/>
      <c r="G24" s="141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2"/>
      <c r="X24" s="142"/>
      <c r="Y24" s="142"/>
      <c r="Z24" s="142"/>
    </row>
    <row r="25" spans="1:26" ht="18.75" customHeight="1" x14ac:dyDescent="0.55000000000000004">
      <c r="A25" s="141"/>
      <c r="B25" s="141"/>
      <c r="C25" s="141"/>
      <c r="D25" s="141"/>
      <c r="E25" s="141"/>
      <c r="F25" s="141"/>
      <c r="G25" s="141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2"/>
      <c r="X25" s="142"/>
      <c r="Y25" s="142"/>
      <c r="Z25" s="142"/>
    </row>
    <row r="26" spans="1:26" ht="18.75" customHeight="1" x14ac:dyDescent="0.55000000000000004">
      <c r="A26" s="153"/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2"/>
      <c r="X26" s="142"/>
      <c r="Y26" s="142"/>
      <c r="Z26" s="142"/>
    </row>
    <row r="27" spans="1:26" ht="15.75" customHeight="1" x14ac:dyDescent="0.55000000000000004">
      <c r="A27" s="141"/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2"/>
      <c r="X27" s="142"/>
      <c r="Y27" s="142"/>
      <c r="Z27" s="142"/>
    </row>
    <row r="28" spans="1:26" ht="17.25" customHeight="1" x14ac:dyDescent="0.55000000000000004">
      <c r="A28" s="141"/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2"/>
      <c r="X28" s="142"/>
      <c r="Y28" s="142"/>
      <c r="Z28" s="142"/>
    </row>
    <row r="29" spans="1:26" ht="15.75" customHeight="1" x14ac:dyDescent="0.55000000000000004">
      <c r="A29" s="141"/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2"/>
      <c r="X29" s="142"/>
      <c r="Y29" s="142"/>
      <c r="Z29" s="142"/>
    </row>
    <row r="30" spans="1:26" ht="15.75" customHeight="1" x14ac:dyDescent="0.55000000000000004">
      <c r="A30" s="141"/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2"/>
      <c r="X30" s="142"/>
      <c r="Y30" s="142"/>
      <c r="Z30" s="142"/>
    </row>
    <row r="31" spans="1:26" ht="15.75" customHeight="1" x14ac:dyDescent="0.55000000000000004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2"/>
      <c r="X31" s="142"/>
      <c r="Y31" s="142"/>
      <c r="Z31" s="142"/>
    </row>
    <row r="32" spans="1:26" ht="15.75" customHeight="1" x14ac:dyDescent="0.55000000000000004">
      <c r="A32" s="141"/>
      <c r="B32" s="141"/>
      <c r="C32" s="141"/>
      <c r="D32" s="141"/>
      <c r="E32" s="141"/>
      <c r="F32" s="141"/>
      <c r="G32" s="141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2"/>
      <c r="X32" s="142"/>
      <c r="Y32" s="142"/>
      <c r="Z32" s="142"/>
    </row>
    <row r="33" spans="1:26" ht="15.75" customHeight="1" x14ac:dyDescent="0.55000000000000004">
      <c r="A33" s="141"/>
      <c r="B33" s="141"/>
      <c r="C33" s="141"/>
      <c r="D33" s="141"/>
      <c r="E33" s="141"/>
      <c r="F33" s="141"/>
      <c r="G33" s="141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2"/>
      <c r="X33" s="142"/>
      <c r="Y33" s="142"/>
      <c r="Z33" s="142"/>
    </row>
    <row r="34" spans="1:26" ht="15.75" customHeight="1" x14ac:dyDescent="0.55000000000000004">
      <c r="A34" s="141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2"/>
      <c r="X34" s="142"/>
      <c r="Y34" s="142"/>
      <c r="Z34" s="142"/>
    </row>
    <row r="35" spans="1:26" ht="15.75" customHeight="1" x14ac:dyDescent="0.55000000000000004">
      <c r="A35" s="141"/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2"/>
      <c r="X35" s="142"/>
      <c r="Y35" s="142"/>
      <c r="Z35" s="142"/>
    </row>
    <row r="36" spans="1:26" ht="15.75" customHeight="1" x14ac:dyDescent="0.55000000000000004">
      <c r="A36" s="141"/>
      <c r="B36" s="141"/>
      <c r="C36" s="141"/>
      <c r="D36" s="141"/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2"/>
      <c r="X36" s="142"/>
      <c r="Y36" s="142"/>
      <c r="Z36" s="142"/>
    </row>
    <row r="37" spans="1:26" ht="15.75" customHeight="1" x14ac:dyDescent="0.55000000000000004">
      <c r="A37" s="141"/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2"/>
      <c r="X37" s="142"/>
      <c r="Y37" s="142"/>
      <c r="Z37" s="142"/>
    </row>
    <row r="38" spans="1:26" ht="15.75" customHeight="1" x14ac:dyDescent="0.55000000000000004">
      <c r="A38" s="141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2"/>
      <c r="X38" s="142"/>
      <c r="Y38" s="142"/>
      <c r="Z38" s="142"/>
    </row>
    <row r="39" spans="1:26" ht="15.75" customHeight="1" x14ac:dyDescent="0.55000000000000004">
      <c r="A39" s="141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2"/>
      <c r="X39" s="142"/>
      <c r="Y39" s="142"/>
      <c r="Z39" s="142"/>
    </row>
    <row r="40" spans="1:26" ht="15.75" customHeight="1" x14ac:dyDescent="0.55000000000000004">
      <c r="A40" s="141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2"/>
      <c r="X40" s="142"/>
      <c r="Y40" s="142"/>
      <c r="Z40" s="142"/>
    </row>
    <row r="41" spans="1:26" ht="15.75" customHeight="1" x14ac:dyDescent="0.55000000000000004">
      <c r="A41" s="141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2"/>
      <c r="X41" s="142"/>
      <c r="Y41" s="142"/>
      <c r="Z41" s="142"/>
    </row>
    <row r="42" spans="1:26" ht="15.75" customHeight="1" x14ac:dyDescent="0.55000000000000004">
      <c r="A42" s="141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2"/>
      <c r="X42" s="142"/>
      <c r="Y42" s="142"/>
      <c r="Z42" s="142"/>
    </row>
    <row r="43" spans="1:26" ht="15.75" customHeight="1" x14ac:dyDescent="0.55000000000000004">
      <c r="A43" s="141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2"/>
      <c r="X43" s="142"/>
      <c r="Y43" s="142"/>
      <c r="Z43" s="142"/>
    </row>
    <row r="44" spans="1:26" ht="15.75" customHeight="1" x14ac:dyDescent="0.55000000000000004">
      <c r="A44" s="141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2"/>
      <c r="X44" s="142"/>
      <c r="Y44" s="142"/>
      <c r="Z44" s="142"/>
    </row>
    <row r="45" spans="1:26" ht="15.75" customHeight="1" x14ac:dyDescent="0.55000000000000004">
      <c r="A45" s="141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2"/>
      <c r="X45" s="142"/>
      <c r="Y45" s="142"/>
      <c r="Z45" s="142"/>
    </row>
    <row r="46" spans="1:26" ht="15.75" customHeight="1" x14ac:dyDescent="0.55000000000000004">
      <c r="A46" s="141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2"/>
      <c r="X46" s="142"/>
      <c r="Y46" s="142"/>
      <c r="Z46" s="142"/>
    </row>
    <row r="47" spans="1:26" ht="15.75" customHeight="1" x14ac:dyDescent="0.55000000000000004">
      <c r="A47" s="141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2"/>
      <c r="X47" s="142"/>
      <c r="Y47" s="142"/>
      <c r="Z47" s="142"/>
    </row>
    <row r="48" spans="1:26" ht="15.75" customHeight="1" x14ac:dyDescent="0.55000000000000004">
      <c r="A48" s="141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2"/>
      <c r="X48" s="142"/>
      <c r="Y48" s="142"/>
      <c r="Z48" s="142"/>
    </row>
    <row r="49" spans="1:26" ht="15.75" customHeight="1" x14ac:dyDescent="0.55000000000000004">
      <c r="A49" s="141"/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2"/>
      <c r="X49" s="142"/>
      <c r="Y49" s="142"/>
      <c r="Z49" s="142"/>
    </row>
    <row r="50" spans="1:26" ht="15.75" customHeight="1" x14ac:dyDescent="0.55000000000000004">
      <c r="A50" s="141"/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2"/>
      <c r="X50" s="142"/>
      <c r="Y50" s="142"/>
      <c r="Z50" s="142"/>
    </row>
    <row r="51" spans="1:26" ht="15.75" customHeight="1" x14ac:dyDescent="0.55000000000000004">
      <c r="A51" s="141"/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2"/>
      <c r="X51" s="142"/>
      <c r="Y51" s="142"/>
      <c r="Z51" s="142"/>
    </row>
    <row r="52" spans="1:26" ht="15.75" customHeight="1" x14ac:dyDescent="0.55000000000000004">
      <c r="A52" s="141"/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2"/>
      <c r="X52" s="142"/>
      <c r="Y52" s="142"/>
      <c r="Z52" s="142"/>
    </row>
    <row r="53" spans="1:26" ht="15.75" customHeight="1" x14ac:dyDescent="0.55000000000000004">
      <c r="A53" s="141"/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2"/>
      <c r="X53" s="142"/>
      <c r="Y53" s="142"/>
      <c r="Z53" s="142"/>
    </row>
    <row r="54" spans="1:26" ht="15.75" customHeight="1" x14ac:dyDescent="0.55000000000000004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2"/>
      <c r="X54" s="142"/>
      <c r="Y54" s="142"/>
      <c r="Z54" s="142"/>
    </row>
    <row r="55" spans="1:26" ht="15.75" customHeight="1" x14ac:dyDescent="0.55000000000000004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2"/>
      <c r="X55" s="142"/>
      <c r="Y55" s="142"/>
      <c r="Z55" s="142"/>
    </row>
    <row r="56" spans="1:26" ht="15.75" customHeight="1" x14ac:dyDescent="0.55000000000000004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2"/>
      <c r="X56" s="142"/>
      <c r="Y56" s="142"/>
      <c r="Z56" s="142"/>
    </row>
    <row r="57" spans="1:26" ht="15.75" customHeight="1" x14ac:dyDescent="0.55000000000000004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2"/>
      <c r="X57" s="142"/>
      <c r="Y57" s="142"/>
      <c r="Z57" s="142"/>
    </row>
    <row r="58" spans="1:26" ht="15.75" customHeight="1" x14ac:dyDescent="0.55000000000000004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2"/>
      <c r="X58" s="142"/>
      <c r="Y58" s="142"/>
      <c r="Z58" s="142"/>
    </row>
    <row r="59" spans="1:26" ht="15.75" customHeight="1" x14ac:dyDescent="0.55000000000000004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2"/>
      <c r="X59" s="142"/>
      <c r="Y59" s="142"/>
      <c r="Z59" s="142"/>
    </row>
    <row r="60" spans="1:26" ht="15.75" customHeight="1" x14ac:dyDescent="0.55000000000000004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2"/>
      <c r="X60" s="142"/>
      <c r="Y60" s="142"/>
      <c r="Z60" s="142"/>
    </row>
    <row r="61" spans="1:26" ht="15.75" customHeight="1" x14ac:dyDescent="0.55000000000000004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2"/>
      <c r="X61" s="142"/>
      <c r="Y61" s="142"/>
      <c r="Z61" s="142"/>
    </row>
    <row r="62" spans="1:26" ht="15.75" customHeight="1" x14ac:dyDescent="0.55000000000000004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2"/>
      <c r="X62" s="142"/>
      <c r="Y62" s="142"/>
      <c r="Z62" s="142"/>
    </row>
    <row r="63" spans="1:26" ht="15.75" customHeight="1" x14ac:dyDescent="0.55000000000000004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2"/>
      <c r="X63" s="142"/>
      <c r="Y63" s="142"/>
      <c r="Z63" s="142"/>
    </row>
    <row r="64" spans="1:26" ht="15.75" customHeight="1" x14ac:dyDescent="0.55000000000000004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2"/>
      <c r="X64" s="142"/>
      <c r="Y64" s="142"/>
      <c r="Z64" s="142"/>
    </row>
    <row r="65" spans="1:26" ht="15.75" customHeight="1" x14ac:dyDescent="0.55000000000000004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2"/>
      <c r="X65" s="142"/>
      <c r="Y65" s="142"/>
      <c r="Z65" s="142"/>
    </row>
    <row r="66" spans="1:26" ht="15.75" customHeight="1" x14ac:dyDescent="0.55000000000000004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2"/>
      <c r="X66" s="142"/>
      <c r="Y66" s="142"/>
      <c r="Z66" s="142"/>
    </row>
    <row r="67" spans="1:26" ht="15.75" customHeight="1" x14ac:dyDescent="0.55000000000000004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2"/>
      <c r="X67" s="142"/>
      <c r="Y67" s="142"/>
      <c r="Z67" s="142"/>
    </row>
    <row r="68" spans="1:26" ht="15.75" customHeight="1" x14ac:dyDescent="0.55000000000000004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2"/>
      <c r="X68" s="142"/>
      <c r="Y68" s="142"/>
      <c r="Z68" s="142"/>
    </row>
    <row r="69" spans="1:26" ht="15.75" customHeight="1" x14ac:dyDescent="0.55000000000000004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2"/>
      <c r="X69" s="142"/>
      <c r="Y69" s="142"/>
      <c r="Z69" s="142"/>
    </row>
    <row r="70" spans="1:26" ht="15.75" customHeight="1" x14ac:dyDescent="0.55000000000000004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2"/>
      <c r="X70" s="142"/>
      <c r="Y70" s="142"/>
      <c r="Z70" s="142"/>
    </row>
    <row r="71" spans="1:26" ht="15.75" customHeight="1" x14ac:dyDescent="0.55000000000000004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2"/>
      <c r="X71" s="142"/>
      <c r="Y71" s="142"/>
      <c r="Z71" s="142"/>
    </row>
    <row r="72" spans="1:26" ht="15.75" customHeight="1" x14ac:dyDescent="0.55000000000000004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2"/>
      <c r="X72" s="142"/>
      <c r="Y72" s="142"/>
      <c r="Z72" s="142"/>
    </row>
    <row r="73" spans="1:26" ht="15.75" customHeight="1" x14ac:dyDescent="0.55000000000000004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2"/>
      <c r="X73" s="142"/>
      <c r="Y73" s="142"/>
      <c r="Z73" s="142"/>
    </row>
    <row r="74" spans="1:26" ht="15.75" customHeight="1" x14ac:dyDescent="0.55000000000000004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2"/>
      <c r="X74" s="142"/>
      <c r="Y74" s="142"/>
      <c r="Z74" s="142"/>
    </row>
    <row r="75" spans="1:26" ht="15.75" customHeight="1" x14ac:dyDescent="0.55000000000000004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2"/>
      <c r="X75" s="142"/>
      <c r="Y75" s="142"/>
      <c r="Z75" s="142"/>
    </row>
    <row r="76" spans="1:26" ht="15.75" customHeight="1" x14ac:dyDescent="0.55000000000000004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2"/>
      <c r="X76" s="142"/>
      <c r="Y76" s="142"/>
      <c r="Z76" s="142"/>
    </row>
    <row r="77" spans="1:26" ht="15.75" customHeight="1" x14ac:dyDescent="0.55000000000000004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2"/>
      <c r="X77" s="142"/>
      <c r="Y77" s="142"/>
      <c r="Z77" s="142"/>
    </row>
    <row r="78" spans="1:26" ht="15.75" customHeight="1" x14ac:dyDescent="0.55000000000000004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2"/>
      <c r="X78" s="142"/>
      <c r="Y78" s="142"/>
      <c r="Z78" s="142"/>
    </row>
    <row r="79" spans="1:26" ht="15.75" customHeight="1" x14ac:dyDescent="0.55000000000000004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2"/>
      <c r="X79" s="142"/>
      <c r="Y79" s="142"/>
      <c r="Z79" s="142"/>
    </row>
    <row r="80" spans="1:26" ht="15.75" customHeight="1" x14ac:dyDescent="0.55000000000000004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2"/>
      <c r="X80" s="142"/>
      <c r="Y80" s="142"/>
      <c r="Z80" s="142"/>
    </row>
    <row r="81" spans="1:26" ht="15.75" customHeight="1" x14ac:dyDescent="0.55000000000000004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2"/>
      <c r="X81" s="142"/>
      <c r="Y81" s="142"/>
      <c r="Z81" s="142"/>
    </row>
    <row r="82" spans="1:26" ht="15.75" customHeight="1" x14ac:dyDescent="0.55000000000000004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2"/>
      <c r="X82" s="142"/>
      <c r="Y82" s="142"/>
      <c r="Z82" s="142"/>
    </row>
    <row r="83" spans="1:26" ht="15.75" customHeight="1" x14ac:dyDescent="0.55000000000000004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2"/>
      <c r="X83" s="142"/>
      <c r="Y83" s="142"/>
      <c r="Z83" s="142"/>
    </row>
    <row r="84" spans="1:26" ht="15.75" customHeight="1" x14ac:dyDescent="0.55000000000000004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2"/>
      <c r="X84" s="142"/>
      <c r="Y84" s="142"/>
      <c r="Z84" s="142"/>
    </row>
    <row r="85" spans="1:26" ht="15.75" customHeight="1" x14ac:dyDescent="0.55000000000000004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2"/>
      <c r="X85" s="142"/>
      <c r="Y85" s="142"/>
      <c r="Z85" s="142"/>
    </row>
    <row r="86" spans="1:26" ht="15.75" customHeight="1" x14ac:dyDescent="0.55000000000000004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2"/>
      <c r="X86" s="142"/>
      <c r="Y86" s="142"/>
      <c r="Z86" s="142"/>
    </row>
    <row r="87" spans="1:26" ht="15.75" customHeight="1" x14ac:dyDescent="0.55000000000000004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2"/>
      <c r="X87" s="142"/>
      <c r="Y87" s="142"/>
      <c r="Z87" s="142"/>
    </row>
    <row r="88" spans="1:26" ht="15.75" customHeight="1" x14ac:dyDescent="0.55000000000000004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2"/>
      <c r="X88" s="142"/>
      <c r="Y88" s="142"/>
      <c r="Z88" s="142"/>
    </row>
    <row r="89" spans="1:26" ht="15.75" customHeight="1" x14ac:dyDescent="0.55000000000000004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2"/>
      <c r="X89" s="142"/>
      <c r="Y89" s="142"/>
      <c r="Z89" s="142"/>
    </row>
    <row r="90" spans="1:26" ht="15.75" customHeight="1" x14ac:dyDescent="0.55000000000000004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2"/>
      <c r="X90" s="142"/>
      <c r="Y90" s="142"/>
      <c r="Z90" s="142"/>
    </row>
    <row r="91" spans="1:26" ht="15.75" customHeight="1" x14ac:dyDescent="0.55000000000000004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2"/>
      <c r="X91" s="142"/>
      <c r="Y91" s="142"/>
      <c r="Z91" s="142"/>
    </row>
    <row r="92" spans="1:26" ht="15.75" customHeight="1" x14ac:dyDescent="0.55000000000000004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2"/>
      <c r="X92" s="142"/>
      <c r="Y92" s="142"/>
      <c r="Z92" s="142"/>
    </row>
    <row r="93" spans="1:26" ht="15.75" customHeight="1" x14ac:dyDescent="0.55000000000000004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2"/>
      <c r="X93" s="142"/>
      <c r="Y93" s="142"/>
      <c r="Z93" s="142"/>
    </row>
    <row r="94" spans="1:26" ht="15.75" customHeight="1" x14ac:dyDescent="0.55000000000000004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2"/>
      <c r="X94" s="142"/>
      <c r="Y94" s="142"/>
      <c r="Z94" s="142"/>
    </row>
    <row r="95" spans="1:26" ht="15.75" customHeight="1" x14ac:dyDescent="0.55000000000000004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2"/>
      <c r="X95" s="142"/>
      <c r="Y95" s="142"/>
      <c r="Z95" s="142"/>
    </row>
    <row r="96" spans="1:26" ht="15.75" customHeight="1" x14ac:dyDescent="0.55000000000000004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2"/>
      <c r="X96" s="142"/>
      <c r="Y96" s="142"/>
      <c r="Z96" s="142"/>
    </row>
    <row r="97" spans="1:26" ht="15.75" customHeight="1" x14ac:dyDescent="0.55000000000000004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2"/>
      <c r="X97" s="142"/>
      <c r="Y97" s="142"/>
      <c r="Z97" s="142"/>
    </row>
    <row r="98" spans="1:26" ht="15.75" customHeight="1" x14ac:dyDescent="0.55000000000000004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2"/>
      <c r="X98" s="142"/>
      <c r="Y98" s="142"/>
      <c r="Z98" s="142"/>
    </row>
    <row r="99" spans="1:26" ht="15.75" customHeight="1" x14ac:dyDescent="0.55000000000000004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2"/>
      <c r="X99" s="142"/>
      <c r="Y99" s="142"/>
      <c r="Z99" s="142"/>
    </row>
    <row r="100" spans="1:26" ht="15.75" customHeight="1" x14ac:dyDescent="0.55000000000000004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2"/>
      <c r="X100" s="142"/>
      <c r="Y100" s="142"/>
      <c r="Z100" s="142"/>
    </row>
    <row r="101" spans="1:26" ht="15.75" customHeight="1" x14ac:dyDescent="0.55000000000000004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2"/>
      <c r="X101" s="142"/>
      <c r="Y101" s="142"/>
      <c r="Z101" s="142"/>
    </row>
    <row r="102" spans="1:26" ht="15.75" customHeight="1" x14ac:dyDescent="0.55000000000000004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2"/>
      <c r="X102" s="142"/>
      <c r="Y102" s="142"/>
      <c r="Z102" s="142"/>
    </row>
    <row r="103" spans="1:26" ht="15.75" customHeight="1" x14ac:dyDescent="0.55000000000000004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2"/>
      <c r="X103" s="142"/>
      <c r="Y103" s="142"/>
      <c r="Z103" s="142"/>
    </row>
    <row r="104" spans="1:26" ht="15.75" customHeight="1" x14ac:dyDescent="0.55000000000000004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2"/>
      <c r="X104" s="142"/>
      <c r="Y104" s="142"/>
      <c r="Z104" s="142"/>
    </row>
    <row r="105" spans="1:26" ht="15.75" customHeight="1" x14ac:dyDescent="0.55000000000000004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2"/>
      <c r="X105" s="142"/>
      <c r="Y105" s="142"/>
      <c r="Z105" s="142"/>
    </row>
    <row r="106" spans="1:26" ht="15.75" customHeight="1" x14ac:dyDescent="0.55000000000000004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2"/>
      <c r="X106" s="142"/>
      <c r="Y106" s="142"/>
      <c r="Z106" s="142"/>
    </row>
    <row r="107" spans="1:26" ht="15.75" customHeight="1" x14ac:dyDescent="0.55000000000000004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2"/>
      <c r="X107" s="142"/>
      <c r="Y107" s="142"/>
      <c r="Z107" s="142"/>
    </row>
    <row r="108" spans="1:26" ht="15.75" customHeight="1" x14ac:dyDescent="0.55000000000000004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2"/>
      <c r="X108" s="142"/>
      <c r="Y108" s="142"/>
      <c r="Z108" s="142"/>
    </row>
    <row r="109" spans="1:26" ht="15.75" customHeight="1" x14ac:dyDescent="0.55000000000000004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2"/>
      <c r="X109" s="142"/>
      <c r="Y109" s="142"/>
      <c r="Z109" s="142"/>
    </row>
    <row r="110" spans="1:26" ht="15.75" customHeight="1" x14ac:dyDescent="0.55000000000000004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2"/>
      <c r="X110" s="142"/>
      <c r="Y110" s="142"/>
      <c r="Z110" s="142"/>
    </row>
    <row r="111" spans="1:26" ht="15.75" customHeight="1" x14ac:dyDescent="0.55000000000000004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2"/>
      <c r="X111" s="142"/>
      <c r="Y111" s="142"/>
      <c r="Z111" s="142"/>
    </row>
    <row r="112" spans="1:26" ht="15.75" customHeight="1" x14ac:dyDescent="0.55000000000000004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2"/>
      <c r="X112" s="142"/>
      <c r="Y112" s="142"/>
      <c r="Z112" s="142"/>
    </row>
    <row r="113" spans="1:26" ht="15.75" customHeight="1" x14ac:dyDescent="0.55000000000000004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2"/>
      <c r="X113" s="142"/>
      <c r="Y113" s="142"/>
      <c r="Z113" s="142"/>
    </row>
    <row r="114" spans="1:26" ht="15.75" customHeight="1" x14ac:dyDescent="0.55000000000000004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2"/>
      <c r="X114" s="142"/>
      <c r="Y114" s="142"/>
      <c r="Z114" s="142"/>
    </row>
    <row r="115" spans="1:26" ht="15.75" customHeight="1" x14ac:dyDescent="0.55000000000000004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2"/>
      <c r="X115" s="142"/>
      <c r="Y115" s="142"/>
      <c r="Z115" s="142"/>
    </row>
    <row r="116" spans="1:26" ht="15.75" customHeight="1" x14ac:dyDescent="0.55000000000000004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2"/>
      <c r="X116" s="142"/>
      <c r="Y116" s="142"/>
      <c r="Z116" s="142"/>
    </row>
    <row r="117" spans="1:26" ht="15.75" customHeight="1" x14ac:dyDescent="0.55000000000000004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2"/>
      <c r="X117" s="142"/>
      <c r="Y117" s="142"/>
      <c r="Z117" s="142"/>
    </row>
    <row r="118" spans="1:26" ht="15.75" customHeight="1" x14ac:dyDescent="0.55000000000000004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2"/>
      <c r="X118" s="142"/>
      <c r="Y118" s="142"/>
      <c r="Z118" s="142"/>
    </row>
    <row r="119" spans="1:26" ht="15.75" customHeight="1" x14ac:dyDescent="0.55000000000000004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2"/>
      <c r="X119" s="142"/>
      <c r="Y119" s="142"/>
      <c r="Z119" s="142"/>
    </row>
    <row r="120" spans="1:26" ht="15.75" customHeight="1" x14ac:dyDescent="0.55000000000000004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2"/>
      <c r="X120" s="142"/>
      <c r="Y120" s="142"/>
      <c r="Z120" s="142"/>
    </row>
    <row r="121" spans="1:26" ht="15.75" customHeight="1" x14ac:dyDescent="0.55000000000000004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2"/>
      <c r="X121" s="142"/>
      <c r="Y121" s="142"/>
      <c r="Z121" s="142"/>
    </row>
    <row r="122" spans="1:26" ht="15.75" customHeight="1" x14ac:dyDescent="0.55000000000000004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2"/>
      <c r="X122" s="142"/>
      <c r="Y122" s="142"/>
      <c r="Z122" s="142"/>
    </row>
    <row r="123" spans="1:26" ht="15.75" customHeight="1" x14ac:dyDescent="0.55000000000000004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2"/>
      <c r="X123" s="142"/>
      <c r="Y123" s="142"/>
      <c r="Z123" s="142"/>
    </row>
    <row r="124" spans="1:26" ht="15.75" customHeight="1" x14ac:dyDescent="0.55000000000000004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2"/>
      <c r="X124" s="142"/>
      <c r="Y124" s="142"/>
      <c r="Z124" s="142"/>
    </row>
    <row r="125" spans="1:26" ht="15.75" customHeight="1" x14ac:dyDescent="0.55000000000000004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2"/>
      <c r="X125" s="142"/>
      <c r="Y125" s="142"/>
      <c r="Z125" s="142"/>
    </row>
    <row r="126" spans="1:26" ht="15.75" customHeight="1" x14ac:dyDescent="0.55000000000000004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2"/>
      <c r="X126" s="142"/>
      <c r="Y126" s="142"/>
      <c r="Z126" s="142"/>
    </row>
    <row r="127" spans="1:26" ht="15.75" customHeight="1" x14ac:dyDescent="0.55000000000000004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2"/>
      <c r="X127" s="142"/>
      <c r="Y127" s="142"/>
      <c r="Z127" s="142"/>
    </row>
    <row r="128" spans="1:26" ht="15.75" customHeight="1" x14ac:dyDescent="0.55000000000000004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2"/>
      <c r="X128" s="142"/>
      <c r="Y128" s="142"/>
      <c r="Z128" s="142"/>
    </row>
    <row r="129" spans="1:26" ht="15.75" customHeight="1" x14ac:dyDescent="0.55000000000000004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2"/>
      <c r="X129" s="142"/>
      <c r="Y129" s="142"/>
      <c r="Z129" s="142"/>
    </row>
    <row r="130" spans="1:26" ht="15.75" customHeight="1" x14ac:dyDescent="0.55000000000000004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2"/>
      <c r="X130" s="142"/>
      <c r="Y130" s="142"/>
      <c r="Z130" s="142"/>
    </row>
    <row r="131" spans="1:26" ht="15.75" customHeight="1" x14ac:dyDescent="0.55000000000000004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2"/>
      <c r="X131" s="142"/>
      <c r="Y131" s="142"/>
      <c r="Z131" s="142"/>
    </row>
    <row r="132" spans="1:26" ht="15.75" customHeight="1" x14ac:dyDescent="0.55000000000000004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2"/>
      <c r="X132" s="142"/>
      <c r="Y132" s="142"/>
      <c r="Z132" s="142"/>
    </row>
    <row r="133" spans="1:26" ht="15.75" customHeight="1" x14ac:dyDescent="0.55000000000000004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2"/>
      <c r="X133" s="142"/>
      <c r="Y133" s="142"/>
      <c r="Z133" s="142"/>
    </row>
    <row r="134" spans="1:26" ht="15.75" customHeight="1" x14ac:dyDescent="0.55000000000000004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2"/>
      <c r="X134" s="142"/>
      <c r="Y134" s="142"/>
      <c r="Z134" s="142"/>
    </row>
    <row r="135" spans="1:26" ht="15.75" customHeight="1" x14ac:dyDescent="0.55000000000000004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2"/>
      <c r="X135" s="142"/>
      <c r="Y135" s="142"/>
      <c r="Z135" s="142"/>
    </row>
    <row r="136" spans="1:26" ht="15.75" customHeight="1" x14ac:dyDescent="0.55000000000000004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2"/>
      <c r="X136" s="142"/>
      <c r="Y136" s="142"/>
      <c r="Z136" s="142"/>
    </row>
    <row r="137" spans="1:26" ht="15.75" customHeight="1" x14ac:dyDescent="0.55000000000000004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2"/>
      <c r="X137" s="142"/>
      <c r="Y137" s="142"/>
      <c r="Z137" s="142"/>
    </row>
    <row r="138" spans="1:26" ht="15.75" customHeight="1" x14ac:dyDescent="0.55000000000000004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2"/>
      <c r="X138" s="142"/>
      <c r="Y138" s="142"/>
      <c r="Z138" s="142"/>
    </row>
    <row r="139" spans="1:26" ht="15.75" customHeight="1" x14ac:dyDescent="0.55000000000000004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2"/>
      <c r="X139" s="142"/>
      <c r="Y139" s="142"/>
      <c r="Z139" s="142"/>
    </row>
    <row r="140" spans="1:26" ht="15.75" customHeight="1" x14ac:dyDescent="0.55000000000000004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2"/>
      <c r="X140" s="142"/>
      <c r="Y140" s="142"/>
      <c r="Z140" s="142"/>
    </row>
    <row r="141" spans="1:26" ht="15.75" customHeight="1" x14ac:dyDescent="0.55000000000000004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2"/>
      <c r="X141" s="142"/>
      <c r="Y141" s="142"/>
      <c r="Z141" s="142"/>
    </row>
    <row r="142" spans="1:26" ht="15.75" customHeight="1" x14ac:dyDescent="0.55000000000000004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2"/>
      <c r="X142" s="142"/>
      <c r="Y142" s="142"/>
      <c r="Z142" s="142"/>
    </row>
    <row r="143" spans="1:26" ht="15.75" customHeight="1" x14ac:dyDescent="0.55000000000000004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2"/>
      <c r="X143" s="142"/>
      <c r="Y143" s="142"/>
      <c r="Z143" s="142"/>
    </row>
    <row r="144" spans="1:26" ht="15.75" customHeight="1" x14ac:dyDescent="0.55000000000000004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2"/>
      <c r="X144" s="142"/>
      <c r="Y144" s="142"/>
      <c r="Z144" s="142"/>
    </row>
    <row r="145" spans="1:26" ht="15.75" customHeight="1" x14ac:dyDescent="0.55000000000000004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2"/>
      <c r="X145" s="142"/>
      <c r="Y145" s="142"/>
      <c r="Z145" s="142"/>
    </row>
    <row r="146" spans="1:26" ht="15.75" customHeight="1" x14ac:dyDescent="0.55000000000000004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2"/>
      <c r="X146" s="142"/>
      <c r="Y146" s="142"/>
      <c r="Z146" s="142"/>
    </row>
    <row r="147" spans="1:26" ht="15.75" customHeight="1" x14ac:dyDescent="0.55000000000000004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2"/>
      <c r="X147" s="142"/>
      <c r="Y147" s="142"/>
      <c r="Z147" s="142"/>
    </row>
    <row r="148" spans="1:26" ht="15.75" customHeight="1" x14ac:dyDescent="0.55000000000000004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2"/>
      <c r="X148" s="142"/>
      <c r="Y148" s="142"/>
      <c r="Z148" s="142"/>
    </row>
    <row r="149" spans="1:26" ht="15.75" customHeight="1" x14ac:dyDescent="0.55000000000000004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2"/>
      <c r="X149" s="142"/>
      <c r="Y149" s="142"/>
      <c r="Z149" s="142"/>
    </row>
    <row r="150" spans="1:26" ht="15.75" customHeight="1" x14ac:dyDescent="0.55000000000000004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2"/>
      <c r="X150" s="142"/>
      <c r="Y150" s="142"/>
      <c r="Z150" s="142"/>
    </row>
    <row r="151" spans="1:26" ht="15.75" customHeight="1" x14ac:dyDescent="0.55000000000000004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2"/>
      <c r="X151" s="142"/>
      <c r="Y151" s="142"/>
      <c r="Z151" s="142"/>
    </row>
    <row r="152" spans="1:26" ht="15.75" customHeight="1" x14ac:dyDescent="0.55000000000000004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2"/>
      <c r="X152" s="142"/>
      <c r="Y152" s="142"/>
      <c r="Z152" s="142"/>
    </row>
    <row r="153" spans="1:26" ht="15.75" customHeight="1" x14ac:dyDescent="0.55000000000000004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2"/>
      <c r="X153" s="142"/>
      <c r="Y153" s="142"/>
      <c r="Z153" s="142"/>
    </row>
    <row r="154" spans="1:26" ht="15.75" customHeight="1" x14ac:dyDescent="0.55000000000000004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2"/>
      <c r="X154" s="142"/>
      <c r="Y154" s="142"/>
      <c r="Z154" s="142"/>
    </row>
    <row r="155" spans="1:26" ht="15.75" customHeight="1" x14ac:dyDescent="0.55000000000000004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2"/>
      <c r="X155" s="142"/>
      <c r="Y155" s="142"/>
      <c r="Z155" s="142"/>
    </row>
    <row r="156" spans="1:26" ht="15.75" customHeight="1" x14ac:dyDescent="0.55000000000000004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2"/>
      <c r="X156" s="142"/>
      <c r="Y156" s="142"/>
      <c r="Z156" s="142"/>
    </row>
    <row r="157" spans="1:26" ht="15.75" customHeight="1" x14ac:dyDescent="0.55000000000000004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2"/>
      <c r="X157" s="142"/>
      <c r="Y157" s="142"/>
      <c r="Z157" s="142"/>
    </row>
    <row r="158" spans="1:26" ht="15.75" customHeight="1" x14ac:dyDescent="0.55000000000000004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2"/>
      <c r="X158" s="142"/>
      <c r="Y158" s="142"/>
      <c r="Z158" s="142"/>
    </row>
    <row r="159" spans="1:26" ht="15.75" customHeight="1" x14ac:dyDescent="0.55000000000000004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2"/>
      <c r="X159" s="142"/>
      <c r="Y159" s="142"/>
      <c r="Z159" s="142"/>
    </row>
    <row r="160" spans="1:26" ht="15.75" customHeight="1" x14ac:dyDescent="0.55000000000000004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2"/>
      <c r="X160" s="142"/>
      <c r="Y160" s="142"/>
      <c r="Z160" s="142"/>
    </row>
    <row r="161" spans="1:26" ht="15.75" customHeight="1" x14ac:dyDescent="0.55000000000000004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2"/>
      <c r="X161" s="142"/>
      <c r="Y161" s="142"/>
      <c r="Z161" s="142"/>
    </row>
    <row r="162" spans="1:26" ht="15.75" customHeight="1" x14ac:dyDescent="0.55000000000000004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2"/>
      <c r="X162" s="142"/>
      <c r="Y162" s="142"/>
      <c r="Z162" s="142"/>
    </row>
    <row r="163" spans="1:26" ht="15.75" customHeight="1" x14ac:dyDescent="0.55000000000000004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2"/>
      <c r="X163" s="142"/>
      <c r="Y163" s="142"/>
      <c r="Z163" s="142"/>
    </row>
    <row r="164" spans="1:26" ht="15.75" customHeight="1" x14ac:dyDescent="0.55000000000000004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2"/>
      <c r="X164" s="142"/>
      <c r="Y164" s="142"/>
      <c r="Z164" s="142"/>
    </row>
    <row r="165" spans="1:26" ht="15.75" customHeight="1" x14ac:dyDescent="0.55000000000000004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2"/>
      <c r="X165" s="142"/>
      <c r="Y165" s="142"/>
      <c r="Z165" s="142"/>
    </row>
    <row r="166" spans="1:26" ht="15.75" customHeight="1" x14ac:dyDescent="0.55000000000000004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2"/>
      <c r="X166" s="142"/>
      <c r="Y166" s="142"/>
      <c r="Z166" s="142"/>
    </row>
    <row r="167" spans="1:26" ht="15.75" customHeight="1" x14ac:dyDescent="0.55000000000000004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2"/>
      <c r="X167" s="142"/>
      <c r="Y167" s="142"/>
      <c r="Z167" s="142"/>
    </row>
    <row r="168" spans="1:26" ht="15.75" customHeight="1" x14ac:dyDescent="0.55000000000000004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2"/>
      <c r="X168" s="142"/>
      <c r="Y168" s="142"/>
      <c r="Z168" s="142"/>
    </row>
    <row r="169" spans="1:26" ht="15.75" customHeight="1" x14ac:dyDescent="0.55000000000000004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2"/>
      <c r="X169" s="142"/>
      <c r="Y169" s="142"/>
      <c r="Z169" s="142"/>
    </row>
    <row r="170" spans="1:26" ht="15.75" customHeight="1" x14ac:dyDescent="0.55000000000000004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2"/>
      <c r="X170" s="142"/>
      <c r="Y170" s="142"/>
      <c r="Z170" s="142"/>
    </row>
    <row r="171" spans="1:26" ht="15.75" customHeight="1" x14ac:dyDescent="0.55000000000000004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2"/>
      <c r="X171" s="142"/>
      <c r="Y171" s="142"/>
      <c r="Z171" s="142"/>
    </row>
    <row r="172" spans="1:26" ht="15.75" customHeight="1" x14ac:dyDescent="0.55000000000000004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2"/>
      <c r="X172" s="142"/>
      <c r="Y172" s="142"/>
      <c r="Z172" s="142"/>
    </row>
    <row r="173" spans="1:26" ht="15.75" customHeight="1" x14ac:dyDescent="0.55000000000000004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2"/>
      <c r="X173" s="142"/>
      <c r="Y173" s="142"/>
      <c r="Z173" s="142"/>
    </row>
    <row r="174" spans="1:26" ht="15.75" customHeight="1" x14ac:dyDescent="0.55000000000000004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2"/>
      <c r="X174" s="142"/>
      <c r="Y174" s="142"/>
      <c r="Z174" s="142"/>
    </row>
    <row r="175" spans="1:26" ht="15.75" customHeight="1" x14ac:dyDescent="0.55000000000000004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2"/>
      <c r="X175" s="142"/>
      <c r="Y175" s="142"/>
      <c r="Z175" s="142"/>
    </row>
    <row r="176" spans="1:26" ht="15.75" customHeight="1" x14ac:dyDescent="0.55000000000000004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2"/>
      <c r="X176" s="142"/>
      <c r="Y176" s="142"/>
      <c r="Z176" s="142"/>
    </row>
    <row r="177" spans="1:26" ht="15.75" customHeight="1" x14ac:dyDescent="0.55000000000000004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2"/>
      <c r="X177" s="142"/>
      <c r="Y177" s="142"/>
      <c r="Z177" s="142"/>
    </row>
    <row r="178" spans="1:26" ht="15.75" customHeight="1" x14ac:dyDescent="0.55000000000000004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2"/>
      <c r="X178" s="142"/>
      <c r="Y178" s="142"/>
      <c r="Z178" s="142"/>
    </row>
    <row r="179" spans="1:26" ht="15.75" customHeight="1" x14ac:dyDescent="0.55000000000000004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2"/>
      <c r="X179" s="142"/>
      <c r="Y179" s="142"/>
      <c r="Z179" s="142"/>
    </row>
    <row r="180" spans="1:26" ht="15.75" customHeight="1" x14ac:dyDescent="0.55000000000000004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2"/>
      <c r="X180" s="142"/>
      <c r="Y180" s="142"/>
      <c r="Z180" s="142"/>
    </row>
    <row r="181" spans="1:26" ht="15.75" customHeight="1" x14ac:dyDescent="0.55000000000000004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2"/>
      <c r="X181" s="142"/>
      <c r="Y181" s="142"/>
      <c r="Z181" s="142"/>
    </row>
    <row r="182" spans="1:26" ht="15.75" customHeight="1" x14ac:dyDescent="0.55000000000000004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2"/>
      <c r="X182" s="142"/>
      <c r="Y182" s="142"/>
      <c r="Z182" s="142"/>
    </row>
    <row r="183" spans="1:26" ht="15.75" customHeight="1" x14ac:dyDescent="0.55000000000000004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2"/>
      <c r="X183" s="142"/>
      <c r="Y183" s="142"/>
      <c r="Z183" s="142"/>
    </row>
    <row r="184" spans="1:26" ht="15.75" customHeight="1" x14ac:dyDescent="0.55000000000000004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2"/>
      <c r="X184" s="142"/>
      <c r="Y184" s="142"/>
      <c r="Z184" s="142"/>
    </row>
    <row r="185" spans="1:26" ht="15.75" customHeight="1" x14ac:dyDescent="0.55000000000000004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2"/>
      <c r="X185" s="142"/>
      <c r="Y185" s="142"/>
      <c r="Z185" s="142"/>
    </row>
    <row r="186" spans="1:26" ht="15.75" customHeight="1" x14ac:dyDescent="0.55000000000000004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2"/>
      <c r="X186" s="142"/>
      <c r="Y186" s="142"/>
      <c r="Z186" s="142"/>
    </row>
    <row r="187" spans="1:26" ht="15.75" customHeight="1" x14ac:dyDescent="0.55000000000000004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2"/>
      <c r="X187" s="142"/>
      <c r="Y187" s="142"/>
      <c r="Z187" s="142"/>
    </row>
    <row r="188" spans="1:26" ht="15.75" customHeight="1" x14ac:dyDescent="0.55000000000000004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2"/>
      <c r="X188" s="142"/>
      <c r="Y188" s="142"/>
      <c r="Z188" s="142"/>
    </row>
    <row r="189" spans="1:26" ht="15.75" customHeight="1" x14ac:dyDescent="0.55000000000000004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2"/>
      <c r="X189" s="142"/>
      <c r="Y189" s="142"/>
      <c r="Z189" s="142"/>
    </row>
    <row r="190" spans="1:26" ht="15.75" customHeight="1" x14ac:dyDescent="0.55000000000000004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2"/>
      <c r="X190" s="142"/>
      <c r="Y190" s="142"/>
      <c r="Z190" s="142"/>
    </row>
    <row r="191" spans="1:26" ht="15.75" customHeight="1" x14ac:dyDescent="0.55000000000000004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2"/>
      <c r="X191" s="142"/>
      <c r="Y191" s="142"/>
      <c r="Z191" s="142"/>
    </row>
    <row r="192" spans="1:26" ht="15.75" customHeight="1" x14ac:dyDescent="0.55000000000000004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2"/>
      <c r="X192" s="142"/>
      <c r="Y192" s="142"/>
      <c r="Z192" s="142"/>
    </row>
    <row r="193" spans="1:26" ht="15.75" customHeight="1" x14ac:dyDescent="0.55000000000000004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2"/>
      <c r="X193" s="142"/>
      <c r="Y193" s="142"/>
      <c r="Z193" s="142"/>
    </row>
    <row r="194" spans="1:26" ht="15.75" customHeight="1" x14ac:dyDescent="0.55000000000000004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2"/>
      <c r="X194" s="142"/>
      <c r="Y194" s="142"/>
      <c r="Z194" s="142"/>
    </row>
    <row r="195" spans="1:26" ht="15.75" customHeight="1" x14ac:dyDescent="0.55000000000000004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2"/>
      <c r="X195" s="142"/>
      <c r="Y195" s="142"/>
      <c r="Z195" s="142"/>
    </row>
    <row r="196" spans="1:26" ht="15.75" customHeight="1" x14ac:dyDescent="0.55000000000000004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2"/>
      <c r="X196" s="142"/>
      <c r="Y196" s="142"/>
      <c r="Z196" s="142"/>
    </row>
    <row r="197" spans="1:26" ht="15.75" customHeight="1" x14ac:dyDescent="0.55000000000000004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2"/>
      <c r="X197" s="142"/>
      <c r="Y197" s="142"/>
      <c r="Z197" s="142"/>
    </row>
    <row r="198" spans="1:26" ht="15.75" customHeight="1" x14ac:dyDescent="0.55000000000000004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2"/>
      <c r="X198" s="142"/>
      <c r="Y198" s="142"/>
      <c r="Z198" s="142"/>
    </row>
    <row r="199" spans="1:26" ht="15.75" customHeight="1" x14ac:dyDescent="0.55000000000000004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2"/>
      <c r="X199" s="142"/>
      <c r="Y199" s="142"/>
      <c r="Z199" s="142"/>
    </row>
    <row r="200" spans="1:26" ht="15.75" customHeight="1" x14ac:dyDescent="0.55000000000000004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2"/>
      <c r="X200" s="142"/>
      <c r="Y200" s="142"/>
      <c r="Z200" s="142"/>
    </row>
    <row r="201" spans="1:26" ht="15.75" customHeight="1" x14ac:dyDescent="0.55000000000000004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2"/>
      <c r="X201" s="142"/>
      <c r="Y201" s="142"/>
      <c r="Z201" s="142"/>
    </row>
    <row r="202" spans="1:26" ht="15.75" customHeight="1" x14ac:dyDescent="0.55000000000000004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2"/>
      <c r="X202" s="142"/>
      <c r="Y202" s="142"/>
      <c r="Z202" s="142"/>
    </row>
    <row r="203" spans="1:26" ht="15.75" customHeight="1" x14ac:dyDescent="0.55000000000000004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2"/>
      <c r="X203" s="142"/>
      <c r="Y203" s="142"/>
      <c r="Z203" s="142"/>
    </row>
    <row r="204" spans="1:26" ht="15.75" customHeight="1" x14ac:dyDescent="0.55000000000000004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2"/>
      <c r="X204" s="142"/>
      <c r="Y204" s="142"/>
      <c r="Z204" s="142"/>
    </row>
    <row r="205" spans="1:26" ht="15.75" customHeight="1" x14ac:dyDescent="0.55000000000000004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2"/>
      <c r="X205" s="142"/>
      <c r="Y205" s="142"/>
      <c r="Z205" s="142"/>
    </row>
    <row r="206" spans="1:26" ht="15.75" customHeight="1" x14ac:dyDescent="0.55000000000000004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2"/>
      <c r="X206" s="142"/>
      <c r="Y206" s="142"/>
      <c r="Z206" s="142"/>
    </row>
    <row r="207" spans="1:26" ht="15.75" customHeight="1" x14ac:dyDescent="0.55000000000000004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2"/>
      <c r="X207" s="142"/>
      <c r="Y207" s="142"/>
      <c r="Z207" s="142"/>
    </row>
    <row r="208" spans="1:26" ht="15.75" customHeight="1" x14ac:dyDescent="0.55000000000000004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2"/>
      <c r="X208" s="142"/>
      <c r="Y208" s="142"/>
      <c r="Z208" s="142"/>
    </row>
    <row r="209" spans="1:26" ht="15.75" customHeight="1" x14ac:dyDescent="0.55000000000000004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2"/>
      <c r="X209" s="142"/>
      <c r="Y209" s="142"/>
      <c r="Z209" s="142"/>
    </row>
    <row r="210" spans="1:26" ht="15.75" customHeight="1" x14ac:dyDescent="0.55000000000000004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2"/>
      <c r="X210" s="142"/>
      <c r="Y210" s="142"/>
      <c r="Z210" s="142"/>
    </row>
    <row r="211" spans="1:26" ht="15.75" customHeight="1" x14ac:dyDescent="0.55000000000000004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2"/>
      <c r="X211" s="142"/>
      <c r="Y211" s="142"/>
      <c r="Z211" s="142"/>
    </row>
    <row r="212" spans="1:26" ht="15.75" customHeight="1" x14ac:dyDescent="0.55000000000000004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2"/>
      <c r="X212" s="142"/>
      <c r="Y212" s="142"/>
      <c r="Z212" s="142"/>
    </row>
    <row r="213" spans="1:26" ht="15.75" customHeight="1" x14ac:dyDescent="0.55000000000000004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2"/>
      <c r="X213" s="142"/>
      <c r="Y213" s="142"/>
      <c r="Z213" s="142"/>
    </row>
    <row r="214" spans="1:26" ht="15.75" customHeight="1" x14ac:dyDescent="0.55000000000000004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2"/>
      <c r="X214" s="142"/>
      <c r="Y214" s="142"/>
      <c r="Z214" s="142"/>
    </row>
    <row r="215" spans="1:26" ht="15.75" customHeight="1" x14ac:dyDescent="0.55000000000000004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2"/>
      <c r="X215" s="142"/>
      <c r="Y215" s="142"/>
      <c r="Z215" s="142"/>
    </row>
    <row r="216" spans="1:26" ht="15.75" customHeight="1" x14ac:dyDescent="0.55000000000000004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2"/>
      <c r="X216" s="142"/>
      <c r="Y216" s="142"/>
      <c r="Z216" s="142"/>
    </row>
    <row r="217" spans="1:26" ht="15.75" customHeight="1" x14ac:dyDescent="0.55000000000000004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2"/>
      <c r="X217" s="142"/>
      <c r="Y217" s="142"/>
      <c r="Z217" s="142"/>
    </row>
    <row r="218" spans="1:26" ht="15.75" customHeight="1" x14ac:dyDescent="0.55000000000000004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2"/>
      <c r="X218" s="142"/>
      <c r="Y218" s="142"/>
      <c r="Z218" s="142"/>
    </row>
    <row r="219" spans="1:26" ht="15.75" customHeight="1" x14ac:dyDescent="0.55000000000000004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2"/>
      <c r="X219" s="142"/>
      <c r="Y219" s="142"/>
      <c r="Z219" s="142"/>
    </row>
    <row r="220" spans="1:26" ht="15.75" customHeight="1" x14ac:dyDescent="0.55000000000000004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2"/>
      <c r="X220" s="142"/>
      <c r="Y220" s="142"/>
      <c r="Z220" s="142"/>
    </row>
    <row r="221" spans="1:26" ht="15.75" customHeight="1" x14ac:dyDescent="0.55000000000000004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2"/>
      <c r="X221" s="142"/>
      <c r="Y221" s="142"/>
      <c r="Z221" s="142"/>
    </row>
    <row r="222" spans="1:26" ht="15.75" customHeight="1" x14ac:dyDescent="0.55000000000000004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2"/>
      <c r="X222" s="142"/>
      <c r="Y222" s="142"/>
      <c r="Z222" s="142"/>
    </row>
    <row r="223" spans="1:26" ht="15.75" customHeight="1" x14ac:dyDescent="0.55000000000000004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2"/>
      <c r="X223" s="142"/>
      <c r="Y223" s="142"/>
      <c r="Z223" s="142"/>
    </row>
    <row r="224" spans="1:26" ht="15.75" customHeight="1" x14ac:dyDescent="0.55000000000000004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2"/>
      <c r="X224" s="142"/>
      <c r="Y224" s="142"/>
      <c r="Z224" s="142"/>
    </row>
    <row r="225" spans="1:26" ht="15.75" customHeight="1" x14ac:dyDescent="0.55000000000000004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spans="1:26" ht="15.75" customHeight="1" x14ac:dyDescent="0.55000000000000004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spans="1:26" ht="15.75" customHeight="1" x14ac:dyDescent="0.55000000000000004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spans="1:26" ht="15.75" customHeight="1" x14ac:dyDescent="0.55000000000000004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spans="1:26" ht="15.75" customHeight="1" x14ac:dyDescent="0.55000000000000004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spans="1:26" ht="15.75" customHeight="1" x14ac:dyDescent="0.55000000000000004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spans="1:26" ht="15.75" customHeight="1" x14ac:dyDescent="0.55000000000000004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spans="1:26" ht="15.75" customHeight="1" x14ac:dyDescent="0.55000000000000004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spans="1:26" ht="15.75" customHeight="1" x14ac:dyDescent="0.55000000000000004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spans="1:26" ht="15.75" customHeight="1" x14ac:dyDescent="0.55000000000000004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spans="1:26" ht="15.75" customHeight="1" x14ac:dyDescent="0.55000000000000004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spans="1:26" ht="15.75" customHeight="1" x14ac:dyDescent="0.55000000000000004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spans="1:26" ht="15.75" customHeight="1" x14ac:dyDescent="0.55000000000000004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spans="1:26" ht="15.75" customHeight="1" x14ac:dyDescent="0.55000000000000004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spans="1:26" ht="15.75" customHeight="1" x14ac:dyDescent="0.55000000000000004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spans="1:26" ht="15.75" customHeight="1" x14ac:dyDescent="0.55000000000000004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spans="1:26" ht="15.75" customHeight="1" x14ac:dyDescent="0.55000000000000004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spans="1:26" ht="15.75" customHeight="1" x14ac:dyDescent="0.55000000000000004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 spans="1:26" ht="15.75" customHeight="1" x14ac:dyDescent="0.55000000000000004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 spans="1:26" ht="15.75" customHeight="1" x14ac:dyDescent="0.55000000000000004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 spans="1:26" ht="15.75" customHeight="1" x14ac:dyDescent="0.55000000000000004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 spans="1:26" ht="15.75" customHeight="1" x14ac:dyDescent="0.55000000000000004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 spans="1:26" ht="15.75" customHeight="1" x14ac:dyDescent="0.55000000000000004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 spans="1:26" ht="15.75" customHeight="1" x14ac:dyDescent="0.55000000000000004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 spans="1:26" ht="15.75" customHeight="1" x14ac:dyDescent="0.55000000000000004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 spans="1:26" ht="15.75" customHeight="1" x14ac:dyDescent="0.55000000000000004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 spans="1:26" ht="15.75" customHeight="1" x14ac:dyDescent="0.55000000000000004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 spans="1:26" ht="15.75" customHeight="1" x14ac:dyDescent="0.55000000000000004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 spans="1:26" ht="15.75" customHeight="1" x14ac:dyDescent="0.55000000000000004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 spans="1:26" ht="15.75" customHeight="1" x14ac:dyDescent="0.55000000000000004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spans="1:26" ht="15.75" customHeight="1" x14ac:dyDescent="0.55000000000000004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spans="1:26" ht="15.75" customHeight="1" x14ac:dyDescent="0.55000000000000004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spans="1:26" ht="15.75" customHeight="1" x14ac:dyDescent="0.55000000000000004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spans="1:26" ht="15.75" customHeight="1" x14ac:dyDescent="0.55000000000000004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 spans="1:26" ht="15.75" customHeight="1" x14ac:dyDescent="0.55000000000000004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spans="1:26" ht="15.75" customHeight="1" x14ac:dyDescent="0.55000000000000004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spans="1:26" ht="15.75" customHeight="1" x14ac:dyDescent="0.55000000000000004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spans="1:26" ht="15.75" customHeight="1" x14ac:dyDescent="0.55000000000000004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spans="1:26" ht="15.75" customHeight="1" x14ac:dyDescent="0.55000000000000004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spans="1:26" ht="15.75" customHeight="1" x14ac:dyDescent="0.55000000000000004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spans="1:26" ht="15.75" customHeight="1" x14ac:dyDescent="0.55000000000000004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spans="1:26" ht="15.75" customHeight="1" x14ac:dyDescent="0.55000000000000004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spans="1:26" ht="15.75" customHeight="1" x14ac:dyDescent="0.55000000000000004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spans="1:26" ht="15.75" customHeight="1" x14ac:dyDescent="0.55000000000000004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spans="1:26" ht="15.75" customHeight="1" x14ac:dyDescent="0.55000000000000004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spans="1:26" ht="15.75" customHeight="1" x14ac:dyDescent="0.55000000000000004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spans="1:26" ht="15.75" customHeight="1" x14ac:dyDescent="0.55000000000000004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spans="1:26" ht="15.75" customHeight="1" x14ac:dyDescent="0.55000000000000004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spans="1:26" ht="15.75" customHeight="1" x14ac:dyDescent="0.55000000000000004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spans="1:26" ht="15.75" customHeight="1" x14ac:dyDescent="0.55000000000000004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spans="1:26" ht="15.75" customHeight="1" x14ac:dyDescent="0.55000000000000004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 spans="1:26" ht="15.75" customHeight="1" x14ac:dyDescent="0.55000000000000004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 spans="1:26" ht="15.75" customHeight="1" x14ac:dyDescent="0.55000000000000004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 spans="1:26" ht="15.75" customHeight="1" x14ac:dyDescent="0.55000000000000004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 spans="1:26" ht="15.75" customHeight="1" x14ac:dyDescent="0.55000000000000004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 spans="1:26" ht="15.75" customHeight="1" x14ac:dyDescent="0.55000000000000004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 spans="1:26" ht="15.75" customHeight="1" x14ac:dyDescent="0.55000000000000004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 spans="1:26" ht="15.75" customHeight="1" x14ac:dyDescent="0.55000000000000004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 spans="1:26" ht="15.75" customHeight="1" x14ac:dyDescent="0.55000000000000004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 spans="1:26" ht="15.75" customHeight="1" x14ac:dyDescent="0.55000000000000004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 spans="1:26" ht="15.75" customHeight="1" x14ac:dyDescent="0.55000000000000004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 spans="1:26" ht="15.75" customHeight="1" x14ac:dyDescent="0.55000000000000004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 spans="1:26" ht="15.75" customHeight="1" x14ac:dyDescent="0.55000000000000004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 spans="1:26" ht="15.75" customHeight="1" x14ac:dyDescent="0.55000000000000004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 spans="1:26" ht="15.75" customHeight="1" x14ac:dyDescent="0.55000000000000004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 spans="1:26" ht="15.75" customHeight="1" x14ac:dyDescent="0.55000000000000004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 spans="1:26" ht="15.75" customHeight="1" x14ac:dyDescent="0.55000000000000004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 spans="1:26" ht="15.75" customHeight="1" x14ac:dyDescent="0.55000000000000004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spans="1:26" ht="15.75" customHeight="1" x14ac:dyDescent="0.55000000000000004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spans="1:26" ht="15.75" customHeight="1" x14ac:dyDescent="0.55000000000000004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spans="1:26" ht="15.75" customHeight="1" x14ac:dyDescent="0.55000000000000004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 spans="1:26" ht="15.75" customHeight="1" x14ac:dyDescent="0.55000000000000004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spans="1:26" ht="15.75" customHeight="1" x14ac:dyDescent="0.55000000000000004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spans="1:26" ht="15.75" customHeight="1" x14ac:dyDescent="0.55000000000000004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spans="1:26" ht="15.75" customHeight="1" x14ac:dyDescent="0.55000000000000004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spans="1:26" ht="15.75" customHeight="1" x14ac:dyDescent="0.55000000000000004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spans="1:26" ht="15.75" customHeight="1" x14ac:dyDescent="0.55000000000000004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spans="1:26" ht="15.75" customHeight="1" x14ac:dyDescent="0.55000000000000004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 spans="1:26" ht="15.75" customHeight="1" x14ac:dyDescent="0.55000000000000004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spans="1:26" ht="15.75" customHeight="1" x14ac:dyDescent="0.55000000000000004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spans="1:26" ht="15.75" customHeight="1" x14ac:dyDescent="0.55000000000000004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spans="1:26" ht="15.75" customHeight="1" x14ac:dyDescent="0.55000000000000004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spans="1:26" ht="15.75" customHeight="1" x14ac:dyDescent="0.55000000000000004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spans="1:26" ht="15.75" customHeight="1" x14ac:dyDescent="0.55000000000000004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 spans="1:26" ht="15.75" customHeight="1" x14ac:dyDescent="0.55000000000000004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 spans="1:26" ht="15.75" customHeight="1" x14ac:dyDescent="0.55000000000000004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 spans="1:26" ht="15.75" customHeight="1" x14ac:dyDescent="0.55000000000000004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 spans="1:26" ht="15.75" customHeight="1" x14ac:dyDescent="0.55000000000000004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 spans="1:26" ht="15.75" customHeight="1" x14ac:dyDescent="0.55000000000000004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spans="1:26" ht="15.75" customHeight="1" x14ac:dyDescent="0.55000000000000004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spans="1:26" ht="15.75" customHeight="1" x14ac:dyDescent="0.55000000000000004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 spans="1:26" ht="15.75" customHeight="1" x14ac:dyDescent="0.55000000000000004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 spans="1:26" ht="15.75" customHeight="1" x14ac:dyDescent="0.55000000000000004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 spans="1:26" ht="15.75" customHeight="1" x14ac:dyDescent="0.55000000000000004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 spans="1:26" ht="15.75" customHeight="1" x14ac:dyDescent="0.55000000000000004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 spans="1:26" ht="15.75" customHeight="1" x14ac:dyDescent="0.55000000000000004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 spans="1:26" ht="15.75" customHeight="1" x14ac:dyDescent="0.55000000000000004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 spans="1:26" ht="15.75" customHeight="1" x14ac:dyDescent="0.55000000000000004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 spans="1:26" ht="15.75" customHeight="1" x14ac:dyDescent="0.55000000000000004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 spans="1:26" ht="15.75" customHeight="1" x14ac:dyDescent="0.55000000000000004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 spans="1:26" ht="15.75" customHeight="1" x14ac:dyDescent="0.55000000000000004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spans="1:26" ht="15.75" customHeight="1" x14ac:dyDescent="0.55000000000000004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spans="1:26" ht="15.75" customHeight="1" x14ac:dyDescent="0.55000000000000004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spans="1:26" ht="15.75" customHeight="1" x14ac:dyDescent="0.55000000000000004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 spans="1:26" ht="15.75" customHeight="1" x14ac:dyDescent="0.55000000000000004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 spans="1:26" ht="15.75" customHeight="1" x14ac:dyDescent="0.55000000000000004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 spans="1:26" ht="15.75" customHeight="1" x14ac:dyDescent="0.55000000000000004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 spans="1:26" ht="15.75" customHeight="1" x14ac:dyDescent="0.55000000000000004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 spans="1:26" ht="15.75" customHeight="1" x14ac:dyDescent="0.55000000000000004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 spans="1:26" ht="15.75" customHeight="1" x14ac:dyDescent="0.55000000000000004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 spans="1:26" ht="15.75" customHeight="1" x14ac:dyDescent="0.55000000000000004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 spans="1:26" ht="15.75" customHeight="1" x14ac:dyDescent="0.55000000000000004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 spans="1:26" ht="15.75" customHeight="1" x14ac:dyDescent="0.55000000000000004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 spans="1:26" ht="15.75" customHeight="1" x14ac:dyDescent="0.55000000000000004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 spans="1:26" ht="15.75" customHeight="1" x14ac:dyDescent="0.55000000000000004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 spans="1:26" ht="15.75" customHeight="1" x14ac:dyDescent="0.55000000000000004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 spans="1:26" ht="15.75" customHeight="1" x14ac:dyDescent="0.55000000000000004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 spans="1:26" ht="15.75" customHeight="1" x14ac:dyDescent="0.55000000000000004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 spans="1:26" ht="15.75" customHeight="1" x14ac:dyDescent="0.55000000000000004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 spans="1:26" ht="15.75" customHeight="1" x14ac:dyDescent="0.55000000000000004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 spans="1:26" ht="15.75" customHeight="1" x14ac:dyDescent="0.55000000000000004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 spans="1:26" ht="15.75" customHeight="1" x14ac:dyDescent="0.55000000000000004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 spans="1:26" ht="15.75" customHeight="1" x14ac:dyDescent="0.55000000000000004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 spans="1:26" ht="15.75" customHeight="1" x14ac:dyDescent="0.55000000000000004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 spans="1:26" ht="15.75" customHeight="1" x14ac:dyDescent="0.55000000000000004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 spans="1:26" ht="15.75" customHeight="1" x14ac:dyDescent="0.55000000000000004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 spans="1:26" ht="15.75" customHeight="1" x14ac:dyDescent="0.55000000000000004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 spans="1:26" ht="15.75" customHeight="1" x14ac:dyDescent="0.55000000000000004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 spans="1:26" ht="15.75" customHeight="1" x14ac:dyDescent="0.55000000000000004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 spans="1:26" ht="15.75" customHeight="1" x14ac:dyDescent="0.55000000000000004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 spans="1:26" ht="15.75" customHeight="1" x14ac:dyDescent="0.55000000000000004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 spans="1:26" ht="15.75" customHeight="1" x14ac:dyDescent="0.55000000000000004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 spans="1:26" ht="15.75" customHeight="1" x14ac:dyDescent="0.55000000000000004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 spans="1:26" ht="15.75" customHeight="1" x14ac:dyDescent="0.55000000000000004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 spans="1:26" ht="15.75" customHeight="1" x14ac:dyDescent="0.55000000000000004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 spans="1:26" ht="15.75" customHeight="1" x14ac:dyDescent="0.55000000000000004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 spans="1:26" ht="15.75" customHeight="1" x14ac:dyDescent="0.55000000000000004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 spans="1:26" ht="15.75" customHeight="1" x14ac:dyDescent="0.55000000000000004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 spans="1:26" ht="15.75" customHeight="1" x14ac:dyDescent="0.55000000000000004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 spans="1:26" ht="15.75" customHeight="1" x14ac:dyDescent="0.55000000000000004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 spans="1:26" ht="15.75" customHeight="1" x14ac:dyDescent="0.55000000000000004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 spans="1:26" ht="15.75" customHeight="1" x14ac:dyDescent="0.55000000000000004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 spans="1:26" ht="15.75" customHeight="1" x14ac:dyDescent="0.55000000000000004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 spans="1:26" ht="15.75" customHeight="1" x14ac:dyDescent="0.55000000000000004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 spans="1:26" ht="15.75" customHeight="1" x14ac:dyDescent="0.55000000000000004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 spans="1:26" ht="15.75" customHeight="1" x14ac:dyDescent="0.55000000000000004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 spans="1:26" ht="15.75" customHeight="1" x14ac:dyDescent="0.55000000000000004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 spans="1:26" ht="15.75" customHeight="1" x14ac:dyDescent="0.55000000000000004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 spans="1:26" ht="15.75" customHeight="1" x14ac:dyDescent="0.55000000000000004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 spans="1:26" ht="15.75" customHeight="1" x14ac:dyDescent="0.55000000000000004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 spans="1:26" ht="15.75" customHeight="1" x14ac:dyDescent="0.55000000000000004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 spans="1:26" ht="15.75" customHeight="1" x14ac:dyDescent="0.55000000000000004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 spans="1:26" ht="15.75" customHeight="1" x14ac:dyDescent="0.55000000000000004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 spans="1:26" ht="15.75" customHeight="1" x14ac:dyDescent="0.55000000000000004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 spans="1:26" ht="15.75" customHeight="1" x14ac:dyDescent="0.55000000000000004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 spans="1:26" ht="15.75" customHeight="1" x14ac:dyDescent="0.55000000000000004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 spans="1:26" ht="15.75" customHeight="1" x14ac:dyDescent="0.55000000000000004">
      <c r="A381" s="142"/>
      <c r="B381" s="142"/>
      <c r="C381" s="142"/>
      <c r="D381" s="142"/>
      <c r="E381" s="142"/>
      <c r="F381" s="142"/>
      <c r="G381" s="142"/>
      <c r="H381" s="142"/>
      <c r="I381" s="142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 spans="1:26" ht="15.75" customHeight="1" x14ac:dyDescent="0.55000000000000004">
      <c r="A382" s="142"/>
      <c r="B382" s="142"/>
      <c r="C382" s="142"/>
      <c r="D382" s="142"/>
      <c r="E382" s="142"/>
      <c r="F382" s="142"/>
      <c r="G382" s="142"/>
      <c r="H382" s="142"/>
      <c r="I382" s="142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 spans="1:26" ht="15.75" customHeight="1" x14ac:dyDescent="0.55000000000000004">
      <c r="A383" s="142"/>
      <c r="B383" s="142"/>
      <c r="C383" s="142"/>
      <c r="D383" s="142"/>
      <c r="E383" s="142"/>
      <c r="F383" s="142"/>
      <c r="G383" s="142"/>
      <c r="H383" s="142"/>
      <c r="I383" s="142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 spans="1:26" ht="15.75" customHeight="1" x14ac:dyDescent="0.55000000000000004">
      <c r="A384" s="142"/>
      <c r="B384" s="142"/>
      <c r="C384" s="142"/>
      <c r="D384" s="142"/>
      <c r="E384" s="142"/>
      <c r="F384" s="142"/>
      <c r="G384" s="142"/>
      <c r="H384" s="142"/>
      <c r="I384" s="142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 spans="1:26" ht="15.75" customHeight="1" x14ac:dyDescent="0.55000000000000004">
      <c r="A385" s="142"/>
      <c r="B385" s="142"/>
      <c r="C385" s="142"/>
      <c r="D385" s="142"/>
      <c r="E385" s="142"/>
      <c r="F385" s="142"/>
      <c r="G385" s="142"/>
      <c r="H385" s="142"/>
      <c r="I385" s="142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 spans="1:26" ht="15.75" customHeight="1" x14ac:dyDescent="0.55000000000000004">
      <c r="A386" s="142"/>
      <c r="B386" s="142"/>
      <c r="C386" s="142"/>
      <c r="D386" s="142"/>
      <c r="E386" s="142"/>
      <c r="F386" s="142"/>
      <c r="G386" s="142"/>
      <c r="H386" s="142"/>
      <c r="I386" s="142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 spans="1:26" ht="15.75" customHeight="1" x14ac:dyDescent="0.55000000000000004">
      <c r="A387" s="142"/>
      <c r="B387" s="142"/>
      <c r="C387" s="142"/>
      <c r="D387" s="142"/>
      <c r="E387" s="142"/>
      <c r="F387" s="142"/>
      <c r="G387" s="142"/>
      <c r="H387" s="142"/>
      <c r="I387" s="142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 spans="1:26" ht="15.75" customHeight="1" x14ac:dyDescent="0.55000000000000004">
      <c r="A388" s="142"/>
      <c r="B388" s="142"/>
      <c r="C388" s="142"/>
      <c r="D388" s="142"/>
      <c r="E388" s="142"/>
      <c r="F388" s="142"/>
      <c r="G388" s="142"/>
      <c r="H388" s="142"/>
      <c r="I388" s="142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 spans="1:26" ht="15.75" customHeight="1" x14ac:dyDescent="0.55000000000000004">
      <c r="A389" s="142"/>
      <c r="B389" s="142"/>
      <c r="C389" s="142"/>
      <c r="D389" s="142"/>
      <c r="E389" s="142"/>
      <c r="F389" s="142"/>
      <c r="G389" s="142"/>
      <c r="H389" s="142"/>
      <c r="I389" s="142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 spans="1:26" ht="15.75" customHeight="1" x14ac:dyDescent="0.55000000000000004">
      <c r="A390" s="142"/>
      <c r="B390" s="142"/>
      <c r="C390" s="142"/>
      <c r="D390" s="142"/>
      <c r="E390" s="142"/>
      <c r="F390" s="142"/>
      <c r="G390" s="142"/>
      <c r="H390" s="142"/>
      <c r="I390" s="142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 spans="1:26" ht="15.75" customHeight="1" x14ac:dyDescent="0.55000000000000004">
      <c r="A391" s="142"/>
      <c r="B391" s="142"/>
      <c r="C391" s="142"/>
      <c r="D391" s="142"/>
      <c r="E391" s="142"/>
      <c r="F391" s="142"/>
      <c r="G391" s="142"/>
      <c r="H391" s="142"/>
      <c r="I391" s="142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 spans="1:26" ht="15.75" customHeight="1" x14ac:dyDescent="0.55000000000000004">
      <c r="A392" s="142"/>
      <c r="B392" s="142"/>
      <c r="C392" s="142"/>
      <c r="D392" s="142"/>
      <c r="E392" s="142"/>
      <c r="F392" s="142"/>
      <c r="G392" s="142"/>
      <c r="H392" s="142"/>
      <c r="I392" s="142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 spans="1:26" ht="15.75" customHeight="1" x14ac:dyDescent="0.55000000000000004">
      <c r="A393" s="142"/>
      <c r="B393" s="142"/>
      <c r="C393" s="142"/>
      <c r="D393" s="142"/>
      <c r="E393" s="142"/>
      <c r="F393" s="142"/>
      <c r="G393" s="142"/>
      <c r="H393" s="142"/>
      <c r="I393" s="142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 spans="1:26" ht="15.75" customHeight="1" x14ac:dyDescent="0.55000000000000004">
      <c r="A394" s="142"/>
      <c r="B394" s="142"/>
      <c r="C394" s="142"/>
      <c r="D394" s="142"/>
      <c r="E394" s="142"/>
      <c r="F394" s="142"/>
      <c r="G394" s="142"/>
      <c r="H394" s="142"/>
      <c r="I394" s="142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 spans="1:26" ht="15.75" customHeight="1" x14ac:dyDescent="0.55000000000000004">
      <c r="A395" s="142"/>
      <c r="B395" s="142"/>
      <c r="C395" s="142"/>
      <c r="D395" s="142"/>
      <c r="E395" s="142"/>
      <c r="F395" s="142"/>
      <c r="G395" s="142"/>
      <c r="H395" s="142"/>
      <c r="I395" s="142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 spans="1:26" ht="15.75" customHeight="1" x14ac:dyDescent="0.55000000000000004">
      <c r="A396" s="142"/>
      <c r="B396" s="142"/>
      <c r="C396" s="142"/>
      <c r="D396" s="142"/>
      <c r="E396" s="142"/>
      <c r="F396" s="142"/>
      <c r="G396" s="142"/>
      <c r="H396" s="142"/>
      <c r="I396" s="142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 spans="1:26" ht="15.75" customHeight="1" x14ac:dyDescent="0.55000000000000004">
      <c r="A397" s="142"/>
      <c r="B397" s="142"/>
      <c r="C397" s="142"/>
      <c r="D397" s="142"/>
      <c r="E397" s="142"/>
      <c r="F397" s="142"/>
      <c r="G397" s="142"/>
      <c r="H397" s="142"/>
      <c r="I397" s="142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 spans="1:26" ht="15.75" customHeight="1" x14ac:dyDescent="0.55000000000000004">
      <c r="A398" s="142"/>
      <c r="B398" s="142"/>
      <c r="C398" s="142"/>
      <c r="D398" s="142"/>
      <c r="E398" s="142"/>
      <c r="F398" s="142"/>
      <c r="G398" s="142"/>
      <c r="H398" s="142"/>
      <c r="I398" s="142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 spans="1:26" ht="15.75" customHeight="1" x14ac:dyDescent="0.55000000000000004">
      <c r="A399" s="142"/>
      <c r="B399" s="142"/>
      <c r="C399" s="142"/>
      <c r="D399" s="142"/>
      <c r="E399" s="142"/>
      <c r="F399" s="142"/>
      <c r="G399" s="142"/>
      <c r="H399" s="142"/>
      <c r="I399" s="142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 spans="1:26" ht="15.75" customHeight="1" x14ac:dyDescent="0.55000000000000004">
      <c r="A400" s="142"/>
      <c r="B400" s="142"/>
      <c r="C400" s="142"/>
      <c r="D400" s="142"/>
      <c r="E400" s="142"/>
      <c r="F400" s="142"/>
      <c r="G400" s="142"/>
      <c r="H400" s="142"/>
      <c r="I400" s="142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 spans="1:26" ht="15.75" customHeight="1" x14ac:dyDescent="0.55000000000000004">
      <c r="A401" s="142"/>
      <c r="B401" s="142"/>
      <c r="C401" s="142"/>
      <c r="D401" s="142"/>
      <c r="E401" s="142"/>
      <c r="F401" s="142"/>
      <c r="G401" s="142"/>
      <c r="H401" s="142"/>
      <c r="I401" s="142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 spans="1:26" ht="15.75" customHeight="1" x14ac:dyDescent="0.55000000000000004">
      <c r="A402" s="142"/>
      <c r="B402" s="142"/>
      <c r="C402" s="142"/>
      <c r="D402" s="142"/>
      <c r="E402" s="142"/>
      <c r="F402" s="142"/>
      <c r="G402" s="142"/>
      <c r="H402" s="142"/>
      <c r="I402" s="142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 spans="1:26" ht="15.75" customHeight="1" x14ac:dyDescent="0.55000000000000004">
      <c r="A403" s="142"/>
      <c r="B403" s="142"/>
      <c r="C403" s="142"/>
      <c r="D403" s="142"/>
      <c r="E403" s="142"/>
      <c r="F403" s="142"/>
      <c r="G403" s="142"/>
      <c r="H403" s="142"/>
      <c r="I403" s="142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 spans="1:26" ht="15.75" customHeight="1" x14ac:dyDescent="0.55000000000000004">
      <c r="A404" s="142"/>
      <c r="B404" s="142"/>
      <c r="C404" s="142"/>
      <c r="D404" s="142"/>
      <c r="E404" s="142"/>
      <c r="F404" s="142"/>
      <c r="G404" s="142"/>
      <c r="H404" s="142"/>
      <c r="I404" s="142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 spans="1:26" ht="15.75" customHeight="1" x14ac:dyDescent="0.55000000000000004">
      <c r="A405" s="142"/>
      <c r="B405" s="142"/>
      <c r="C405" s="142"/>
      <c r="D405" s="142"/>
      <c r="E405" s="142"/>
      <c r="F405" s="142"/>
      <c r="G405" s="142"/>
      <c r="H405" s="142"/>
      <c r="I405" s="142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 spans="1:26" ht="15.75" customHeight="1" x14ac:dyDescent="0.55000000000000004">
      <c r="A406" s="142"/>
      <c r="B406" s="142"/>
      <c r="C406" s="142"/>
      <c r="D406" s="142"/>
      <c r="E406" s="142"/>
      <c r="F406" s="142"/>
      <c r="G406" s="142"/>
      <c r="H406" s="142"/>
      <c r="I406" s="142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 spans="1:26" ht="15.75" customHeight="1" x14ac:dyDescent="0.55000000000000004">
      <c r="A407" s="142"/>
      <c r="B407" s="142"/>
      <c r="C407" s="142"/>
      <c r="D407" s="142"/>
      <c r="E407" s="142"/>
      <c r="F407" s="142"/>
      <c r="G407" s="142"/>
      <c r="H407" s="142"/>
      <c r="I407" s="142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 spans="1:26" ht="15.75" customHeight="1" x14ac:dyDescent="0.55000000000000004">
      <c r="A408" s="142"/>
      <c r="B408" s="142"/>
      <c r="C408" s="142"/>
      <c r="D408" s="142"/>
      <c r="E408" s="142"/>
      <c r="F408" s="142"/>
      <c r="G408" s="142"/>
      <c r="H408" s="142"/>
      <c r="I408" s="142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 spans="1:26" ht="15.75" customHeight="1" x14ac:dyDescent="0.55000000000000004">
      <c r="A409" s="142"/>
      <c r="B409" s="142"/>
      <c r="C409" s="142"/>
      <c r="D409" s="142"/>
      <c r="E409" s="142"/>
      <c r="F409" s="142"/>
      <c r="G409" s="142"/>
      <c r="H409" s="142"/>
      <c r="I409" s="142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 spans="1:26" ht="15.75" customHeight="1" x14ac:dyDescent="0.55000000000000004">
      <c r="A410" s="142"/>
      <c r="B410" s="142"/>
      <c r="C410" s="142"/>
      <c r="D410" s="142"/>
      <c r="E410" s="142"/>
      <c r="F410" s="142"/>
      <c r="G410" s="142"/>
      <c r="H410" s="142"/>
      <c r="I410" s="142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 spans="1:26" ht="15.75" customHeight="1" x14ac:dyDescent="0.55000000000000004">
      <c r="A411" s="142"/>
      <c r="B411" s="142"/>
      <c r="C411" s="142"/>
      <c r="D411" s="142"/>
      <c r="E411" s="142"/>
      <c r="F411" s="142"/>
      <c r="G411" s="142"/>
      <c r="H411" s="142"/>
      <c r="I411" s="142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 spans="1:26" ht="15.75" customHeight="1" x14ac:dyDescent="0.55000000000000004">
      <c r="A412" s="142"/>
      <c r="B412" s="142"/>
      <c r="C412" s="142"/>
      <c r="D412" s="142"/>
      <c r="E412" s="142"/>
      <c r="F412" s="142"/>
      <c r="G412" s="142"/>
      <c r="H412" s="142"/>
      <c r="I412" s="142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 spans="1:26" ht="15.75" customHeight="1" x14ac:dyDescent="0.55000000000000004">
      <c r="A413" s="142"/>
      <c r="B413" s="142"/>
      <c r="C413" s="142"/>
      <c r="D413" s="142"/>
      <c r="E413" s="142"/>
      <c r="F413" s="142"/>
      <c r="G413" s="142"/>
      <c r="H413" s="142"/>
      <c r="I413" s="142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 spans="1:26" ht="15.75" customHeight="1" x14ac:dyDescent="0.55000000000000004">
      <c r="A414" s="142"/>
      <c r="B414" s="142"/>
      <c r="C414" s="142"/>
      <c r="D414" s="142"/>
      <c r="E414" s="142"/>
      <c r="F414" s="142"/>
      <c r="G414" s="142"/>
      <c r="H414" s="142"/>
      <c r="I414" s="142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 spans="1:26" ht="15.75" customHeight="1" x14ac:dyDescent="0.55000000000000004">
      <c r="A415" s="142"/>
      <c r="B415" s="142"/>
      <c r="C415" s="142"/>
      <c r="D415" s="142"/>
      <c r="E415" s="142"/>
      <c r="F415" s="142"/>
      <c r="G415" s="142"/>
      <c r="H415" s="142"/>
      <c r="I415" s="142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 spans="1:26" ht="15.75" customHeight="1" x14ac:dyDescent="0.55000000000000004">
      <c r="A416" s="142"/>
      <c r="B416" s="142"/>
      <c r="C416" s="142"/>
      <c r="D416" s="142"/>
      <c r="E416" s="142"/>
      <c r="F416" s="142"/>
      <c r="G416" s="142"/>
      <c r="H416" s="142"/>
      <c r="I416" s="142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 spans="1:26" ht="15.75" customHeight="1" x14ac:dyDescent="0.55000000000000004">
      <c r="A417" s="142"/>
      <c r="B417" s="142"/>
      <c r="C417" s="142"/>
      <c r="D417" s="142"/>
      <c r="E417" s="142"/>
      <c r="F417" s="142"/>
      <c r="G417" s="142"/>
      <c r="H417" s="142"/>
      <c r="I417" s="142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 spans="1:26" ht="15.75" customHeight="1" x14ac:dyDescent="0.55000000000000004">
      <c r="A418" s="142"/>
      <c r="B418" s="142"/>
      <c r="C418" s="142"/>
      <c r="D418" s="142"/>
      <c r="E418" s="142"/>
      <c r="F418" s="142"/>
      <c r="G418" s="142"/>
      <c r="H418" s="142"/>
      <c r="I418" s="142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 spans="1:26" ht="15.75" customHeight="1" x14ac:dyDescent="0.55000000000000004">
      <c r="A419" s="142"/>
      <c r="B419" s="142"/>
      <c r="C419" s="142"/>
      <c r="D419" s="142"/>
      <c r="E419" s="142"/>
      <c r="F419" s="142"/>
      <c r="G419" s="142"/>
      <c r="H419" s="142"/>
      <c r="I419" s="142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 spans="1:26" ht="15.75" customHeight="1" x14ac:dyDescent="0.55000000000000004">
      <c r="A420" s="142"/>
      <c r="B420" s="142"/>
      <c r="C420" s="142"/>
      <c r="D420" s="142"/>
      <c r="E420" s="142"/>
      <c r="F420" s="142"/>
      <c r="G420" s="142"/>
      <c r="H420" s="142"/>
      <c r="I420" s="142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 spans="1:26" ht="15.75" customHeight="1" x14ac:dyDescent="0.55000000000000004">
      <c r="A421" s="142"/>
      <c r="B421" s="142"/>
      <c r="C421" s="142"/>
      <c r="D421" s="142"/>
      <c r="E421" s="142"/>
      <c r="F421" s="142"/>
      <c r="G421" s="142"/>
      <c r="H421" s="142"/>
      <c r="I421" s="142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 spans="1:26" ht="15.75" customHeight="1" x14ac:dyDescent="0.55000000000000004">
      <c r="A422" s="142"/>
      <c r="B422" s="142"/>
      <c r="C422" s="142"/>
      <c r="D422" s="142"/>
      <c r="E422" s="142"/>
      <c r="F422" s="142"/>
      <c r="G422" s="142"/>
      <c r="H422" s="142"/>
      <c r="I422" s="142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 spans="1:26" ht="15.75" customHeight="1" x14ac:dyDescent="0.55000000000000004">
      <c r="A423" s="142"/>
      <c r="B423" s="142"/>
      <c r="C423" s="142"/>
      <c r="D423" s="142"/>
      <c r="E423" s="142"/>
      <c r="F423" s="142"/>
      <c r="G423" s="142"/>
      <c r="H423" s="142"/>
      <c r="I423" s="142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 spans="1:26" ht="15.75" customHeight="1" x14ac:dyDescent="0.55000000000000004">
      <c r="A424" s="142"/>
      <c r="B424" s="142"/>
      <c r="C424" s="142"/>
      <c r="D424" s="142"/>
      <c r="E424" s="142"/>
      <c r="F424" s="142"/>
      <c r="G424" s="142"/>
      <c r="H424" s="142"/>
      <c r="I424" s="142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 spans="1:26" ht="15.75" customHeight="1" x14ac:dyDescent="0.55000000000000004">
      <c r="A425" s="142"/>
      <c r="B425" s="142"/>
      <c r="C425" s="142"/>
      <c r="D425" s="142"/>
      <c r="E425" s="142"/>
      <c r="F425" s="142"/>
      <c r="G425" s="142"/>
      <c r="H425" s="142"/>
      <c r="I425" s="142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 spans="1:26" ht="15.75" customHeight="1" x14ac:dyDescent="0.55000000000000004">
      <c r="A426" s="142"/>
      <c r="B426" s="142"/>
      <c r="C426" s="142"/>
      <c r="D426" s="142"/>
      <c r="E426" s="142"/>
      <c r="F426" s="142"/>
      <c r="G426" s="142"/>
      <c r="H426" s="142"/>
      <c r="I426" s="142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 spans="1:26" ht="15.75" customHeight="1" x14ac:dyDescent="0.55000000000000004">
      <c r="A427" s="142"/>
      <c r="B427" s="142"/>
      <c r="C427" s="142"/>
      <c r="D427" s="142"/>
      <c r="E427" s="142"/>
      <c r="F427" s="142"/>
      <c r="G427" s="142"/>
      <c r="H427" s="142"/>
      <c r="I427" s="142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 spans="1:26" ht="15.75" customHeight="1" x14ac:dyDescent="0.55000000000000004">
      <c r="A428" s="142"/>
      <c r="B428" s="142"/>
      <c r="C428" s="142"/>
      <c r="D428" s="142"/>
      <c r="E428" s="142"/>
      <c r="F428" s="142"/>
      <c r="G428" s="142"/>
      <c r="H428" s="142"/>
      <c r="I428" s="142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 spans="1:26" ht="15.75" customHeight="1" x14ac:dyDescent="0.55000000000000004">
      <c r="A429" s="142"/>
      <c r="B429" s="142"/>
      <c r="C429" s="142"/>
      <c r="D429" s="142"/>
      <c r="E429" s="142"/>
      <c r="F429" s="142"/>
      <c r="G429" s="142"/>
      <c r="H429" s="142"/>
      <c r="I429" s="142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 spans="1:26" ht="15.75" customHeight="1" x14ac:dyDescent="0.55000000000000004">
      <c r="A430" s="142"/>
      <c r="B430" s="142"/>
      <c r="C430" s="142"/>
      <c r="D430" s="142"/>
      <c r="E430" s="142"/>
      <c r="F430" s="142"/>
      <c r="G430" s="142"/>
      <c r="H430" s="142"/>
      <c r="I430" s="142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 spans="1:26" ht="15.75" customHeight="1" x14ac:dyDescent="0.55000000000000004">
      <c r="A431" s="142"/>
      <c r="B431" s="142"/>
      <c r="C431" s="142"/>
      <c r="D431" s="142"/>
      <c r="E431" s="142"/>
      <c r="F431" s="142"/>
      <c r="G431" s="142"/>
      <c r="H431" s="142"/>
      <c r="I431" s="142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 spans="1:26" ht="15.75" customHeight="1" x14ac:dyDescent="0.55000000000000004">
      <c r="A432" s="142"/>
      <c r="B432" s="142"/>
      <c r="C432" s="142"/>
      <c r="D432" s="142"/>
      <c r="E432" s="142"/>
      <c r="F432" s="142"/>
      <c r="G432" s="142"/>
      <c r="H432" s="142"/>
      <c r="I432" s="142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 spans="1:26" ht="15.75" customHeight="1" x14ac:dyDescent="0.55000000000000004">
      <c r="A433" s="142"/>
      <c r="B433" s="142"/>
      <c r="C433" s="142"/>
      <c r="D433" s="142"/>
      <c r="E433" s="142"/>
      <c r="F433" s="142"/>
      <c r="G433" s="142"/>
      <c r="H433" s="142"/>
      <c r="I433" s="142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 spans="1:26" ht="15.75" customHeight="1" x14ac:dyDescent="0.55000000000000004">
      <c r="A434" s="142"/>
      <c r="B434" s="142"/>
      <c r="C434" s="142"/>
      <c r="D434" s="142"/>
      <c r="E434" s="142"/>
      <c r="F434" s="142"/>
      <c r="G434" s="142"/>
      <c r="H434" s="142"/>
      <c r="I434" s="142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 spans="1:26" ht="15.75" customHeight="1" x14ac:dyDescent="0.55000000000000004">
      <c r="A435" s="142"/>
      <c r="B435" s="142"/>
      <c r="C435" s="142"/>
      <c r="D435" s="142"/>
      <c r="E435" s="142"/>
      <c r="F435" s="142"/>
      <c r="G435" s="142"/>
      <c r="H435" s="142"/>
      <c r="I435" s="142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spans="1:26" ht="15.75" customHeight="1" x14ac:dyDescent="0.55000000000000004">
      <c r="A436" s="142"/>
      <c r="B436" s="142"/>
      <c r="C436" s="142"/>
      <c r="D436" s="142"/>
      <c r="E436" s="142"/>
      <c r="F436" s="142"/>
      <c r="G436" s="142"/>
      <c r="H436" s="142"/>
      <c r="I436" s="142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 spans="1:26" ht="15.75" customHeight="1" x14ac:dyDescent="0.55000000000000004">
      <c r="A437" s="142"/>
      <c r="B437" s="142"/>
      <c r="C437" s="142"/>
      <c r="D437" s="142"/>
      <c r="E437" s="142"/>
      <c r="F437" s="142"/>
      <c r="G437" s="142"/>
      <c r="H437" s="142"/>
      <c r="I437" s="142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 spans="1:26" ht="15.75" customHeight="1" x14ac:dyDescent="0.55000000000000004">
      <c r="A438" s="142"/>
      <c r="B438" s="142"/>
      <c r="C438" s="142"/>
      <c r="D438" s="142"/>
      <c r="E438" s="142"/>
      <c r="F438" s="142"/>
      <c r="G438" s="142"/>
      <c r="H438" s="142"/>
      <c r="I438" s="142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 spans="1:26" ht="15.75" customHeight="1" x14ac:dyDescent="0.55000000000000004">
      <c r="A439" s="142"/>
      <c r="B439" s="142"/>
      <c r="C439" s="142"/>
      <c r="D439" s="142"/>
      <c r="E439" s="142"/>
      <c r="F439" s="142"/>
      <c r="G439" s="142"/>
      <c r="H439" s="142"/>
      <c r="I439" s="142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 spans="1:26" ht="15.75" customHeight="1" x14ac:dyDescent="0.55000000000000004">
      <c r="A440" s="142"/>
      <c r="B440" s="142"/>
      <c r="C440" s="142"/>
      <c r="D440" s="142"/>
      <c r="E440" s="142"/>
      <c r="F440" s="142"/>
      <c r="G440" s="142"/>
      <c r="H440" s="142"/>
      <c r="I440" s="142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 spans="1:26" ht="15.75" customHeight="1" x14ac:dyDescent="0.55000000000000004">
      <c r="A441" s="142"/>
      <c r="B441" s="142"/>
      <c r="C441" s="142"/>
      <c r="D441" s="142"/>
      <c r="E441" s="142"/>
      <c r="F441" s="142"/>
      <c r="G441" s="142"/>
      <c r="H441" s="142"/>
      <c r="I441" s="142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 spans="1:26" ht="15.75" customHeight="1" x14ac:dyDescent="0.55000000000000004">
      <c r="A442" s="142"/>
      <c r="B442" s="142"/>
      <c r="C442" s="142"/>
      <c r="D442" s="142"/>
      <c r="E442" s="142"/>
      <c r="F442" s="142"/>
      <c r="G442" s="142"/>
      <c r="H442" s="142"/>
      <c r="I442" s="142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 spans="1:26" ht="15.75" customHeight="1" x14ac:dyDescent="0.55000000000000004">
      <c r="A443" s="142"/>
      <c r="B443" s="142"/>
      <c r="C443" s="142"/>
      <c r="D443" s="142"/>
      <c r="E443" s="142"/>
      <c r="F443" s="142"/>
      <c r="G443" s="142"/>
      <c r="H443" s="142"/>
      <c r="I443" s="142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 spans="1:26" ht="15.75" customHeight="1" x14ac:dyDescent="0.55000000000000004">
      <c r="A444" s="142"/>
      <c r="B444" s="142"/>
      <c r="C444" s="142"/>
      <c r="D444" s="142"/>
      <c r="E444" s="142"/>
      <c r="F444" s="142"/>
      <c r="G444" s="142"/>
      <c r="H444" s="142"/>
      <c r="I444" s="142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 spans="1:26" ht="15.75" customHeight="1" x14ac:dyDescent="0.55000000000000004">
      <c r="A445" s="142"/>
      <c r="B445" s="142"/>
      <c r="C445" s="142"/>
      <c r="D445" s="142"/>
      <c r="E445" s="142"/>
      <c r="F445" s="142"/>
      <c r="G445" s="142"/>
      <c r="H445" s="142"/>
      <c r="I445" s="142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 spans="1:26" ht="15.75" customHeight="1" x14ac:dyDescent="0.55000000000000004">
      <c r="A446" s="142"/>
      <c r="B446" s="142"/>
      <c r="C446" s="142"/>
      <c r="D446" s="142"/>
      <c r="E446" s="142"/>
      <c r="F446" s="142"/>
      <c r="G446" s="142"/>
      <c r="H446" s="142"/>
      <c r="I446" s="142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 spans="1:26" ht="15.75" customHeight="1" x14ac:dyDescent="0.55000000000000004">
      <c r="A447" s="142"/>
      <c r="B447" s="142"/>
      <c r="C447" s="142"/>
      <c r="D447" s="142"/>
      <c r="E447" s="142"/>
      <c r="F447" s="142"/>
      <c r="G447" s="142"/>
      <c r="H447" s="142"/>
      <c r="I447" s="142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 spans="1:26" ht="15.75" customHeight="1" x14ac:dyDescent="0.55000000000000004">
      <c r="A448" s="142"/>
      <c r="B448" s="142"/>
      <c r="C448" s="142"/>
      <c r="D448" s="142"/>
      <c r="E448" s="142"/>
      <c r="F448" s="142"/>
      <c r="G448" s="142"/>
      <c r="H448" s="142"/>
      <c r="I448" s="142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 spans="1:26" ht="15.75" customHeight="1" x14ac:dyDescent="0.55000000000000004">
      <c r="A449" s="142"/>
      <c r="B449" s="142"/>
      <c r="C449" s="142"/>
      <c r="D449" s="142"/>
      <c r="E449" s="142"/>
      <c r="F449" s="142"/>
      <c r="G449" s="142"/>
      <c r="H449" s="142"/>
      <c r="I449" s="142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 spans="1:26" ht="15.75" customHeight="1" x14ac:dyDescent="0.55000000000000004">
      <c r="A450" s="142"/>
      <c r="B450" s="142"/>
      <c r="C450" s="142"/>
      <c r="D450" s="142"/>
      <c r="E450" s="142"/>
      <c r="F450" s="142"/>
      <c r="G450" s="142"/>
      <c r="H450" s="142"/>
      <c r="I450" s="142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 spans="1:26" ht="15.75" customHeight="1" x14ac:dyDescent="0.55000000000000004">
      <c r="A451" s="142"/>
      <c r="B451" s="142"/>
      <c r="C451" s="142"/>
      <c r="D451" s="142"/>
      <c r="E451" s="142"/>
      <c r="F451" s="142"/>
      <c r="G451" s="142"/>
      <c r="H451" s="142"/>
      <c r="I451" s="142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 spans="1:26" ht="15.75" customHeight="1" x14ac:dyDescent="0.55000000000000004">
      <c r="A452" s="142"/>
      <c r="B452" s="142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 spans="1:26" ht="15.75" customHeight="1" x14ac:dyDescent="0.55000000000000004">
      <c r="A453" s="142"/>
      <c r="B453" s="142"/>
      <c r="C453" s="142"/>
      <c r="D453" s="142"/>
      <c r="E453" s="142"/>
      <c r="F453" s="142"/>
      <c r="G453" s="142"/>
      <c r="H453" s="142"/>
      <c r="I453" s="142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 spans="1:26" ht="15.75" customHeight="1" x14ac:dyDescent="0.55000000000000004">
      <c r="A454" s="142"/>
      <c r="B454" s="142"/>
      <c r="C454" s="142"/>
      <c r="D454" s="142"/>
      <c r="E454" s="142"/>
      <c r="F454" s="142"/>
      <c r="G454" s="142"/>
      <c r="H454" s="142"/>
      <c r="I454" s="142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 spans="1:26" ht="15.75" customHeight="1" x14ac:dyDescent="0.55000000000000004">
      <c r="A455" s="142"/>
      <c r="B455" s="142"/>
      <c r="C455" s="142"/>
      <c r="D455" s="142"/>
      <c r="E455" s="142"/>
      <c r="F455" s="142"/>
      <c r="G455" s="142"/>
      <c r="H455" s="142"/>
      <c r="I455" s="142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 spans="1:26" ht="15.75" customHeight="1" x14ac:dyDescent="0.55000000000000004">
      <c r="A456" s="142"/>
      <c r="B456" s="142"/>
      <c r="C456" s="142"/>
      <c r="D456" s="142"/>
      <c r="E456" s="142"/>
      <c r="F456" s="142"/>
      <c r="G456" s="142"/>
      <c r="H456" s="142"/>
      <c r="I456" s="142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 spans="1:26" ht="15.75" customHeight="1" x14ac:dyDescent="0.55000000000000004">
      <c r="A457" s="142"/>
      <c r="B457" s="142"/>
      <c r="C457" s="142"/>
      <c r="D457" s="142"/>
      <c r="E457" s="142"/>
      <c r="F457" s="142"/>
      <c r="G457" s="142"/>
      <c r="H457" s="142"/>
      <c r="I457" s="142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 spans="1:26" ht="15.75" customHeight="1" x14ac:dyDescent="0.55000000000000004">
      <c r="A458" s="142"/>
      <c r="B458" s="142"/>
      <c r="C458" s="142"/>
      <c r="D458" s="142"/>
      <c r="E458" s="142"/>
      <c r="F458" s="142"/>
      <c r="G458" s="142"/>
      <c r="H458" s="142"/>
      <c r="I458" s="142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 spans="1:26" ht="15.75" customHeight="1" x14ac:dyDescent="0.55000000000000004">
      <c r="A459" s="142"/>
      <c r="B459" s="142"/>
      <c r="C459" s="142"/>
      <c r="D459" s="142"/>
      <c r="E459" s="142"/>
      <c r="F459" s="142"/>
      <c r="G459" s="142"/>
      <c r="H459" s="142"/>
      <c r="I459" s="142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 spans="1:26" ht="15.75" customHeight="1" x14ac:dyDescent="0.55000000000000004">
      <c r="A460" s="142"/>
      <c r="B460" s="142"/>
      <c r="C460" s="142"/>
      <c r="D460" s="142"/>
      <c r="E460" s="142"/>
      <c r="F460" s="142"/>
      <c r="G460" s="142"/>
      <c r="H460" s="142"/>
      <c r="I460" s="142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 spans="1:26" ht="15.75" customHeight="1" x14ac:dyDescent="0.55000000000000004">
      <c r="A461" s="142"/>
      <c r="B461" s="142"/>
      <c r="C461" s="142"/>
      <c r="D461" s="142"/>
      <c r="E461" s="142"/>
      <c r="F461" s="142"/>
      <c r="G461" s="142"/>
      <c r="H461" s="142"/>
      <c r="I461" s="142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 spans="1:26" ht="15.75" customHeight="1" x14ac:dyDescent="0.55000000000000004">
      <c r="A462" s="142"/>
      <c r="B462" s="142"/>
      <c r="C462" s="142"/>
      <c r="D462" s="142"/>
      <c r="E462" s="142"/>
      <c r="F462" s="142"/>
      <c r="G462" s="142"/>
      <c r="H462" s="142"/>
      <c r="I462" s="142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 spans="1:26" ht="15.75" customHeight="1" x14ac:dyDescent="0.55000000000000004">
      <c r="A463" s="142"/>
      <c r="B463" s="142"/>
      <c r="C463" s="142"/>
      <c r="D463" s="142"/>
      <c r="E463" s="142"/>
      <c r="F463" s="142"/>
      <c r="G463" s="142"/>
      <c r="H463" s="142"/>
      <c r="I463" s="142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 spans="1:26" ht="15.75" customHeight="1" x14ac:dyDescent="0.55000000000000004">
      <c r="A464" s="142"/>
      <c r="B464" s="142"/>
      <c r="C464" s="142"/>
      <c r="D464" s="142"/>
      <c r="E464" s="142"/>
      <c r="F464" s="142"/>
      <c r="G464" s="142"/>
      <c r="H464" s="142"/>
      <c r="I464" s="142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 spans="1:26" ht="15.75" customHeight="1" x14ac:dyDescent="0.55000000000000004">
      <c r="A465" s="142"/>
      <c r="B465" s="142"/>
      <c r="C465" s="142"/>
      <c r="D465" s="142"/>
      <c r="E465" s="142"/>
      <c r="F465" s="142"/>
      <c r="G465" s="142"/>
      <c r="H465" s="142"/>
      <c r="I465" s="142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 spans="1:26" ht="15.75" customHeight="1" x14ac:dyDescent="0.55000000000000004">
      <c r="A466" s="142"/>
      <c r="B466" s="142"/>
      <c r="C466" s="142"/>
      <c r="D466" s="142"/>
      <c r="E466" s="142"/>
      <c r="F466" s="142"/>
      <c r="G466" s="142"/>
      <c r="H466" s="142"/>
      <c r="I466" s="142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 spans="1:26" ht="15.75" customHeight="1" x14ac:dyDescent="0.55000000000000004">
      <c r="A467" s="142"/>
      <c r="B467" s="142"/>
      <c r="C467" s="142"/>
      <c r="D467" s="142"/>
      <c r="E467" s="142"/>
      <c r="F467" s="142"/>
      <c r="G467" s="142"/>
      <c r="H467" s="142"/>
      <c r="I467" s="142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 spans="1:26" ht="15.75" customHeight="1" x14ac:dyDescent="0.55000000000000004">
      <c r="A468" s="142"/>
      <c r="B468" s="142"/>
      <c r="C468" s="142"/>
      <c r="D468" s="142"/>
      <c r="E468" s="142"/>
      <c r="F468" s="142"/>
      <c r="G468" s="142"/>
      <c r="H468" s="142"/>
      <c r="I468" s="142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 spans="1:26" ht="15.75" customHeight="1" x14ac:dyDescent="0.55000000000000004">
      <c r="A469" s="142"/>
      <c r="B469" s="142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 spans="1:26" ht="15.75" customHeight="1" x14ac:dyDescent="0.55000000000000004">
      <c r="A470" s="142"/>
      <c r="B470" s="142"/>
      <c r="C470" s="142"/>
      <c r="D470" s="142"/>
      <c r="E470" s="142"/>
      <c r="F470" s="142"/>
      <c r="G470" s="142"/>
      <c r="H470" s="142"/>
      <c r="I470" s="142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 spans="1:26" ht="15.75" customHeight="1" x14ac:dyDescent="0.55000000000000004">
      <c r="A471" s="142"/>
      <c r="B471" s="142"/>
      <c r="C471" s="142"/>
      <c r="D471" s="142"/>
      <c r="E471" s="142"/>
      <c r="F471" s="142"/>
      <c r="G471" s="142"/>
      <c r="H471" s="142"/>
      <c r="I471" s="142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 spans="1:26" ht="15.75" customHeight="1" x14ac:dyDescent="0.55000000000000004">
      <c r="A472" s="142"/>
      <c r="B472" s="142"/>
      <c r="C472" s="142"/>
      <c r="D472" s="142"/>
      <c r="E472" s="142"/>
      <c r="F472" s="142"/>
      <c r="G472" s="142"/>
      <c r="H472" s="142"/>
      <c r="I472" s="142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 spans="1:26" ht="15.75" customHeight="1" x14ac:dyDescent="0.55000000000000004">
      <c r="A473" s="142"/>
      <c r="B473" s="142"/>
      <c r="C473" s="142"/>
      <c r="D473" s="142"/>
      <c r="E473" s="142"/>
      <c r="F473" s="142"/>
      <c r="G473" s="142"/>
      <c r="H473" s="142"/>
      <c r="I473" s="142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 spans="1:26" ht="15.75" customHeight="1" x14ac:dyDescent="0.55000000000000004">
      <c r="A474" s="142"/>
      <c r="B474" s="142"/>
      <c r="C474" s="142"/>
      <c r="D474" s="142"/>
      <c r="E474" s="142"/>
      <c r="F474" s="142"/>
      <c r="G474" s="142"/>
      <c r="H474" s="142"/>
      <c r="I474" s="142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 spans="1:26" ht="15.75" customHeight="1" x14ac:dyDescent="0.55000000000000004">
      <c r="A475" s="142"/>
      <c r="B475" s="142"/>
      <c r="C475" s="142"/>
      <c r="D475" s="142"/>
      <c r="E475" s="142"/>
      <c r="F475" s="142"/>
      <c r="G475" s="142"/>
      <c r="H475" s="142"/>
      <c r="I475" s="142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 spans="1:26" ht="15.75" customHeight="1" x14ac:dyDescent="0.55000000000000004">
      <c r="A476" s="142"/>
      <c r="B476" s="142"/>
      <c r="C476" s="142"/>
      <c r="D476" s="142"/>
      <c r="E476" s="142"/>
      <c r="F476" s="142"/>
      <c r="G476" s="142"/>
      <c r="H476" s="142"/>
      <c r="I476" s="142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 spans="1:26" ht="15.75" customHeight="1" x14ac:dyDescent="0.55000000000000004">
      <c r="A477" s="142"/>
      <c r="B477" s="142"/>
      <c r="C477" s="142"/>
      <c r="D477" s="142"/>
      <c r="E477" s="142"/>
      <c r="F477" s="142"/>
      <c r="G477" s="142"/>
      <c r="H477" s="142"/>
      <c r="I477" s="142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 spans="1:26" ht="15.75" customHeight="1" x14ac:dyDescent="0.55000000000000004">
      <c r="A478" s="142"/>
      <c r="B478" s="142"/>
      <c r="C478" s="142"/>
      <c r="D478" s="142"/>
      <c r="E478" s="142"/>
      <c r="F478" s="142"/>
      <c r="G478" s="142"/>
      <c r="H478" s="142"/>
      <c r="I478" s="142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 spans="1:26" ht="15.75" customHeight="1" x14ac:dyDescent="0.55000000000000004">
      <c r="A479" s="142"/>
      <c r="B479" s="142"/>
      <c r="C479" s="142"/>
      <c r="D479" s="142"/>
      <c r="E479" s="142"/>
      <c r="F479" s="142"/>
      <c r="G479" s="142"/>
      <c r="H479" s="142"/>
      <c r="I479" s="142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 spans="1:26" ht="15.75" customHeight="1" x14ac:dyDescent="0.55000000000000004">
      <c r="A480" s="142"/>
      <c r="B480" s="142"/>
      <c r="C480" s="142"/>
      <c r="D480" s="142"/>
      <c r="E480" s="142"/>
      <c r="F480" s="142"/>
      <c r="G480" s="142"/>
      <c r="H480" s="142"/>
      <c r="I480" s="142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 spans="1:26" ht="15.75" customHeight="1" x14ac:dyDescent="0.55000000000000004">
      <c r="A481" s="142"/>
      <c r="B481" s="142"/>
      <c r="C481" s="142"/>
      <c r="D481" s="142"/>
      <c r="E481" s="142"/>
      <c r="F481" s="142"/>
      <c r="G481" s="142"/>
      <c r="H481" s="142"/>
      <c r="I481" s="142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 spans="1:26" ht="15.75" customHeight="1" x14ac:dyDescent="0.55000000000000004">
      <c r="A482" s="142"/>
      <c r="B482" s="142"/>
      <c r="C482" s="142"/>
      <c r="D482" s="142"/>
      <c r="E482" s="142"/>
      <c r="F482" s="142"/>
      <c r="G482" s="142"/>
      <c r="H482" s="142"/>
      <c r="I482" s="142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 spans="1:26" ht="15.75" customHeight="1" x14ac:dyDescent="0.55000000000000004">
      <c r="A483" s="142"/>
      <c r="B483" s="142"/>
      <c r="C483" s="142"/>
      <c r="D483" s="142"/>
      <c r="E483" s="142"/>
      <c r="F483" s="142"/>
      <c r="G483" s="142"/>
      <c r="H483" s="142"/>
      <c r="I483" s="142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 spans="1:26" ht="15.75" customHeight="1" x14ac:dyDescent="0.55000000000000004">
      <c r="A484" s="142"/>
      <c r="B484" s="142"/>
      <c r="C484" s="142"/>
      <c r="D484" s="142"/>
      <c r="E484" s="142"/>
      <c r="F484" s="142"/>
      <c r="G484" s="142"/>
      <c r="H484" s="142"/>
      <c r="I484" s="142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 spans="1:26" ht="15.75" customHeight="1" x14ac:dyDescent="0.55000000000000004">
      <c r="A485" s="142"/>
      <c r="B485" s="142"/>
      <c r="C485" s="142"/>
      <c r="D485" s="142"/>
      <c r="E485" s="142"/>
      <c r="F485" s="142"/>
      <c r="G485" s="142"/>
      <c r="H485" s="142"/>
      <c r="I485" s="142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 spans="1:26" ht="15.75" customHeight="1" x14ac:dyDescent="0.55000000000000004">
      <c r="A486" s="142"/>
      <c r="B486" s="142"/>
      <c r="C486" s="142"/>
      <c r="D486" s="142"/>
      <c r="E486" s="142"/>
      <c r="F486" s="142"/>
      <c r="G486" s="142"/>
      <c r="H486" s="142"/>
      <c r="I486" s="142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 spans="1:26" ht="15.75" customHeight="1" x14ac:dyDescent="0.55000000000000004">
      <c r="A487" s="142"/>
      <c r="B487" s="142"/>
      <c r="C487" s="142"/>
      <c r="D487" s="142"/>
      <c r="E487" s="142"/>
      <c r="F487" s="142"/>
      <c r="G487" s="142"/>
      <c r="H487" s="142"/>
      <c r="I487" s="142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 spans="1:26" ht="15.75" customHeight="1" x14ac:dyDescent="0.55000000000000004">
      <c r="A488" s="142"/>
      <c r="B488" s="142"/>
      <c r="C488" s="142"/>
      <c r="D488" s="142"/>
      <c r="E488" s="142"/>
      <c r="F488" s="142"/>
      <c r="G488" s="142"/>
      <c r="H488" s="142"/>
      <c r="I488" s="142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 spans="1:26" ht="15.75" customHeight="1" x14ac:dyDescent="0.55000000000000004">
      <c r="A489" s="142"/>
      <c r="B489" s="142"/>
      <c r="C489" s="142"/>
      <c r="D489" s="142"/>
      <c r="E489" s="142"/>
      <c r="F489" s="142"/>
      <c r="G489" s="142"/>
      <c r="H489" s="142"/>
      <c r="I489" s="142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 spans="1:26" ht="15.75" customHeight="1" x14ac:dyDescent="0.55000000000000004">
      <c r="A490" s="142"/>
      <c r="B490" s="142"/>
      <c r="C490" s="142"/>
      <c r="D490" s="142"/>
      <c r="E490" s="142"/>
      <c r="F490" s="142"/>
      <c r="G490" s="142"/>
      <c r="H490" s="142"/>
      <c r="I490" s="142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 spans="1:26" ht="15.75" customHeight="1" x14ac:dyDescent="0.55000000000000004">
      <c r="A491" s="142"/>
      <c r="B491" s="142"/>
      <c r="C491" s="142"/>
      <c r="D491" s="142"/>
      <c r="E491" s="142"/>
      <c r="F491" s="142"/>
      <c r="G491" s="142"/>
      <c r="H491" s="142"/>
      <c r="I491" s="142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 spans="1:26" ht="15.75" customHeight="1" x14ac:dyDescent="0.55000000000000004">
      <c r="A492" s="142"/>
      <c r="B492" s="142"/>
      <c r="C492" s="142"/>
      <c r="D492" s="142"/>
      <c r="E492" s="142"/>
      <c r="F492" s="142"/>
      <c r="G492" s="142"/>
      <c r="H492" s="142"/>
      <c r="I492" s="142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 spans="1:26" ht="15.75" customHeight="1" x14ac:dyDescent="0.55000000000000004">
      <c r="A493" s="142"/>
      <c r="B493" s="142"/>
      <c r="C493" s="142"/>
      <c r="D493" s="142"/>
      <c r="E493" s="142"/>
      <c r="F493" s="142"/>
      <c r="G493" s="142"/>
      <c r="H493" s="142"/>
      <c r="I493" s="142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 spans="1:26" ht="15.75" customHeight="1" x14ac:dyDescent="0.55000000000000004">
      <c r="A494" s="142"/>
      <c r="B494" s="142"/>
      <c r="C494" s="142"/>
      <c r="D494" s="142"/>
      <c r="E494" s="142"/>
      <c r="F494" s="142"/>
      <c r="G494" s="142"/>
      <c r="H494" s="142"/>
      <c r="I494" s="142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 spans="1:26" ht="15.75" customHeight="1" x14ac:dyDescent="0.55000000000000004">
      <c r="A495" s="142"/>
      <c r="B495" s="142"/>
      <c r="C495" s="142"/>
      <c r="D495" s="142"/>
      <c r="E495" s="142"/>
      <c r="F495" s="142"/>
      <c r="G495" s="142"/>
      <c r="H495" s="142"/>
      <c r="I495" s="142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 spans="1:26" ht="15.75" customHeight="1" x14ac:dyDescent="0.55000000000000004">
      <c r="A496" s="142"/>
      <c r="B496" s="142"/>
      <c r="C496" s="142"/>
      <c r="D496" s="142"/>
      <c r="E496" s="142"/>
      <c r="F496" s="142"/>
      <c r="G496" s="142"/>
      <c r="H496" s="142"/>
      <c r="I496" s="142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 spans="1:26" ht="15.75" customHeight="1" x14ac:dyDescent="0.55000000000000004">
      <c r="A497" s="142"/>
      <c r="B497" s="142"/>
      <c r="C497" s="142"/>
      <c r="D497" s="142"/>
      <c r="E497" s="142"/>
      <c r="F497" s="142"/>
      <c r="G497" s="142"/>
      <c r="H497" s="142"/>
      <c r="I497" s="142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 spans="1:26" ht="15.75" customHeight="1" x14ac:dyDescent="0.55000000000000004">
      <c r="A498" s="142"/>
      <c r="B498" s="142"/>
      <c r="C498" s="142"/>
      <c r="D498" s="142"/>
      <c r="E498" s="142"/>
      <c r="F498" s="142"/>
      <c r="G498" s="142"/>
      <c r="H498" s="142"/>
      <c r="I498" s="142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 spans="1:26" ht="15.75" customHeight="1" x14ac:dyDescent="0.55000000000000004">
      <c r="A499" s="142"/>
      <c r="B499" s="142"/>
      <c r="C499" s="142"/>
      <c r="D499" s="142"/>
      <c r="E499" s="142"/>
      <c r="F499" s="142"/>
      <c r="G499" s="142"/>
      <c r="H499" s="142"/>
      <c r="I499" s="142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 spans="1:26" ht="15.75" customHeight="1" x14ac:dyDescent="0.55000000000000004">
      <c r="A500" s="142"/>
      <c r="B500" s="142"/>
      <c r="C500" s="142"/>
      <c r="D500" s="142"/>
      <c r="E500" s="142"/>
      <c r="F500" s="142"/>
      <c r="G500" s="142"/>
      <c r="H500" s="142"/>
      <c r="I500" s="142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 spans="1:26" ht="15.75" customHeight="1" x14ac:dyDescent="0.55000000000000004">
      <c r="A501" s="142"/>
      <c r="B501" s="142"/>
      <c r="C501" s="142"/>
      <c r="D501" s="142"/>
      <c r="E501" s="142"/>
      <c r="F501" s="142"/>
      <c r="G501" s="142"/>
      <c r="H501" s="142"/>
      <c r="I501" s="142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 spans="1:26" ht="15.75" customHeight="1" x14ac:dyDescent="0.55000000000000004">
      <c r="A502" s="142"/>
      <c r="B502" s="142"/>
      <c r="C502" s="142"/>
      <c r="D502" s="142"/>
      <c r="E502" s="142"/>
      <c r="F502" s="142"/>
      <c r="G502" s="142"/>
      <c r="H502" s="142"/>
      <c r="I502" s="142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 spans="1:26" ht="15.75" customHeight="1" x14ac:dyDescent="0.55000000000000004">
      <c r="A503" s="142"/>
      <c r="B503" s="142"/>
      <c r="C503" s="142"/>
      <c r="D503" s="142"/>
      <c r="E503" s="142"/>
      <c r="F503" s="142"/>
      <c r="G503" s="142"/>
      <c r="H503" s="142"/>
      <c r="I503" s="142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 spans="1:26" ht="15.75" customHeight="1" x14ac:dyDescent="0.55000000000000004">
      <c r="A504" s="142"/>
      <c r="B504" s="142"/>
      <c r="C504" s="142"/>
      <c r="D504" s="142"/>
      <c r="E504" s="142"/>
      <c r="F504" s="142"/>
      <c r="G504" s="142"/>
      <c r="H504" s="142"/>
      <c r="I504" s="142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 spans="1:26" ht="15.75" customHeight="1" x14ac:dyDescent="0.55000000000000004">
      <c r="A505" s="142"/>
      <c r="B505" s="142"/>
      <c r="C505" s="142"/>
      <c r="D505" s="142"/>
      <c r="E505" s="142"/>
      <c r="F505" s="142"/>
      <c r="G505" s="142"/>
      <c r="H505" s="142"/>
      <c r="I505" s="142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 spans="1:26" ht="15.75" customHeight="1" x14ac:dyDescent="0.55000000000000004">
      <c r="A506" s="142"/>
      <c r="B506" s="142"/>
      <c r="C506" s="142"/>
      <c r="D506" s="142"/>
      <c r="E506" s="142"/>
      <c r="F506" s="142"/>
      <c r="G506" s="142"/>
      <c r="H506" s="142"/>
      <c r="I506" s="142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 spans="1:26" ht="15.75" customHeight="1" x14ac:dyDescent="0.55000000000000004">
      <c r="A507" s="142"/>
      <c r="B507" s="142"/>
      <c r="C507" s="142"/>
      <c r="D507" s="142"/>
      <c r="E507" s="142"/>
      <c r="F507" s="142"/>
      <c r="G507" s="142"/>
      <c r="H507" s="142"/>
      <c r="I507" s="142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 spans="1:26" ht="15.75" customHeight="1" x14ac:dyDescent="0.55000000000000004">
      <c r="A508" s="142"/>
      <c r="B508" s="142"/>
      <c r="C508" s="142"/>
      <c r="D508" s="142"/>
      <c r="E508" s="142"/>
      <c r="F508" s="142"/>
      <c r="G508" s="142"/>
      <c r="H508" s="142"/>
      <c r="I508" s="142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 spans="1:26" ht="15.75" customHeight="1" x14ac:dyDescent="0.55000000000000004">
      <c r="A509" s="142"/>
      <c r="B509" s="142"/>
      <c r="C509" s="142"/>
      <c r="D509" s="142"/>
      <c r="E509" s="142"/>
      <c r="F509" s="142"/>
      <c r="G509" s="142"/>
      <c r="H509" s="142"/>
      <c r="I509" s="142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 spans="1:26" ht="15.75" customHeight="1" x14ac:dyDescent="0.55000000000000004">
      <c r="A510" s="142"/>
      <c r="B510" s="142"/>
      <c r="C510" s="142"/>
      <c r="D510" s="142"/>
      <c r="E510" s="142"/>
      <c r="F510" s="142"/>
      <c r="G510" s="142"/>
      <c r="H510" s="142"/>
      <c r="I510" s="142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 spans="1:26" ht="15.75" customHeight="1" x14ac:dyDescent="0.55000000000000004">
      <c r="A511" s="142"/>
      <c r="B511" s="142"/>
      <c r="C511" s="142"/>
      <c r="D511" s="142"/>
      <c r="E511" s="142"/>
      <c r="F511" s="142"/>
      <c r="G511" s="142"/>
      <c r="H511" s="142"/>
      <c r="I511" s="142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 spans="1:26" ht="15.75" customHeight="1" x14ac:dyDescent="0.55000000000000004">
      <c r="A512" s="142"/>
      <c r="B512" s="142"/>
      <c r="C512" s="142"/>
      <c r="D512" s="142"/>
      <c r="E512" s="142"/>
      <c r="F512" s="142"/>
      <c r="G512" s="142"/>
      <c r="H512" s="142"/>
      <c r="I512" s="142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 spans="1:26" ht="15.75" customHeight="1" x14ac:dyDescent="0.55000000000000004">
      <c r="A513" s="142"/>
      <c r="B513" s="142"/>
      <c r="C513" s="142"/>
      <c r="D513" s="142"/>
      <c r="E513" s="142"/>
      <c r="F513" s="142"/>
      <c r="G513" s="142"/>
      <c r="H513" s="142"/>
      <c r="I513" s="142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 spans="1:26" ht="15.75" customHeight="1" x14ac:dyDescent="0.55000000000000004">
      <c r="A514" s="142"/>
      <c r="B514" s="142"/>
      <c r="C514" s="142"/>
      <c r="D514" s="142"/>
      <c r="E514" s="142"/>
      <c r="F514" s="142"/>
      <c r="G514" s="142"/>
      <c r="H514" s="142"/>
      <c r="I514" s="142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 spans="1:26" ht="15.75" customHeight="1" x14ac:dyDescent="0.55000000000000004">
      <c r="A515" s="142"/>
      <c r="B515" s="142"/>
      <c r="C515" s="142"/>
      <c r="D515" s="142"/>
      <c r="E515" s="142"/>
      <c r="F515" s="142"/>
      <c r="G515" s="142"/>
      <c r="H515" s="142"/>
      <c r="I515" s="142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 spans="1:26" ht="15.75" customHeight="1" x14ac:dyDescent="0.55000000000000004">
      <c r="A516" s="142"/>
      <c r="B516" s="142"/>
      <c r="C516" s="142"/>
      <c r="D516" s="142"/>
      <c r="E516" s="142"/>
      <c r="F516" s="142"/>
      <c r="G516" s="142"/>
      <c r="H516" s="142"/>
      <c r="I516" s="142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 spans="1:26" ht="15.75" customHeight="1" x14ac:dyDescent="0.55000000000000004">
      <c r="A517" s="142"/>
      <c r="B517" s="142"/>
      <c r="C517" s="142"/>
      <c r="D517" s="142"/>
      <c r="E517" s="142"/>
      <c r="F517" s="142"/>
      <c r="G517" s="142"/>
      <c r="H517" s="142"/>
      <c r="I517" s="142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 spans="1:26" ht="15.75" customHeight="1" x14ac:dyDescent="0.55000000000000004">
      <c r="A518" s="142"/>
      <c r="B518" s="142"/>
      <c r="C518" s="142"/>
      <c r="D518" s="142"/>
      <c r="E518" s="142"/>
      <c r="F518" s="142"/>
      <c r="G518" s="142"/>
      <c r="H518" s="142"/>
      <c r="I518" s="142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 spans="1:26" ht="15.75" customHeight="1" x14ac:dyDescent="0.55000000000000004">
      <c r="A519" s="142"/>
      <c r="B519" s="142"/>
      <c r="C519" s="142"/>
      <c r="D519" s="142"/>
      <c r="E519" s="142"/>
      <c r="F519" s="142"/>
      <c r="G519" s="142"/>
      <c r="H519" s="142"/>
      <c r="I519" s="142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 spans="1:26" ht="15.75" customHeight="1" x14ac:dyDescent="0.55000000000000004">
      <c r="A520" s="142"/>
      <c r="B520" s="142"/>
      <c r="C520" s="142"/>
      <c r="D520" s="142"/>
      <c r="E520" s="142"/>
      <c r="F520" s="142"/>
      <c r="G520" s="142"/>
      <c r="H520" s="142"/>
      <c r="I520" s="142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 spans="1:26" ht="15.75" customHeight="1" x14ac:dyDescent="0.55000000000000004">
      <c r="A521" s="142"/>
      <c r="B521" s="142"/>
      <c r="C521" s="142"/>
      <c r="D521" s="142"/>
      <c r="E521" s="142"/>
      <c r="F521" s="142"/>
      <c r="G521" s="142"/>
      <c r="H521" s="142"/>
      <c r="I521" s="142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 spans="1:26" ht="15.75" customHeight="1" x14ac:dyDescent="0.55000000000000004">
      <c r="A522" s="142"/>
      <c r="B522" s="142"/>
      <c r="C522" s="142"/>
      <c r="D522" s="142"/>
      <c r="E522" s="142"/>
      <c r="F522" s="142"/>
      <c r="G522" s="142"/>
      <c r="H522" s="142"/>
      <c r="I522" s="142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 spans="1:26" ht="15.75" customHeight="1" x14ac:dyDescent="0.55000000000000004">
      <c r="A523" s="142"/>
      <c r="B523" s="142"/>
      <c r="C523" s="142"/>
      <c r="D523" s="142"/>
      <c r="E523" s="142"/>
      <c r="F523" s="142"/>
      <c r="G523" s="142"/>
      <c r="H523" s="142"/>
      <c r="I523" s="142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 spans="1:26" ht="15.75" customHeight="1" x14ac:dyDescent="0.55000000000000004">
      <c r="A524" s="142"/>
      <c r="B524" s="142"/>
      <c r="C524" s="142"/>
      <c r="D524" s="142"/>
      <c r="E524" s="142"/>
      <c r="F524" s="142"/>
      <c r="G524" s="142"/>
      <c r="H524" s="142"/>
      <c r="I524" s="142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 spans="1:26" ht="15.75" customHeight="1" x14ac:dyDescent="0.55000000000000004">
      <c r="A525" s="142"/>
      <c r="B525" s="142"/>
      <c r="C525" s="142"/>
      <c r="D525" s="142"/>
      <c r="E525" s="142"/>
      <c r="F525" s="142"/>
      <c r="G525" s="142"/>
      <c r="H525" s="142"/>
      <c r="I525" s="142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 spans="1:26" ht="15.75" customHeight="1" x14ac:dyDescent="0.55000000000000004">
      <c r="A526" s="142"/>
      <c r="B526" s="142"/>
      <c r="C526" s="142"/>
      <c r="D526" s="142"/>
      <c r="E526" s="142"/>
      <c r="F526" s="142"/>
      <c r="G526" s="142"/>
      <c r="H526" s="142"/>
      <c r="I526" s="142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 spans="1:26" ht="15.75" customHeight="1" x14ac:dyDescent="0.55000000000000004">
      <c r="A527" s="142"/>
      <c r="B527" s="142"/>
      <c r="C527" s="142"/>
      <c r="D527" s="142"/>
      <c r="E527" s="142"/>
      <c r="F527" s="142"/>
      <c r="G527" s="142"/>
      <c r="H527" s="142"/>
      <c r="I527" s="142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 spans="1:26" ht="15.75" customHeight="1" x14ac:dyDescent="0.55000000000000004">
      <c r="A528" s="142"/>
      <c r="B528" s="142"/>
      <c r="C528" s="142"/>
      <c r="D528" s="142"/>
      <c r="E528" s="142"/>
      <c r="F528" s="142"/>
      <c r="G528" s="142"/>
      <c r="H528" s="142"/>
      <c r="I528" s="142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 spans="1:26" ht="15.75" customHeight="1" x14ac:dyDescent="0.55000000000000004">
      <c r="A529" s="142"/>
      <c r="B529" s="142"/>
      <c r="C529" s="142"/>
      <c r="D529" s="142"/>
      <c r="E529" s="142"/>
      <c r="F529" s="142"/>
      <c r="G529" s="142"/>
      <c r="H529" s="142"/>
      <c r="I529" s="142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 spans="1:26" ht="15.75" customHeight="1" x14ac:dyDescent="0.55000000000000004">
      <c r="A530" s="142"/>
      <c r="B530" s="142"/>
      <c r="C530" s="142"/>
      <c r="D530" s="142"/>
      <c r="E530" s="142"/>
      <c r="F530" s="142"/>
      <c r="G530" s="142"/>
      <c r="H530" s="142"/>
      <c r="I530" s="142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 spans="1:26" ht="15.75" customHeight="1" x14ac:dyDescent="0.55000000000000004">
      <c r="A531" s="142"/>
      <c r="B531" s="142"/>
      <c r="C531" s="142"/>
      <c r="D531" s="142"/>
      <c r="E531" s="142"/>
      <c r="F531" s="142"/>
      <c r="G531" s="142"/>
      <c r="H531" s="142"/>
      <c r="I531" s="142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 spans="1:26" ht="15.75" customHeight="1" x14ac:dyDescent="0.55000000000000004">
      <c r="A532" s="142"/>
      <c r="B532" s="142"/>
      <c r="C532" s="142"/>
      <c r="D532" s="142"/>
      <c r="E532" s="142"/>
      <c r="F532" s="142"/>
      <c r="G532" s="142"/>
      <c r="H532" s="142"/>
      <c r="I532" s="142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 spans="1:26" ht="15.75" customHeight="1" x14ac:dyDescent="0.55000000000000004">
      <c r="A533" s="142"/>
      <c r="B533" s="142"/>
      <c r="C533" s="142"/>
      <c r="D533" s="142"/>
      <c r="E533" s="142"/>
      <c r="F533" s="142"/>
      <c r="G533" s="142"/>
      <c r="H533" s="142"/>
      <c r="I533" s="142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 spans="1:26" ht="15.75" customHeight="1" x14ac:dyDescent="0.55000000000000004">
      <c r="A534" s="142"/>
      <c r="B534" s="142"/>
      <c r="C534" s="142"/>
      <c r="D534" s="142"/>
      <c r="E534" s="142"/>
      <c r="F534" s="142"/>
      <c r="G534" s="142"/>
      <c r="H534" s="142"/>
      <c r="I534" s="142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 spans="1:26" ht="15.75" customHeight="1" x14ac:dyDescent="0.55000000000000004">
      <c r="A535" s="142"/>
      <c r="B535" s="142"/>
      <c r="C535" s="142"/>
      <c r="D535" s="142"/>
      <c r="E535" s="142"/>
      <c r="F535" s="142"/>
      <c r="G535" s="142"/>
      <c r="H535" s="142"/>
      <c r="I535" s="142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 spans="1:26" ht="15.75" customHeight="1" x14ac:dyDescent="0.55000000000000004">
      <c r="A536" s="142"/>
      <c r="B536" s="142"/>
      <c r="C536" s="142"/>
      <c r="D536" s="142"/>
      <c r="E536" s="142"/>
      <c r="F536" s="142"/>
      <c r="G536" s="142"/>
      <c r="H536" s="142"/>
      <c r="I536" s="142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 spans="1:26" ht="15.75" customHeight="1" x14ac:dyDescent="0.55000000000000004">
      <c r="A537" s="142"/>
      <c r="B537" s="142"/>
      <c r="C537" s="142"/>
      <c r="D537" s="142"/>
      <c r="E537" s="142"/>
      <c r="F537" s="142"/>
      <c r="G537" s="142"/>
      <c r="H537" s="142"/>
      <c r="I537" s="142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 spans="1:26" ht="15.75" customHeight="1" x14ac:dyDescent="0.55000000000000004">
      <c r="A538" s="142"/>
      <c r="B538" s="142"/>
      <c r="C538" s="142"/>
      <c r="D538" s="142"/>
      <c r="E538" s="142"/>
      <c r="F538" s="142"/>
      <c r="G538" s="142"/>
      <c r="H538" s="142"/>
      <c r="I538" s="142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 spans="1:26" ht="15.75" customHeight="1" x14ac:dyDescent="0.55000000000000004">
      <c r="A539" s="142"/>
      <c r="B539" s="142"/>
      <c r="C539" s="142"/>
      <c r="D539" s="142"/>
      <c r="E539" s="142"/>
      <c r="F539" s="142"/>
      <c r="G539" s="142"/>
      <c r="H539" s="142"/>
      <c r="I539" s="142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 spans="1:26" ht="15.75" customHeight="1" x14ac:dyDescent="0.55000000000000004">
      <c r="A540" s="142"/>
      <c r="B540" s="142"/>
      <c r="C540" s="142"/>
      <c r="D540" s="142"/>
      <c r="E540" s="142"/>
      <c r="F540" s="142"/>
      <c r="G540" s="142"/>
      <c r="H540" s="142"/>
      <c r="I540" s="142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 spans="1:26" ht="15.75" customHeight="1" x14ac:dyDescent="0.55000000000000004">
      <c r="A541" s="142"/>
      <c r="B541" s="142"/>
      <c r="C541" s="142"/>
      <c r="D541" s="142"/>
      <c r="E541" s="142"/>
      <c r="F541" s="142"/>
      <c r="G541" s="142"/>
      <c r="H541" s="142"/>
      <c r="I541" s="142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 spans="1:26" ht="15.75" customHeight="1" x14ac:dyDescent="0.55000000000000004">
      <c r="A542" s="142"/>
      <c r="B542" s="142"/>
      <c r="C542" s="142"/>
      <c r="D542" s="142"/>
      <c r="E542" s="142"/>
      <c r="F542" s="142"/>
      <c r="G542" s="142"/>
      <c r="H542" s="142"/>
      <c r="I542" s="142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 spans="1:26" ht="15.75" customHeight="1" x14ac:dyDescent="0.55000000000000004">
      <c r="A543" s="142"/>
      <c r="B543" s="142"/>
      <c r="C543" s="142"/>
      <c r="D543" s="142"/>
      <c r="E543" s="142"/>
      <c r="F543" s="142"/>
      <c r="G543" s="142"/>
      <c r="H543" s="142"/>
      <c r="I543" s="142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 spans="1:26" ht="15.75" customHeight="1" x14ac:dyDescent="0.55000000000000004">
      <c r="A544" s="142"/>
      <c r="B544" s="142"/>
      <c r="C544" s="142"/>
      <c r="D544" s="142"/>
      <c r="E544" s="142"/>
      <c r="F544" s="142"/>
      <c r="G544" s="142"/>
      <c r="H544" s="142"/>
      <c r="I544" s="142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 spans="1:26" ht="15.75" customHeight="1" x14ac:dyDescent="0.55000000000000004">
      <c r="A545" s="142"/>
      <c r="B545" s="142"/>
      <c r="C545" s="142"/>
      <c r="D545" s="142"/>
      <c r="E545" s="142"/>
      <c r="F545" s="142"/>
      <c r="G545" s="142"/>
      <c r="H545" s="142"/>
      <c r="I545" s="142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 spans="1:26" ht="15.75" customHeight="1" x14ac:dyDescent="0.55000000000000004">
      <c r="A546" s="142"/>
      <c r="B546" s="142"/>
      <c r="C546" s="142"/>
      <c r="D546" s="142"/>
      <c r="E546" s="142"/>
      <c r="F546" s="142"/>
      <c r="G546" s="142"/>
      <c r="H546" s="142"/>
      <c r="I546" s="142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 spans="1:26" ht="15.75" customHeight="1" x14ac:dyDescent="0.55000000000000004">
      <c r="A547" s="142"/>
      <c r="B547" s="142"/>
      <c r="C547" s="142"/>
      <c r="D547" s="142"/>
      <c r="E547" s="142"/>
      <c r="F547" s="142"/>
      <c r="G547" s="142"/>
      <c r="H547" s="142"/>
      <c r="I547" s="142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 spans="1:26" ht="15.75" customHeight="1" x14ac:dyDescent="0.55000000000000004">
      <c r="A548" s="142"/>
      <c r="B548" s="142"/>
      <c r="C548" s="142"/>
      <c r="D548" s="142"/>
      <c r="E548" s="142"/>
      <c r="F548" s="142"/>
      <c r="G548" s="142"/>
      <c r="H548" s="142"/>
      <c r="I548" s="142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 spans="1:26" ht="15.75" customHeight="1" x14ac:dyDescent="0.55000000000000004">
      <c r="A549" s="142"/>
      <c r="B549" s="142"/>
      <c r="C549" s="142"/>
      <c r="D549" s="142"/>
      <c r="E549" s="142"/>
      <c r="F549" s="142"/>
      <c r="G549" s="142"/>
      <c r="H549" s="142"/>
      <c r="I549" s="142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 spans="1:26" ht="15.75" customHeight="1" x14ac:dyDescent="0.55000000000000004">
      <c r="A550" s="142"/>
      <c r="B550" s="142"/>
      <c r="C550" s="142"/>
      <c r="D550" s="142"/>
      <c r="E550" s="142"/>
      <c r="F550" s="142"/>
      <c r="G550" s="142"/>
      <c r="H550" s="142"/>
      <c r="I550" s="142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 spans="1:26" ht="15.75" customHeight="1" x14ac:dyDescent="0.55000000000000004">
      <c r="A551" s="142"/>
      <c r="B551" s="142"/>
      <c r="C551" s="142"/>
      <c r="D551" s="142"/>
      <c r="E551" s="142"/>
      <c r="F551" s="142"/>
      <c r="G551" s="142"/>
      <c r="H551" s="142"/>
      <c r="I551" s="142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 spans="1:26" ht="15.75" customHeight="1" x14ac:dyDescent="0.55000000000000004">
      <c r="A552" s="142"/>
      <c r="B552" s="142"/>
      <c r="C552" s="142"/>
      <c r="D552" s="142"/>
      <c r="E552" s="142"/>
      <c r="F552" s="142"/>
      <c r="G552" s="142"/>
      <c r="H552" s="142"/>
      <c r="I552" s="142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 spans="1:26" ht="15.75" customHeight="1" x14ac:dyDescent="0.55000000000000004">
      <c r="A553" s="142"/>
      <c r="B553" s="142"/>
      <c r="C553" s="142"/>
      <c r="D553" s="142"/>
      <c r="E553" s="142"/>
      <c r="F553" s="142"/>
      <c r="G553" s="142"/>
      <c r="H553" s="142"/>
      <c r="I553" s="142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 spans="1:26" ht="15.75" customHeight="1" x14ac:dyDescent="0.55000000000000004">
      <c r="A554" s="142"/>
      <c r="B554" s="142"/>
      <c r="C554" s="142"/>
      <c r="D554" s="142"/>
      <c r="E554" s="142"/>
      <c r="F554" s="142"/>
      <c r="G554" s="142"/>
      <c r="H554" s="142"/>
      <c r="I554" s="142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 spans="1:26" ht="15.75" customHeight="1" x14ac:dyDescent="0.55000000000000004">
      <c r="A555" s="142"/>
      <c r="B555" s="142"/>
      <c r="C555" s="142"/>
      <c r="D555" s="142"/>
      <c r="E555" s="142"/>
      <c r="F555" s="142"/>
      <c r="G555" s="142"/>
      <c r="H555" s="142"/>
      <c r="I555" s="142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 spans="1:26" ht="15.75" customHeight="1" x14ac:dyDescent="0.55000000000000004">
      <c r="A556" s="142"/>
      <c r="B556" s="142"/>
      <c r="C556" s="142"/>
      <c r="D556" s="142"/>
      <c r="E556" s="142"/>
      <c r="F556" s="142"/>
      <c r="G556" s="142"/>
      <c r="H556" s="142"/>
      <c r="I556" s="142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 spans="1:26" ht="15.75" customHeight="1" x14ac:dyDescent="0.55000000000000004">
      <c r="A557" s="142"/>
      <c r="B557" s="142"/>
      <c r="C557" s="142"/>
      <c r="D557" s="142"/>
      <c r="E557" s="142"/>
      <c r="F557" s="142"/>
      <c r="G557" s="142"/>
      <c r="H557" s="142"/>
      <c r="I557" s="142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 spans="1:26" ht="15.75" customHeight="1" x14ac:dyDescent="0.55000000000000004">
      <c r="A558" s="142"/>
      <c r="B558" s="142"/>
      <c r="C558" s="142"/>
      <c r="D558" s="142"/>
      <c r="E558" s="142"/>
      <c r="F558" s="142"/>
      <c r="G558" s="142"/>
      <c r="H558" s="142"/>
      <c r="I558" s="142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 spans="1:26" ht="15.75" customHeight="1" x14ac:dyDescent="0.55000000000000004">
      <c r="A559" s="142"/>
      <c r="B559" s="142"/>
      <c r="C559" s="142"/>
      <c r="D559" s="142"/>
      <c r="E559" s="142"/>
      <c r="F559" s="142"/>
      <c r="G559" s="142"/>
      <c r="H559" s="142"/>
      <c r="I559" s="142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 spans="1:26" ht="15.75" customHeight="1" x14ac:dyDescent="0.55000000000000004">
      <c r="A560" s="142"/>
      <c r="B560" s="142"/>
      <c r="C560" s="142"/>
      <c r="D560" s="142"/>
      <c r="E560" s="142"/>
      <c r="F560" s="142"/>
      <c r="G560" s="142"/>
      <c r="H560" s="142"/>
      <c r="I560" s="142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 spans="1:26" ht="15.75" customHeight="1" x14ac:dyDescent="0.55000000000000004">
      <c r="A561" s="142"/>
      <c r="B561" s="142"/>
      <c r="C561" s="142"/>
      <c r="D561" s="142"/>
      <c r="E561" s="142"/>
      <c r="F561" s="142"/>
      <c r="G561" s="142"/>
      <c r="H561" s="142"/>
      <c r="I561" s="142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 spans="1:26" ht="15.75" customHeight="1" x14ac:dyDescent="0.55000000000000004">
      <c r="A562" s="142"/>
      <c r="B562" s="142"/>
      <c r="C562" s="142"/>
      <c r="D562" s="142"/>
      <c r="E562" s="142"/>
      <c r="F562" s="142"/>
      <c r="G562" s="142"/>
      <c r="H562" s="142"/>
      <c r="I562" s="142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 spans="1:26" ht="15.75" customHeight="1" x14ac:dyDescent="0.55000000000000004">
      <c r="A563" s="142"/>
      <c r="B563" s="142"/>
      <c r="C563" s="142"/>
      <c r="D563" s="142"/>
      <c r="E563" s="142"/>
      <c r="F563" s="142"/>
      <c r="G563" s="142"/>
      <c r="H563" s="142"/>
      <c r="I563" s="142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 spans="1:26" ht="15.75" customHeight="1" x14ac:dyDescent="0.55000000000000004">
      <c r="A564" s="142"/>
      <c r="B564" s="142"/>
      <c r="C564" s="142"/>
      <c r="D564" s="142"/>
      <c r="E564" s="142"/>
      <c r="F564" s="142"/>
      <c r="G564" s="142"/>
      <c r="H564" s="142"/>
      <c r="I564" s="142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 spans="1:26" ht="15.75" customHeight="1" x14ac:dyDescent="0.55000000000000004">
      <c r="A565" s="142"/>
      <c r="B565" s="142"/>
      <c r="C565" s="142"/>
      <c r="D565" s="142"/>
      <c r="E565" s="142"/>
      <c r="F565" s="142"/>
      <c r="G565" s="142"/>
      <c r="H565" s="142"/>
      <c r="I565" s="142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 spans="1:26" ht="15.75" customHeight="1" x14ac:dyDescent="0.55000000000000004">
      <c r="A566" s="142"/>
      <c r="B566" s="142"/>
      <c r="C566" s="142"/>
      <c r="D566" s="142"/>
      <c r="E566" s="142"/>
      <c r="F566" s="142"/>
      <c r="G566" s="142"/>
      <c r="H566" s="142"/>
      <c r="I566" s="142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 spans="1:26" ht="15.75" customHeight="1" x14ac:dyDescent="0.55000000000000004">
      <c r="A567" s="142"/>
      <c r="B567" s="142"/>
      <c r="C567" s="142"/>
      <c r="D567" s="142"/>
      <c r="E567" s="142"/>
      <c r="F567" s="142"/>
      <c r="G567" s="142"/>
      <c r="H567" s="142"/>
      <c r="I567" s="142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 spans="1:26" ht="15.75" customHeight="1" x14ac:dyDescent="0.55000000000000004">
      <c r="A568" s="142"/>
      <c r="B568" s="142"/>
      <c r="C568" s="142"/>
      <c r="D568" s="142"/>
      <c r="E568" s="142"/>
      <c r="F568" s="142"/>
      <c r="G568" s="142"/>
      <c r="H568" s="142"/>
      <c r="I568" s="142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 spans="1:26" ht="15.75" customHeight="1" x14ac:dyDescent="0.55000000000000004">
      <c r="A569" s="142"/>
      <c r="B569" s="142"/>
      <c r="C569" s="142"/>
      <c r="D569" s="142"/>
      <c r="E569" s="142"/>
      <c r="F569" s="142"/>
      <c r="G569" s="142"/>
      <c r="H569" s="142"/>
      <c r="I569" s="142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 spans="1:26" ht="15.75" customHeight="1" x14ac:dyDescent="0.55000000000000004">
      <c r="A570" s="142"/>
      <c r="B570" s="142"/>
      <c r="C570" s="142"/>
      <c r="D570" s="142"/>
      <c r="E570" s="142"/>
      <c r="F570" s="142"/>
      <c r="G570" s="142"/>
      <c r="H570" s="142"/>
      <c r="I570" s="142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 spans="1:26" ht="15.75" customHeight="1" x14ac:dyDescent="0.55000000000000004">
      <c r="A571" s="142"/>
      <c r="B571" s="142"/>
      <c r="C571" s="142"/>
      <c r="D571" s="142"/>
      <c r="E571" s="142"/>
      <c r="F571" s="142"/>
      <c r="G571" s="142"/>
      <c r="H571" s="142"/>
      <c r="I571" s="142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 spans="1:26" ht="15.75" customHeight="1" x14ac:dyDescent="0.55000000000000004">
      <c r="A572" s="142"/>
      <c r="B572" s="142"/>
      <c r="C572" s="142"/>
      <c r="D572" s="142"/>
      <c r="E572" s="142"/>
      <c r="F572" s="142"/>
      <c r="G572" s="142"/>
      <c r="H572" s="142"/>
      <c r="I572" s="142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 spans="1:26" ht="15.75" customHeight="1" x14ac:dyDescent="0.55000000000000004">
      <c r="A573" s="142"/>
      <c r="B573" s="142"/>
      <c r="C573" s="142"/>
      <c r="D573" s="142"/>
      <c r="E573" s="142"/>
      <c r="F573" s="142"/>
      <c r="G573" s="142"/>
      <c r="H573" s="142"/>
      <c r="I573" s="142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 spans="1:26" ht="15.75" customHeight="1" x14ac:dyDescent="0.55000000000000004">
      <c r="A574" s="142"/>
      <c r="B574" s="142"/>
      <c r="C574" s="142"/>
      <c r="D574" s="142"/>
      <c r="E574" s="142"/>
      <c r="F574" s="142"/>
      <c r="G574" s="142"/>
      <c r="H574" s="142"/>
      <c r="I574" s="142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 spans="1:26" ht="15.75" customHeight="1" x14ac:dyDescent="0.55000000000000004">
      <c r="A575" s="142"/>
      <c r="B575" s="142"/>
      <c r="C575" s="142"/>
      <c r="D575" s="142"/>
      <c r="E575" s="142"/>
      <c r="F575" s="142"/>
      <c r="G575" s="142"/>
      <c r="H575" s="142"/>
      <c r="I575" s="142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 spans="1:26" ht="15.75" customHeight="1" x14ac:dyDescent="0.55000000000000004">
      <c r="A576" s="142"/>
      <c r="B576" s="142"/>
      <c r="C576" s="142"/>
      <c r="D576" s="142"/>
      <c r="E576" s="142"/>
      <c r="F576" s="142"/>
      <c r="G576" s="142"/>
      <c r="H576" s="142"/>
      <c r="I576" s="142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 spans="1:26" ht="15.75" customHeight="1" x14ac:dyDescent="0.55000000000000004">
      <c r="A577" s="142"/>
      <c r="B577" s="142"/>
      <c r="C577" s="142"/>
      <c r="D577" s="142"/>
      <c r="E577" s="142"/>
      <c r="F577" s="142"/>
      <c r="G577" s="142"/>
      <c r="H577" s="142"/>
      <c r="I577" s="142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 spans="1:26" ht="15.75" customHeight="1" x14ac:dyDescent="0.55000000000000004">
      <c r="A578" s="142"/>
      <c r="B578" s="142"/>
      <c r="C578" s="142"/>
      <c r="D578" s="142"/>
      <c r="E578" s="142"/>
      <c r="F578" s="142"/>
      <c r="G578" s="142"/>
      <c r="H578" s="142"/>
      <c r="I578" s="142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 spans="1:26" ht="15.75" customHeight="1" x14ac:dyDescent="0.55000000000000004">
      <c r="A579" s="142"/>
      <c r="B579" s="142"/>
      <c r="C579" s="142"/>
      <c r="D579" s="142"/>
      <c r="E579" s="142"/>
      <c r="F579" s="142"/>
      <c r="G579" s="142"/>
      <c r="H579" s="142"/>
      <c r="I579" s="142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 spans="1:26" ht="15.75" customHeight="1" x14ac:dyDescent="0.55000000000000004">
      <c r="A580" s="142"/>
      <c r="B580" s="142"/>
      <c r="C580" s="142"/>
      <c r="D580" s="142"/>
      <c r="E580" s="142"/>
      <c r="F580" s="142"/>
      <c r="G580" s="142"/>
      <c r="H580" s="142"/>
      <c r="I580" s="142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 spans="1:26" ht="15.75" customHeight="1" x14ac:dyDescent="0.55000000000000004">
      <c r="A581" s="142"/>
      <c r="B581" s="142"/>
      <c r="C581" s="142"/>
      <c r="D581" s="142"/>
      <c r="E581" s="142"/>
      <c r="F581" s="142"/>
      <c r="G581" s="142"/>
      <c r="H581" s="142"/>
      <c r="I581" s="142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 spans="1:26" ht="15.75" customHeight="1" x14ac:dyDescent="0.55000000000000004">
      <c r="A582" s="142"/>
      <c r="B582" s="142"/>
      <c r="C582" s="142"/>
      <c r="D582" s="142"/>
      <c r="E582" s="142"/>
      <c r="F582" s="142"/>
      <c r="G582" s="142"/>
      <c r="H582" s="142"/>
      <c r="I582" s="142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 spans="1:26" ht="15.75" customHeight="1" x14ac:dyDescent="0.55000000000000004">
      <c r="A583" s="142"/>
      <c r="B583" s="142"/>
      <c r="C583" s="142"/>
      <c r="D583" s="142"/>
      <c r="E583" s="142"/>
      <c r="F583" s="142"/>
      <c r="G583" s="142"/>
      <c r="H583" s="142"/>
      <c r="I583" s="142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 spans="1:26" ht="15.75" customHeight="1" x14ac:dyDescent="0.55000000000000004">
      <c r="A584" s="142"/>
      <c r="B584" s="142"/>
      <c r="C584" s="142"/>
      <c r="D584" s="142"/>
      <c r="E584" s="142"/>
      <c r="F584" s="142"/>
      <c r="G584" s="142"/>
      <c r="H584" s="142"/>
      <c r="I584" s="142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 spans="1:26" ht="15.75" customHeight="1" x14ac:dyDescent="0.55000000000000004">
      <c r="A585" s="142"/>
      <c r="B585" s="142"/>
      <c r="C585" s="142"/>
      <c r="D585" s="142"/>
      <c r="E585" s="142"/>
      <c r="F585" s="142"/>
      <c r="G585" s="142"/>
      <c r="H585" s="142"/>
      <c r="I585" s="142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 spans="1:26" ht="15.75" customHeight="1" x14ac:dyDescent="0.55000000000000004">
      <c r="A586" s="142"/>
      <c r="B586" s="142"/>
      <c r="C586" s="142"/>
      <c r="D586" s="142"/>
      <c r="E586" s="142"/>
      <c r="F586" s="142"/>
      <c r="G586" s="142"/>
      <c r="H586" s="142"/>
      <c r="I586" s="142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 spans="1:26" ht="15.75" customHeight="1" x14ac:dyDescent="0.55000000000000004">
      <c r="A587" s="142"/>
      <c r="B587" s="142"/>
      <c r="C587" s="142"/>
      <c r="D587" s="142"/>
      <c r="E587" s="142"/>
      <c r="F587" s="142"/>
      <c r="G587" s="142"/>
      <c r="H587" s="142"/>
      <c r="I587" s="142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 spans="1:26" ht="15.75" customHeight="1" x14ac:dyDescent="0.55000000000000004">
      <c r="A588" s="142"/>
      <c r="B588" s="142"/>
      <c r="C588" s="142"/>
      <c r="D588" s="142"/>
      <c r="E588" s="142"/>
      <c r="F588" s="142"/>
      <c r="G588" s="142"/>
      <c r="H588" s="142"/>
      <c r="I588" s="142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 spans="1:26" ht="15.75" customHeight="1" x14ac:dyDescent="0.55000000000000004">
      <c r="A589" s="142"/>
      <c r="B589" s="142"/>
      <c r="C589" s="142"/>
      <c r="D589" s="142"/>
      <c r="E589" s="142"/>
      <c r="F589" s="142"/>
      <c r="G589" s="142"/>
      <c r="H589" s="142"/>
      <c r="I589" s="142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 spans="1:26" ht="15.75" customHeight="1" x14ac:dyDescent="0.55000000000000004">
      <c r="A590" s="142"/>
      <c r="B590" s="142"/>
      <c r="C590" s="142"/>
      <c r="D590" s="142"/>
      <c r="E590" s="142"/>
      <c r="F590" s="142"/>
      <c r="G590" s="142"/>
      <c r="H590" s="142"/>
      <c r="I590" s="142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 spans="1:26" ht="15.75" customHeight="1" x14ac:dyDescent="0.55000000000000004">
      <c r="A591" s="142"/>
      <c r="B591" s="142"/>
      <c r="C591" s="142"/>
      <c r="D591" s="142"/>
      <c r="E591" s="142"/>
      <c r="F591" s="142"/>
      <c r="G591" s="142"/>
      <c r="H591" s="142"/>
      <c r="I591" s="142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 spans="1:26" ht="15.75" customHeight="1" x14ac:dyDescent="0.55000000000000004">
      <c r="A592" s="142"/>
      <c r="B592" s="142"/>
      <c r="C592" s="142"/>
      <c r="D592" s="142"/>
      <c r="E592" s="142"/>
      <c r="F592" s="142"/>
      <c r="G592" s="142"/>
      <c r="H592" s="142"/>
      <c r="I592" s="142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 spans="1:26" ht="15.75" customHeight="1" x14ac:dyDescent="0.55000000000000004">
      <c r="A593" s="142"/>
      <c r="B593" s="142"/>
      <c r="C593" s="142"/>
      <c r="D593" s="142"/>
      <c r="E593" s="142"/>
      <c r="F593" s="142"/>
      <c r="G593" s="142"/>
      <c r="H593" s="142"/>
      <c r="I593" s="142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 spans="1:26" ht="15.75" customHeight="1" x14ac:dyDescent="0.55000000000000004">
      <c r="A594" s="142"/>
      <c r="B594" s="142"/>
      <c r="C594" s="142"/>
      <c r="D594" s="142"/>
      <c r="E594" s="142"/>
      <c r="F594" s="142"/>
      <c r="G594" s="142"/>
      <c r="H594" s="142"/>
      <c r="I594" s="142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 spans="1:26" ht="15.75" customHeight="1" x14ac:dyDescent="0.55000000000000004">
      <c r="A595" s="142"/>
      <c r="B595" s="142"/>
      <c r="C595" s="142"/>
      <c r="D595" s="142"/>
      <c r="E595" s="142"/>
      <c r="F595" s="142"/>
      <c r="G595" s="142"/>
      <c r="H595" s="142"/>
      <c r="I595" s="142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 spans="1:26" ht="15.75" customHeight="1" x14ac:dyDescent="0.55000000000000004">
      <c r="A596" s="142"/>
      <c r="B596" s="142"/>
      <c r="C596" s="142"/>
      <c r="D596" s="142"/>
      <c r="E596" s="142"/>
      <c r="F596" s="142"/>
      <c r="G596" s="142"/>
      <c r="H596" s="142"/>
      <c r="I596" s="142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 spans="1:26" ht="15.75" customHeight="1" x14ac:dyDescent="0.55000000000000004">
      <c r="A597" s="142"/>
      <c r="B597" s="142"/>
      <c r="C597" s="142"/>
      <c r="D597" s="142"/>
      <c r="E597" s="142"/>
      <c r="F597" s="142"/>
      <c r="G597" s="142"/>
      <c r="H597" s="142"/>
      <c r="I597" s="142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 spans="1:26" ht="15.75" customHeight="1" x14ac:dyDescent="0.55000000000000004">
      <c r="A598" s="142"/>
      <c r="B598" s="142"/>
      <c r="C598" s="142"/>
      <c r="D598" s="142"/>
      <c r="E598" s="142"/>
      <c r="F598" s="142"/>
      <c r="G598" s="142"/>
      <c r="H598" s="142"/>
      <c r="I598" s="142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 spans="1:26" ht="15.75" customHeight="1" x14ac:dyDescent="0.55000000000000004">
      <c r="A599" s="142"/>
      <c r="B599" s="142"/>
      <c r="C599" s="142"/>
      <c r="D599" s="142"/>
      <c r="E599" s="142"/>
      <c r="F599" s="142"/>
      <c r="G599" s="142"/>
      <c r="H599" s="142"/>
      <c r="I599" s="142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 spans="1:26" ht="15.75" customHeight="1" x14ac:dyDescent="0.55000000000000004">
      <c r="A600" s="142"/>
      <c r="B600" s="142"/>
      <c r="C600" s="142"/>
      <c r="D600" s="142"/>
      <c r="E600" s="142"/>
      <c r="F600" s="142"/>
      <c r="G600" s="142"/>
      <c r="H600" s="142"/>
      <c r="I600" s="142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 spans="1:26" ht="15.75" customHeight="1" x14ac:dyDescent="0.55000000000000004">
      <c r="A601" s="142"/>
      <c r="B601" s="142"/>
      <c r="C601" s="142"/>
      <c r="D601" s="142"/>
      <c r="E601" s="142"/>
      <c r="F601" s="142"/>
      <c r="G601" s="142"/>
      <c r="H601" s="142"/>
      <c r="I601" s="142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 spans="1:26" ht="15.75" customHeight="1" x14ac:dyDescent="0.55000000000000004">
      <c r="A602" s="142"/>
      <c r="B602" s="142"/>
      <c r="C602" s="142"/>
      <c r="D602" s="142"/>
      <c r="E602" s="142"/>
      <c r="F602" s="142"/>
      <c r="G602" s="142"/>
      <c r="H602" s="142"/>
      <c r="I602" s="142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 spans="1:26" ht="15.75" customHeight="1" x14ac:dyDescent="0.55000000000000004">
      <c r="A603" s="142"/>
      <c r="B603" s="142"/>
      <c r="C603" s="142"/>
      <c r="D603" s="142"/>
      <c r="E603" s="142"/>
      <c r="F603" s="142"/>
      <c r="G603" s="142"/>
      <c r="H603" s="142"/>
      <c r="I603" s="142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 spans="1:26" ht="15.75" customHeight="1" x14ac:dyDescent="0.55000000000000004">
      <c r="A604" s="142"/>
      <c r="B604" s="142"/>
      <c r="C604" s="142"/>
      <c r="D604" s="142"/>
      <c r="E604" s="142"/>
      <c r="F604" s="142"/>
      <c r="G604" s="142"/>
      <c r="H604" s="142"/>
      <c r="I604" s="142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 spans="1:26" ht="15.75" customHeight="1" x14ac:dyDescent="0.55000000000000004">
      <c r="A605" s="142"/>
      <c r="B605" s="142"/>
      <c r="C605" s="142"/>
      <c r="D605" s="142"/>
      <c r="E605" s="142"/>
      <c r="F605" s="142"/>
      <c r="G605" s="142"/>
      <c r="H605" s="142"/>
      <c r="I605" s="142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 spans="1:26" ht="15.75" customHeight="1" x14ac:dyDescent="0.55000000000000004">
      <c r="A606" s="142"/>
      <c r="B606" s="142"/>
      <c r="C606" s="142"/>
      <c r="D606" s="142"/>
      <c r="E606" s="142"/>
      <c r="F606" s="142"/>
      <c r="G606" s="142"/>
      <c r="H606" s="142"/>
      <c r="I606" s="142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 spans="1:26" ht="15.75" customHeight="1" x14ac:dyDescent="0.55000000000000004">
      <c r="A607" s="142"/>
      <c r="B607" s="142"/>
      <c r="C607" s="142"/>
      <c r="D607" s="142"/>
      <c r="E607" s="142"/>
      <c r="F607" s="142"/>
      <c r="G607" s="142"/>
      <c r="H607" s="142"/>
      <c r="I607" s="142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 spans="1:26" ht="15.75" customHeight="1" x14ac:dyDescent="0.55000000000000004">
      <c r="A608" s="142"/>
      <c r="B608" s="142"/>
      <c r="C608" s="142"/>
      <c r="D608" s="142"/>
      <c r="E608" s="142"/>
      <c r="F608" s="142"/>
      <c r="G608" s="142"/>
      <c r="H608" s="142"/>
      <c r="I608" s="142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 spans="1:26" ht="15.75" customHeight="1" x14ac:dyDescent="0.55000000000000004">
      <c r="A609" s="142"/>
      <c r="B609" s="142"/>
      <c r="C609" s="142"/>
      <c r="D609" s="142"/>
      <c r="E609" s="142"/>
      <c r="F609" s="142"/>
      <c r="G609" s="142"/>
      <c r="H609" s="142"/>
      <c r="I609" s="142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 spans="1:26" ht="15.75" customHeight="1" x14ac:dyDescent="0.55000000000000004">
      <c r="A610" s="142"/>
      <c r="B610" s="142"/>
      <c r="C610" s="142"/>
      <c r="D610" s="142"/>
      <c r="E610" s="142"/>
      <c r="F610" s="142"/>
      <c r="G610" s="142"/>
      <c r="H610" s="142"/>
      <c r="I610" s="142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 spans="1:26" ht="15.75" customHeight="1" x14ac:dyDescent="0.55000000000000004">
      <c r="A611" s="142"/>
      <c r="B611" s="142"/>
      <c r="C611" s="142"/>
      <c r="D611" s="142"/>
      <c r="E611" s="142"/>
      <c r="F611" s="142"/>
      <c r="G611" s="142"/>
      <c r="H611" s="142"/>
      <c r="I611" s="142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 spans="1:26" ht="15.75" customHeight="1" x14ac:dyDescent="0.55000000000000004">
      <c r="A612" s="142"/>
      <c r="B612" s="142"/>
      <c r="C612" s="142"/>
      <c r="D612" s="142"/>
      <c r="E612" s="142"/>
      <c r="F612" s="142"/>
      <c r="G612" s="142"/>
      <c r="H612" s="142"/>
      <c r="I612" s="142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 spans="1:26" ht="15.75" customHeight="1" x14ac:dyDescent="0.55000000000000004">
      <c r="A613" s="142"/>
      <c r="B613" s="142"/>
      <c r="C613" s="142"/>
      <c r="D613" s="142"/>
      <c r="E613" s="142"/>
      <c r="F613" s="142"/>
      <c r="G613" s="142"/>
      <c r="H613" s="142"/>
      <c r="I613" s="142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 spans="1:26" ht="15.75" customHeight="1" x14ac:dyDescent="0.55000000000000004">
      <c r="A614" s="142"/>
      <c r="B614" s="142"/>
      <c r="C614" s="142"/>
      <c r="D614" s="142"/>
      <c r="E614" s="142"/>
      <c r="F614" s="142"/>
      <c r="G614" s="142"/>
      <c r="H614" s="142"/>
      <c r="I614" s="142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 spans="1:26" ht="15.75" customHeight="1" x14ac:dyDescent="0.55000000000000004">
      <c r="A615" s="142"/>
      <c r="B615" s="142"/>
      <c r="C615" s="142"/>
      <c r="D615" s="142"/>
      <c r="E615" s="142"/>
      <c r="F615" s="142"/>
      <c r="G615" s="142"/>
      <c r="H615" s="142"/>
      <c r="I615" s="142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 spans="1:26" ht="15.75" customHeight="1" x14ac:dyDescent="0.55000000000000004">
      <c r="A616" s="142"/>
      <c r="B616" s="142"/>
      <c r="C616" s="142"/>
      <c r="D616" s="142"/>
      <c r="E616" s="142"/>
      <c r="F616" s="142"/>
      <c r="G616" s="142"/>
      <c r="H616" s="142"/>
      <c r="I616" s="142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 spans="1:26" ht="15.75" customHeight="1" x14ac:dyDescent="0.55000000000000004">
      <c r="A617" s="142"/>
      <c r="B617" s="142"/>
      <c r="C617" s="142"/>
      <c r="D617" s="142"/>
      <c r="E617" s="142"/>
      <c r="F617" s="142"/>
      <c r="G617" s="142"/>
      <c r="H617" s="142"/>
      <c r="I617" s="142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 spans="1:26" ht="15.75" customHeight="1" x14ac:dyDescent="0.55000000000000004">
      <c r="A618" s="142"/>
      <c r="B618" s="142"/>
      <c r="C618" s="142"/>
      <c r="D618" s="142"/>
      <c r="E618" s="142"/>
      <c r="F618" s="142"/>
      <c r="G618" s="142"/>
      <c r="H618" s="142"/>
      <c r="I618" s="142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 spans="1:26" ht="15.75" customHeight="1" x14ac:dyDescent="0.55000000000000004">
      <c r="A619" s="142"/>
      <c r="B619" s="142"/>
      <c r="C619" s="142"/>
      <c r="D619" s="142"/>
      <c r="E619" s="142"/>
      <c r="F619" s="142"/>
      <c r="G619" s="142"/>
      <c r="H619" s="142"/>
      <c r="I619" s="142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 spans="1:26" ht="15.75" customHeight="1" x14ac:dyDescent="0.55000000000000004">
      <c r="A620" s="142"/>
      <c r="B620" s="142"/>
      <c r="C620" s="142"/>
      <c r="D620" s="142"/>
      <c r="E620" s="142"/>
      <c r="F620" s="142"/>
      <c r="G620" s="142"/>
      <c r="H620" s="142"/>
      <c r="I620" s="142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 spans="1:26" ht="15.75" customHeight="1" x14ac:dyDescent="0.55000000000000004">
      <c r="A621" s="142"/>
      <c r="B621" s="142"/>
      <c r="C621" s="142"/>
      <c r="D621" s="142"/>
      <c r="E621" s="142"/>
      <c r="F621" s="142"/>
      <c r="G621" s="142"/>
      <c r="H621" s="142"/>
      <c r="I621" s="142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 spans="1:26" ht="15.75" customHeight="1" x14ac:dyDescent="0.55000000000000004">
      <c r="A622" s="142"/>
      <c r="B622" s="142"/>
      <c r="C622" s="142"/>
      <c r="D622" s="142"/>
      <c r="E622" s="142"/>
      <c r="F622" s="142"/>
      <c r="G622" s="142"/>
      <c r="H622" s="142"/>
      <c r="I622" s="142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 spans="1:26" ht="15.75" customHeight="1" x14ac:dyDescent="0.55000000000000004">
      <c r="A623" s="142"/>
      <c r="B623" s="142"/>
      <c r="C623" s="142"/>
      <c r="D623" s="142"/>
      <c r="E623" s="142"/>
      <c r="F623" s="142"/>
      <c r="G623" s="142"/>
      <c r="H623" s="142"/>
      <c r="I623" s="142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 spans="1:26" ht="15.75" customHeight="1" x14ac:dyDescent="0.55000000000000004">
      <c r="A624" s="142"/>
      <c r="B624" s="142"/>
      <c r="C624" s="142"/>
      <c r="D624" s="142"/>
      <c r="E624" s="142"/>
      <c r="F624" s="142"/>
      <c r="G624" s="142"/>
      <c r="H624" s="142"/>
      <c r="I624" s="142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 spans="1:26" ht="15.75" customHeight="1" x14ac:dyDescent="0.55000000000000004">
      <c r="A625" s="142"/>
      <c r="B625" s="142"/>
      <c r="C625" s="142"/>
      <c r="D625" s="142"/>
      <c r="E625" s="142"/>
      <c r="F625" s="142"/>
      <c r="G625" s="142"/>
      <c r="H625" s="142"/>
      <c r="I625" s="142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 spans="1:26" ht="15.75" customHeight="1" x14ac:dyDescent="0.55000000000000004">
      <c r="A626" s="142"/>
      <c r="B626" s="142"/>
      <c r="C626" s="142"/>
      <c r="D626" s="142"/>
      <c r="E626" s="142"/>
      <c r="F626" s="142"/>
      <c r="G626" s="142"/>
      <c r="H626" s="142"/>
      <c r="I626" s="142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 spans="1:26" ht="15.75" customHeight="1" x14ac:dyDescent="0.55000000000000004">
      <c r="A627" s="142"/>
      <c r="B627" s="142"/>
      <c r="C627" s="142"/>
      <c r="D627" s="142"/>
      <c r="E627" s="142"/>
      <c r="F627" s="142"/>
      <c r="G627" s="142"/>
      <c r="H627" s="142"/>
      <c r="I627" s="142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 spans="1:26" ht="15.75" customHeight="1" x14ac:dyDescent="0.55000000000000004">
      <c r="A628" s="142"/>
      <c r="B628" s="142"/>
      <c r="C628" s="142"/>
      <c r="D628" s="142"/>
      <c r="E628" s="142"/>
      <c r="F628" s="142"/>
      <c r="G628" s="142"/>
      <c r="H628" s="142"/>
      <c r="I628" s="142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 spans="1:26" ht="15.75" customHeight="1" x14ac:dyDescent="0.55000000000000004">
      <c r="A629" s="142"/>
      <c r="B629" s="142"/>
      <c r="C629" s="142"/>
      <c r="D629" s="142"/>
      <c r="E629" s="142"/>
      <c r="F629" s="142"/>
      <c r="G629" s="142"/>
      <c r="H629" s="142"/>
      <c r="I629" s="142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 spans="1:26" ht="15.75" customHeight="1" x14ac:dyDescent="0.55000000000000004">
      <c r="A630" s="142"/>
      <c r="B630" s="142"/>
      <c r="C630" s="142"/>
      <c r="D630" s="142"/>
      <c r="E630" s="142"/>
      <c r="F630" s="142"/>
      <c r="G630" s="142"/>
      <c r="H630" s="142"/>
      <c r="I630" s="142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 spans="1:26" ht="15.75" customHeight="1" x14ac:dyDescent="0.55000000000000004">
      <c r="A631" s="142"/>
      <c r="B631" s="142"/>
      <c r="C631" s="142"/>
      <c r="D631" s="142"/>
      <c r="E631" s="142"/>
      <c r="F631" s="142"/>
      <c r="G631" s="142"/>
      <c r="H631" s="142"/>
      <c r="I631" s="142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 spans="1:26" ht="15.75" customHeight="1" x14ac:dyDescent="0.55000000000000004">
      <c r="A632" s="142"/>
      <c r="B632" s="142"/>
      <c r="C632" s="142"/>
      <c r="D632" s="142"/>
      <c r="E632" s="142"/>
      <c r="F632" s="142"/>
      <c r="G632" s="142"/>
      <c r="H632" s="142"/>
      <c r="I632" s="142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 spans="1:26" ht="15.75" customHeight="1" x14ac:dyDescent="0.55000000000000004">
      <c r="A633" s="142"/>
      <c r="B633" s="142"/>
      <c r="C633" s="142"/>
      <c r="D633" s="142"/>
      <c r="E633" s="142"/>
      <c r="F633" s="142"/>
      <c r="G633" s="142"/>
      <c r="H633" s="142"/>
      <c r="I633" s="142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 spans="1:26" ht="15.75" customHeight="1" x14ac:dyDescent="0.55000000000000004">
      <c r="A634" s="142"/>
      <c r="B634" s="142"/>
      <c r="C634" s="142"/>
      <c r="D634" s="142"/>
      <c r="E634" s="142"/>
      <c r="F634" s="142"/>
      <c r="G634" s="142"/>
      <c r="H634" s="142"/>
      <c r="I634" s="142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 spans="1:26" ht="15.75" customHeight="1" x14ac:dyDescent="0.55000000000000004">
      <c r="A635" s="142"/>
      <c r="B635" s="142"/>
      <c r="C635" s="142"/>
      <c r="D635" s="142"/>
      <c r="E635" s="142"/>
      <c r="F635" s="142"/>
      <c r="G635" s="142"/>
      <c r="H635" s="142"/>
      <c r="I635" s="142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 spans="1:26" ht="15.75" customHeight="1" x14ac:dyDescent="0.55000000000000004">
      <c r="A636" s="142"/>
      <c r="B636" s="142"/>
      <c r="C636" s="142"/>
      <c r="D636" s="142"/>
      <c r="E636" s="142"/>
      <c r="F636" s="142"/>
      <c r="G636" s="142"/>
      <c r="H636" s="142"/>
      <c r="I636" s="142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 spans="1:26" ht="15.75" customHeight="1" x14ac:dyDescent="0.55000000000000004">
      <c r="A637" s="142"/>
      <c r="B637" s="142"/>
      <c r="C637" s="142"/>
      <c r="D637" s="142"/>
      <c r="E637" s="142"/>
      <c r="F637" s="142"/>
      <c r="G637" s="142"/>
      <c r="H637" s="142"/>
      <c r="I637" s="142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 spans="1:26" ht="15.75" customHeight="1" x14ac:dyDescent="0.55000000000000004">
      <c r="A638" s="142"/>
      <c r="B638" s="142"/>
      <c r="C638" s="142"/>
      <c r="D638" s="142"/>
      <c r="E638" s="142"/>
      <c r="F638" s="142"/>
      <c r="G638" s="142"/>
      <c r="H638" s="142"/>
      <c r="I638" s="142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 spans="1:26" ht="15.75" customHeight="1" x14ac:dyDescent="0.55000000000000004">
      <c r="A639" s="142"/>
      <c r="B639" s="142"/>
      <c r="C639" s="142"/>
      <c r="D639" s="142"/>
      <c r="E639" s="142"/>
      <c r="F639" s="142"/>
      <c r="G639" s="142"/>
      <c r="H639" s="142"/>
      <c r="I639" s="142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 spans="1:26" ht="15.75" customHeight="1" x14ac:dyDescent="0.55000000000000004">
      <c r="A640" s="142"/>
      <c r="B640" s="142"/>
      <c r="C640" s="142"/>
      <c r="D640" s="142"/>
      <c r="E640" s="142"/>
      <c r="F640" s="142"/>
      <c r="G640" s="142"/>
      <c r="H640" s="142"/>
      <c r="I640" s="142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 spans="1:26" ht="15.75" customHeight="1" x14ac:dyDescent="0.55000000000000004">
      <c r="A641" s="142"/>
      <c r="B641" s="142"/>
      <c r="C641" s="142"/>
      <c r="D641" s="142"/>
      <c r="E641" s="142"/>
      <c r="F641" s="142"/>
      <c r="G641" s="142"/>
      <c r="H641" s="142"/>
      <c r="I641" s="142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 spans="1:26" ht="15.75" customHeight="1" x14ac:dyDescent="0.55000000000000004">
      <c r="A642" s="142"/>
      <c r="B642" s="142"/>
      <c r="C642" s="142"/>
      <c r="D642" s="142"/>
      <c r="E642" s="142"/>
      <c r="F642" s="142"/>
      <c r="G642" s="142"/>
      <c r="H642" s="142"/>
      <c r="I642" s="142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 spans="1:26" ht="15.75" customHeight="1" x14ac:dyDescent="0.55000000000000004">
      <c r="A643" s="142"/>
      <c r="B643" s="142"/>
      <c r="C643" s="142"/>
      <c r="D643" s="142"/>
      <c r="E643" s="142"/>
      <c r="F643" s="142"/>
      <c r="G643" s="142"/>
      <c r="H643" s="142"/>
      <c r="I643" s="142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 spans="1:26" ht="15.75" customHeight="1" x14ac:dyDescent="0.55000000000000004">
      <c r="A644" s="142"/>
      <c r="B644" s="142"/>
      <c r="C644" s="142"/>
      <c r="D644" s="142"/>
      <c r="E644" s="142"/>
      <c r="F644" s="142"/>
      <c r="G644" s="142"/>
      <c r="H644" s="142"/>
      <c r="I644" s="142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 spans="1:26" ht="15.75" customHeight="1" x14ac:dyDescent="0.55000000000000004">
      <c r="A645" s="142"/>
      <c r="B645" s="142"/>
      <c r="C645" s="142"/>
      <c r="D645" s="142"/>
      <c r="E645" s="142"/>
      <c r="F645" s="142"/>
      <c r="G645" s="142"/>
      <c r="H645" s="142"/>
      <c r="I645" s="142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 spans="1:26" ht="15.75" customHeight="1" x14ac:dyDescent="0.55000000000000004">
      <c r="A646" s="142"/>
      <c r="B646" s="142"/>
      <c r="C646" s="142"/>
      <c r="D646" s="142"/>
      <c r="E646" s="142"/>
      <c r="F646" s="142"/>
      <c r="G646" s="142"/>
      <c r="H646" s="142"/>
      <c r="I646" s="142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 spans="1:26" ht="15.75" customHeight="1" x14ac:dyDescent="0.55000000000000004">
      <c r="A647" s="142"/>
      <c r="B647" s="142"/>
      <c r="C647" s="142"/>
      <c r="D647" s="142"/>
      <c r="E647" s="142"/>
      <c r="F647" s="142"/>
      <c r="G647" s="142"/>
      <c r="H647" s="142"/>
      <c r="I647" s="142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 spans="1:26" ht="15.75" customHeight="1" x14ac:dyDescent="0.55000000000000004">
      <c r="A648" s="142"/>
      <c r="B648" s="142"/>
      <c r="C648" s="142"/>
      <c r="D648" s="142"/>
      <c r="E648" s="142"/>
      <c r="F648" s="142"/>
      <c r="G648" s="142"/>
      <c r="H648" s="142"/>
      <c r="I648" s="142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 spans="1:26" ht="15.75" customHeight="1" x14ac:dyDescent="0.55000000000000004">
      <c r="A649" s="142"/>
      <c r="B649" s="142"/>
      <c r="C649" s="142"/>
      <c r="D649" s="142"/>
      <c r="E649" s="142"/>
      <c r="F649" s="142"/>
      <c r="G649" s="142"/>
      <c r="H649" s="142"/>
      <c r="I649" s="142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 spans="1:26" ht="15.75" customHeight="1" x14ac:dyDescent="0.55000000000000004">
      <c r="A650" s="142"/>
      <c r="B650" s="142"/>
      <c r="C650" s="142"/>
      <c r="D650" s="142"/>
      <c r="E650" s="142"/>
      <c r="F650" s="142"/>
      <c r="G650" s="142"/>
      <c r="H650" s="142"/>
      <c r="I650" s="142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 spans="1:26" ht="15.75" customHeight="1" x14ac:dyDescent="0.55000000000000004">
      <c r="A651" s="142"/>
      <c r="B651" s="142"/>
      <c r="C651" s="142"/>
      <c r="D651" s="142"/>
      <c r="E651" s="142"/>
      <c r="F651" s="142"/>
      <c r="G651" s="142"/>
      <c r="H651" s="142"/>
      <c r="I651" s="142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 spans="1:26" ht="15.75" customHeight="1" x14ac:dyDescent="0.55000000000000004">
      <c r="A652" s="142"/>
      <c r="B652" s="142"/>
      <c r="C652" s="142"/>
      <c r="D652" s="142"/>
      <c r="E652" s="142"/>
      <c r="F652" s="142"/>
      <c r="G652" s="142"/>
      <c r="H652" s="142"/>
      <c r="I652" s="142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 spans="1:26" ht="15.75" customHeight="1" x14ac:dyDescent="0.55000000000000004">
      <c r="A653" s="142"/>
      <c r="B653" s="142"/>
      <c r="C653" s="142"/>
      <c r="D653" s="142"/>
      <c r="E653" s="142"/>
      <c r="F653" s="142"/>
      <c r="G653" s="142"/>
      <c r="H653" s="142"/>
      <c r="I653" s="142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 spans="1:26" ht="15.75" customHeight="1" x14ac:dyDescent="0.55000000000000004">
      <c r="A654" s="142"/>
      <c r="B654" s="142"/>
      <c r="C654" s="142"/>
      <c r="D654" s="142"/>
      <c r="E654" s="142"/>
      <c r="F654" s="142"/>
      <c r="G654" s="142"/>
      <c r="H654" s="142"/>
      <c r="I654" s="142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 spans="1:26" ht="15.75" customHeight="1" x14ac:dyDescent="0.55000000000000004">
      <c r="A655" s="142"/>
      <c r="B655" s="142"/>
      <c r="C655" s="142"/>
      <c r="D655" s="142"/>
      <c r="E655" s="142"/>
      <c r="F655" s="142"/>
      <c r="G655" s="142"/>
      <c r="H655" s="142"/>
      <c r="I655" s="142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 spans="1:26" ht="15.75" customHeight="1" x14ac:dyDescent="0.55000000000000004">
      <c r="A656" s="142"/>
      <c r="B656" s="142"/>
      <c r="C656" s="142"/>
      <c r="D656" s="142"/>
      <c r="E656" s="142"/>
      <c r="F656" s="142"/>
      <c r="G656" s="142"/>
      <c r="H656" s="142"/>
      <c r="I656" s="142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 spans="1:26" ht="15.75" customHeight="1" x14ac:dyDescent="0.55000000000000004">
      <c r="A657" s="142"/>
      <c r="B657" s="142"/>
      <c r="C657" s="142"/>
      <c r="D657" s="142"/>
      <c r="E657" s="142"/>
      <c r="F657" s="142"/>
      <c r="G657" s="142"/>
      <c r="H657" s="142"/>
      <c r="I657" s="142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 spans="1:26" ht="15.75" customHeight="1" x14ac:dyDescent="0.55000000000000004">
      <c r="A658" s="142"/>
      <c r="B658" s="142"/>
      <c r="C658" s="142"/>
      <c r="D658" s="142"/>
      <c r="E658" s="142"/>
      <c r="F658" s="142"/>
      <c r="G658" s="142"/>
      <c r="H658" s="142"/>
      <c r="I658" s="142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 spans="1:26" ht="15.75" customHeight="1" x14ac:dyDescent="0.55000000000000004">
      <c r="A659" s="142"/>
      <c r="B659" s="142"/>
      <c r="C659" s="142"/>
      <c r="D659" s="142"/>
      <c r="E659" s="142"/>
      <c r="F659" s="142"/>
      <c r="G659" s="142"/>
      <c r="H659" s="142"/>
      <c r="I659" s="142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 spans="1:26" ht="15.75" customHeight="1" x14ac:dyDescent="0.55000000000000004">
      <c r="A660" s="142"/>
      <c r="B660" s="142"/>
      <c r="C660" s="142"/>
      <c r="D660" s="142"/>
      <c r="E660" s="142"/>
      <c r="F660" s="142"/>
      <c r="G660" s="142"/>
      <c r="H660" s="142"/>
      <c r="I660" s="142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 spans="1:26" ht="15.75" customHeight="1" x14ac:dyDescent="0.55000000000000004">
      <c r="A661" s="142"/>
      <c r="B661" s="142"/>
      <c r="C661" s="142"/>
      <c r="D661" s="142"/>
      <c r="E661" s="142"/>
      <c r="F661" s="142"/>
      <c r="G661" s="142"/>
      <c r="H661" s="142"/>
      <c r="I661" s="142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 spans="1:26" ht="15.75" customHeight="1" x14ac:dyDescent="0.55000000000000004">
      <c r="A662" s="142"/>
      <c r="B662" s="142"/>
      <c r="C662" s="142"/>
      <c r="D662" s="142"/>
      <c r="E662" s="142"/>
      <c r="F662" s="142"/>
      <c r="G662" s="142"/>
      <c r="H662" s="142"/>
      <c r="I662" s="142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 spans="1:26" ht="15.75" customHeight="1" x14ac:dyDescent="0.55000000000000004">
      <c r="A663" s="142"/>
      <c r="B663" s="142"/>
      <c r="C663" s="142"/>
      <c r="D663" s="142"/>
      <c r="E663" s="142"/>
      <c r="F663" s="142"/>
      <c r="G663" s="142"/>
      <c r="H663" s="142"/>
      <c r="I663" s="142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 spans="1:26" ht="15.75" customHeight="1" x14ac:dyDescent="0.55000000000000004">
      <c r="A664" s="142"/>
      <c r="B664" s="142"/>
      <c r="C664" s="142"/>
      <c r="D664" s="142"/>
      <c r="E664" s="142"/>
      <c r="F664" s="142"/>
      <c r="G664" s="142"/>
      <c r="H664" s="142"/>
      <c r="I664" s="142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 spans="1:26" ht="15.75" customHeight="1" x14ac:dyDescent="0.55000000000000004">
      <c r="A665" s="142"/>
      <c r="B665" s="142"/>
      <c r="C665" s="142"/>
      <c r="D665" s="142"/>
      <c r="E665" s="142"/>
      <c r="F665" s="142"/>
      <c r="G665" s="142"/>
      <c r="H665" s="142"/>
      <c r="I665" s="142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 spans="1:26" ht="15.75" customHeight="1" x14ac:dyDescent="0.55000000000000004">
      <c r="A666" s="142"/>
      <c r="B666" s="142"/>
      <c r="C666" s="142"/>
      <c r="D666" s="142"/>
      <c r="E666" s="142"/>
      <c r="F666" s="142"/>
      <c r="G666" s="142"/>
      <c r="H666" s="142"/>
      <c r="I666" s="142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 spans="1:26" ht="15.75" customHeight="1" x14ac:dyDescent="0.55000000000000004">
      <c r="A667" s="142"/>
      <c r="B667" s="142"/>
      <c r="C667" s="142"/>
      <c r="D667" s="142"/>
      <c r="E667" s="142"/>
      <c r="F667" s="142"/>
      <c r="G667" s="142"/>
      <c r="H667" s="142"/>
      <c r="I667" s="142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 spans="1:26" ht="15.75" customHeight="1" x14ac:dyDescent="0.55000000000000004">
      <c r="A668" s="142"/>
      <c r="B668" s="142"/>
      <c r="C668" s="142"/>
      <c r="D668" s="142"/>
      <c r="E668" s="142"/>
      <c r="F668" s="142"/>
      <c r="G668" s="142"/>
      <c r="H668" s="142"/>
      <c r="I668" s="142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 spans="1:26" ht="15.75" customHeight="1" x14ac:dyDescent="0.55000000000000004">
      <c r="A669" s="142"/>
      <c r="B669" s="142"/>
      <c r="C669" s="142"/>
      <c r="D669" s="142"/>
      <c r="E669" s="142"/>
      <c r="F669" s="142"/>
      <c r="G669" s="142"/>
      <c r="H669" s="142"/>
      <c r="I669" s="142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 spans="1:26" ht="15.75" customHeight="1" x14ac:dyDescent="0.55000000000000004">
      <c r="A670" s="142"/>
      <c r="B670" s="142"/>
      <c r="C670" s="142"/>
      <c r="D670" s="142"/>
      <c r="E670" s="142"/>
      <c r="F670" s="142"/>
      <c r="G670" s="142"/>
      <c r="H670" s="142"/>
      <c r="I670" s="142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 spans="1:26" ht="15.75" customHeight="1" x14ac:dyDescent="0.55000000000000004">
      <c r="A671" s="142"/>
      <c r="B671" s="142"/>
      <c r="C671" s="142"/>
      <c r="D671" s="142"/>
      <c r="E671" s="142"/>
      <c r="F671" s="142"/>
      <c r="G671" s="142"/>
      <c r="H671" s="142"/>
      <c r="I671" s="142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 spans="1:26" ht="15.75" customHeight="1" x14ac:dyDescent="0.55000000000000004">
      <c r="A672" s="142"/>
      <c r="B672" s="142"/>
      <c r="C672" s="142"/>
      <c r="D672" s="142"/>
      <c r="E672" s="142"/>
      <c r="F672" s="142"/>
      <c r="G672" s="142"/>
      <c r="H672" s="142"/>
      <c r="I672" s="142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 spans="1:26" ht="15.75" customHeight="1" x14ac:dyDescent="0.55000000000000004">
      <c r="A673" s="142"/>
      <c r="B673" s="142"/>
      <c r="C673" s="142"/>
      <c r="D673" s="142"/>
      <c r="E673" s="142"/>
      <c r="F673" s="142"/>
      <c r="G673" s="142"/>
      <c r="H673" s="142"/>
      <c r="I673" s="142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 spans="1:26" ht="15.75" customHeight="1" x14ac:dyDescent="0.55000000000000004">
      <c r="A674" s="142"/>
      <c r="B674" s="142"/>
      <c r="C674" s="142"/>
      <c r="D674" s="142"/>
      <c r="E674" s="142"/>
      <c r="F674" s="142"/>
      <c r="G674" s="142"/>
      <c r="H674" s="142"/>
      <c r="I674" s="142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 spans="1:26" ht="15.75" customHeight="1" x14ac:dyDescent="0.55000000000000004">
      <c r="A675" s="142"/>
      <c r="B675" s="142"/>
      <c r="C675" s="142"/>
      <c r="D675" s="142"/>
      <c r="E675" s="142"/>
      <c r="F675" s="142"/>
      <c r="G675" s="142"/>
      <c r="H675" s="142"/>
      <c r="I675" s="142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 spans="1:26" ht="15.75" customHeight="1" x14ac:dyDescent="0.55000000000000004">
      <c r="A676" s="142"/>
      <c r="B676" s="142"/>
      <c r="C676" s="142"/>
      <c r="D676" s="142"/>
      <c r="E676" s="142"/>
      <c r="F676" s="142"/>
      <c r="G676" s="142"/>
      <c r="H676" s="142"/>
      <c r="I676" s="142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 spans="1:26" ht="15.75" customHeight="1" x14ac:dyDescent="0.55000000000000004">
      <c r="A677" s="142"/>
      <c r="B677" s="142"/>
      <c r="C677" s="142"/>
      <c r="D677" s="142"/>
      <c r="E677" s="142"/>
      <c r="F677" s="142"/>
      <c r="G677" s="142"/>
      <c r="H677" s="142"/>
      <c r="I677" s="142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 spans="1:26" ht="15.75" customHeight="1" x14ac:dyDescent="0.55000000000000004">
      <c r="A678" s="142"/>
      <c r="B678" s="142"/>
      <c r="C678" s="142"/>
      <c r="D678" s="142"/>
      <c r="E678" s="142"/>
      <c r="F678" s="142"/>
      <c r="G678" s="142"/>
      <c r="H678" s="142"/>
      <c r="I678" s="142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 spans="1:26" ht="15.75" customHeight="1" x14ac:dyDescent="0.55000000000000004">
      <c r="A679" s="142"/>
      <c r="B679" s="142"/>
      <c r="C679" s="142"/>
      <c r="D679" s="142"/>
      <c r="E679" s="142"/>
      <c r="F679" s="142"/>
      <c r="G679" s="142"/>
      <c r="H679" s="142"/>
      <c r="I679" s="142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 spans="1:26" ht="15.75" customHeight="1" x14ac:dyDescent="0.55000000000000004">
      <c r="A680" s="142"/>
      <c r="B680" s="142"/>
      <c r="C680" s="142"/>
      <c r="D680" s="142"/>
      <c r="E680" s="142"/>
      <c r="F680" s="142"/>
      <c r="G680" s="142"/>
      <c r="H680" s="142"/>
      <c r="I680" s="142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 spans="1:26" ht="15.75" customHeight="1" x14ac:dyDescent="0.55000000000000004">
      <c r="A681" s="142"/>
      <c r="B681" s="142"/>
      <c r="C681" s="142"/>
      <c r="D681" s="142"/>
      <c r="E681" s="142"/>
      <c r="F681" s="142"/>
      <c r="G681" s="142"/>
      <c r="H681" s="142"/>
      <c r="I681" s="142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 spans="1:26" ht="15.75" customHeight="1" x14ac:dyDescent="0.55000000000000004">
      <c r="A682" s="142"/>
      <c r="B682" s="142"/>
      <c r="C682" s="142"/>
      <c r="D682" s="142"/>
      <c r="E682" s="142"/>
      <c r="F682" s="142"/>
      <c r="G682" s="142"/>
      <c r="H682" s="142"/>
      <c r="I682" s="142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 spans="1:26" ht="15.75" customHeight="1" x14ac:dyDescent="0.55000000000000004">
      <c r="A683" s="142"/>
      <c r="B683" s="142"/>
      <c r="C683" s="142"/>
      <c r="D683" s="142"/>
      <c r="E683" s="142"/>
      <c r="F683" s="142"/>
      <c r="G683" s="142"/>
      <c r="H683" s="142"/>
      <c r="I683" s="142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 spans="1:26" ht="15.75" customHeight="1" x14ac:dyDescent="0.55000000000000004">
      <c r="A684" s="142"/>
      <c r="B684" s="142"/>
      <c r="C684" s="142"/>
      <c r="D684" s="142"/>
      <c r="E684" s="142"/>
      <c r="F684" s="142"/>
      <c r="G684" s="142"/>
      <c r="H684" s="142"/>
      <c r="I684" s="142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 spans="1:26" ht="15.75" customHeight="1" x14ac:dyDescent="0.55000000000000004">
      <c r="A685" s="142"/>
      <c r="B685" s="142"/>
      <c r="C685" s="142"/>
      <c r="D685" s="142"/>
      <c r="E685" s="142"/>
      <c r="F685" s="142"/>
      <c r="G685" s="142"/>
      <c r="H685" s="142"/>
      <c r="I685" s="142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 spans="1:26" ht="15.75" customHeight="1" x14ac:dyDescent="0.55000000000000004">
      <c r="A686" s="142"/>
      <c r="B686" s="142"/>
      <c r="C686" s="142"/>
      <c r="D686" s="142"/>
      <c r="E686" s="142"/>
      <c r="F686" s="142"/>
      <c r="G686" s="142"/>
      <c r="H686" s="142"/>
      <c r="I686" s="142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 spans="1:26" ht="15.75" customHeight="1" x14ac:dyDescent="0.55000000000000004">
      <c r="A687" s="142"/>
      <c r="B687" s="142"/>
      <c r="C687" s="142"/>
      <c r="D687" s="142"/>
      <c r="E687" s="142"/>
      <c r="F687" s="142"/>
      <c r="G687" s="142"/>
      <c r="H687" s="142"/>
      <c r="I687" s="142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 spans="1:26" ht="15.75" customHeight="1" x14ac:dyDescent="0.55000000000000004">
      <c r="A688" s="142"/>
      <c r="B688" s="142"/>
      <c r="C688" s="142"/>
      <c r="D688" s="142"/>
      <c r="E688" s="142"/>
      <c r="F688" s="142"/>
      <c r="G688" s="142"/>
      <c r="H688" s="142"/>
      <c r="I688" s="142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 spans="1:26" ht="15.75" customHeight="1" x14ac:dyDescent="0.55000000000000004">
      <c r="A689" s="142"/>
      <c r="B689" s="142"/>
      <c r="C689" s="142"/>
      <c r="D689" s="142"/>
      <c r="E689" s="142"/>
      <c r="F689" s="142"/>
      <c r="G689" s="142"/>
      <c r="H689" s="142"/>
      <c r="I689" s="142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 spans="1:26" ht="15.75" customHeight="1" x14ac:dyDescent="0.55000000000000004">
      <c r="A690" s="142"/>
      <c r="B690" s="142"/>
      <c r="C690" s="142"/>
      <c r="D690" s="142"/>
      <c r="E690" s="142"/>
      <c r="F690" s="142"/>
      <c r="G690" s="142"/>
      <c r="H690" s="142"/>
      <c r="I690" s="142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 spans="1:26" ht="15.75" customHeight="1" x14ac:dyDescent="0.55000000000000004">
      <c r="A691" s="142"/>
      <c r="B691" s="142"/>
      <c r="C691" s="142"/>
      <c r="D691" s="142"/>
      <c r="E691" s="142"/>
      <c r="F691" s="142"/>
      <c r="G691" s="142"/>
      <c r="H691" s="142"/>
      <c r="I691" s="142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 spans="1:26" ht="15.75" customHeight="1" x14ac:dyDescent="0.55000000000000004">
      <c r="A692" s="142"/>
      <c r="B692" s="142"/>
      <c r="C692" s="142"/>
      <c r="D692" s="142"/>
      <c r="E692" s="142"/>
      <c r="F692" s="142"/>
      <c r="G692" s="142"/>
      <c r="H692" s="142"/>
      <c r="I692" s="142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 spans="1:26" ht="15.75" customHeight="1" x14ac:dyDescent="0.55000000000000004">
      <c r="A693" s="142"/>
      <c r="B693" s="142"/>
      <c r="C693" s="142"/>
      <c r="D693" s="142"/>
      <c r="E693" s="142"/>
      <c r="F693" s="142"/>
      <c r="G693" s="142"/>
      <c r="H693" s="142"/>
      <c r="I693" s="142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 spans="1:26" ht="15.75" customHeight="1" x14ac:dyDescent="0.55000000000000004">
      <c r="A694" s="142"/>
      <c r="B694" s="142"/>
      <c r="C694" s="142"/>
      <c r="D694" s="142"/>
      <c r="E694" s="142"/>
      <c r="F694" s="142"/>
      <c r="G694" s="142"/>
      <c r="H694" s="142"/>
      <c r="I694" s="142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 spans="1:26" ht="15.75" customHeight="1" x14ac:dyDescent="0.55000000000000004">
      <c r="A695" s="142"/>
      <c r="B695" s="142"/>
      <c r="C695" s="142"/>
      <c r="D695" s="142"/>
      <c r="E695" s="142"/>
      <c r="F695" s="142"/>
      <c r="G695" s="142"/>
      <c r="H695" s="142"/>
      <c r="I695" s="142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 spans="1:26" ht="15.75" customHeight="1" x14ac:dyDescent="0.55000000000000004">
      <c r="A696" s="142"/>
      <c r="B696" s="142"/>
      <c r="C696" s="142"/>
      <c r="D696" s="142"/>
      <c r="E696" s="142"/>
      <c r="F696" s="142"/>
      <c r="G696" s="142"/>
      <c r="H696" s="142"/>
      <c r="I696" s="142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 spans="1:26" ht="15.75" customHeight="1" x14ac:dyDescent="0.55000000000000004">
      <c r="A697" s="142"/>
      <c r="B697" s="142"/>
      <c r="C697" s="142"/>
      <c r="D697" s="142"/>
      <c r="E697" s="142"/>
      <c r="F697" s="142"/>
      <c r="G697" s="142"/>
      <c r="H697" s="142"/>
      <c r="I697" s="142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 spans="1:26" ht="15.75" customHeight="1" x14ac:dyDescent="0.55000000000000004">
      <c r="A698" s="142"/>
      <c r="B698" s="142"/>
      <c r="C698" s="142"/>
      <c r="D698" s="142"/>
      <c r="E698" s="142"/>
      <c r="F698" s="142"/>
      <c r="G698" s="142"/>
      <c r="H698" s="142"/>
      <c r="I698" s="142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 spans="1:26" ht="15.75" customHeight="1" x14ac:dyDescent="0.55000000000000004">
      <c r="A699" s="142"/>
      <c r="B699" s="142"/>
      <c r="C699" s="142"/>
      <c r="D699" s="142"/>
      <c r="E699" s="142"/>
      <c r="F699" s="142"/>
      <c r="G699" s="142"/>
      <c r="H699" s="142"/>
      <c r="I699" s="142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 spans="1:26" ht="15.75" customHeight="1" x14ac:dyDescent="0.55000000000000004">
      <c r="A700" s="142"/>
      <c r="B700" s="142"/>
      <c r="C700" s="142"/>
      <c r="D700" s="142"/>
      <c r="E700" s="142"/>
      <c r="F700" s="142"/>
      <c r="G700" s="142"/>
      <c r="H700" s="142"/>
      <c r="I700" s="142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 spans="1:26" ht="15.75" customHeight="1" x14ac:dyDescent="0.55000000000000004">
      <c r="A701" s="142"/>
      <c r="B701" s="142"/>
      <c r="C701" s="142"/>
      <c r="D701" s="142"/>
      <c r="E701" s="142"/>
      <c r="F701" s="142"/>
      <c r="G701" s="142"/>
      <c r="H701" s="142"/>
      <c r="I701" s="142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 spans="1:26" ht="15.75" customHeight="1" x14ac:dyDescent="0.55000000000000004">
      <c r="A702" s="142"/>
      <c r="B702" s="142"/>
      <c r="C702" s="142"/>
      <c r="D702" s="142"/>
      <c r="E702" s="142"/>
      <c r="F702" s="142"/>
      <c r="G702" s="142"/>
      <c r="H702" s="142"/>
      <c r="I702" s="142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 spans="1:26" ht="15.75" customHeight="1" x14ac:dyDescent="0.55000000000000004">
      <c r="A703" s="142"/>
      <c r="B703" s="142"/>
      <c r="C703" s="142"/>
      <c r="D703" s="142"/>
      <c r="E703" s="142"/>
      <c r="F703" s="142"/>
      <c r="G703" s="142"/>
      <c r="H703" s="142"/>
      <c r="I703" s="142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 spans="1:26" ht="15.75" customHeight="1" x14ac:dyDescent="0.55000000000000004">
      <c r="A704" s="142"/>
      <c r="B704" s="142"/>
      <c r="C704" s="142"/>
      <c r="D704" s="142"/>
      <c r="E704" s="142"/>
      <c r="F704" s="142"/>
      <c r="G704" s="142"/>
      <c r="H704" s="142"/>
      <c r="I704" s="142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 spans="1:26" ht="15.75" customHeight="1" x14ac:dyDescent="0.55000000000000004">
      <c r="A705" s="142"/>
      <c r="B705" s="142"/>
      <c r="C705" s="142"/>
      <c r="D705" s="142"/>
      <c r="E705" s="142"/>
      <c r="F705" s="142"/>
      <c r="G705" s="142"/>
      <c r="H705" s="142"/>
      <c r="I705" s="142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 spans="1:26" ht="15.75" customHeight="1" x14ac:dyDescent="0.55000000000000004">
      <c r="A706" s="142"/>
      <c r="B706" s="142"/>
      <c r="C706" s="142"/>
      <c r="D706" s="142"/>
      <c r="E706" s="142"/>
      <c r="F706" s="142"/>
      <c r="G706" s="142"/>
      <c r="H706" s="142"/>
      <c r="I706" s="142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 spans="1:26" ht="15.75" customHeight="1" x14ac:dyDescent="0.55000000000000004">
      <c r="A707" s="142"/>
      <c r="B707" s="142"/>
      <c r="C707" s="142"/>
      <c r="D707" s="142"/>
      <c r="E707" s="142"/>
      <c r="F707" s="142"/>
      <c r="G707" s="142"/>
      <c r="H707" s="142"/>
      <c r="I707" s="142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 spans="1:26" ht="15.75" customHeight="1" x14ac:dyDescent="0.55000000000000004">
      <c r="A708" s="142"/>
      <c r="B708" s="142"/>
      <c r="C708" s="142"/>
      <c r="D708" s="142"/>
      <c r="E708" s="142"/>
      <c r="F708" s="142"/>
      <c r="G708" s="142"/>
      <c r="H708" s="142"/>
      <c r="I708" s="142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 spans="1:26" ht="15.75" customHeight="1" x14ac:dyDescent="0.55000000000000004">
      <c r="A709" s="142"/>
      <c r="B709" s="142"/>
      <c r="C709" s="142"/>
      <c r="D709" s="142"/>
      <c r="E709" s="142"/>
      <c r="F709" s="142"/>
      <c r="G709" s="142"/>
      <c r="H709" s="142"/>
      <c r="I709" s="142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 spans="1:26" ht="15.75" customHeight="1" x14ac:dyDescent="0.55000000000000004">
      <c r="A710" s="142"/>
      <c r="B710" s="142"/>
      <c r="C710" s="142"/>
      <c r="D710" s="142"/>
      <c r="E710" s="142"/>
      <c r="F710" s="142"/>
      <c r="G710" s="142"/>
      <c r="H710" s="142"/>
      <c r="I710" s="142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 spans="1:26" ht="15.75" customHeight="1" x14ac:dyDescent="0.55000000000000004">
      <c r="A711" s="142"/>
      <c r="B711" s="142"/>
      <c r="C711" s="142"/>
      <c r="D711" s="142"/>
      <c r="E711" s="142"/>
      <c r="F711" s="142"/>
      <c r="G711" s="142"/>
      <c r="H711" s="142"/>
      <c r="I711" s="142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 spans="1:26" ht="15.75" customHeight="1" x14ac:dyDescent="0.55000000000000004">
      <c r="A712" s="142"/>
      <c r="B712" s="142"/>
      <c r="C712" s="142"/>
      <c r="D712" s="142"/>
      <c r="E712" s="142"/>
      <c r="F712" s="142"/>
      <c r="G712" s="142"/>
      <c r="H712" s="142"/>
      <c r="I712" s="142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 spans="1:26" ht="15.75" customHeight="1" x14ac:dyDescent="0.55000000000000004">
      <c r="A713" s="142"/>
      <c r="B713" s="142"/>
      <c r="C713" s="142"/>
      <c r="D713" s="142"/>
      <c r="E713" s="142"/>
      <c r="F713" s="142"/>
      <c r="G713" s="142"/>
      <c r="H713" s="142"/>
      <c r="I713" s="142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 spans="1:26" ht="15.75" customHeight="1" x14ac:dyDescent="0.55000000000000004">
      <c r="A714" s="142"/>
      <c r="B714" s="142"/>
      <c r="C714" s="142"/>
      <c r="D714" s="142"/>
      <c r="E714" s="142"/>
      <c r="F714" s="142"/>
      <c r="G714" s="142"/>
      <c r="H714" s="142"/>
      <c r="I714" s="142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 spans="1:26" ht="15.75" customHeight="1" x14ac:dyDescent="0.55000000000000004">
      <c r="A715" s="142"/>
      <c r="B715" s="142"/>
      <c r="C715" s="142"/>
      <c r="D715" s="142"/>
      <c r="E715" s="142"/>
      <c r="F715" s="142"/>
      <c r="G715" s="142"/>
      <c r="H715" s="142"/>
      <c r="I715" s="142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 spans="1:26" ht="15.75" customHeight="1" x14ac:dyDescent="0.55000000000000004">
      <c r="A716" s="142"/>
      <c r="B716" s="142"/>
      <c r="C716" s="142"/>
      <c r="D716" s="142"/>
      <c r="E716" s="142"/>
      <c r="F716" s="142"/>
      <c r="G716" s="142"/>
      <c r="H716" s="142"/>
      <c r="I716" s="142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 spans="1:26" ht="15.75" customHeight="1" x14ac:dyDescent="0.55000000000000004">
      <c r="A717" s="142"/>
      <c r="B717" s="142"/>
      <c r="C717" s="142"/>
      <c r="D717" s="142"/>
      <c r="E717" s="142"/>
      <c r="F717" s="142"/>
      <c r="G717" s="142"/>
      <c r="H717" s="142"/>
      <c r="I717" s="142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 spans="1:26" ht="15.75" customHeight="1" x14ac:dyDescent="0.55000000000000004">
      <c r="A718" s="142"/>
      <c r="B718" s="142"/>
      <c r="C718" s="142"/>
      <c r="D718" s="142"/>
      <c r="E718" s="142"/>
      <c r="F718" s="142"/>
      <c r="G718" s="142"/>
      <c r="H718" s="142"/>
      <c r="I718" s="142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 spans="1:26" ht="15.75" customHeight="1" x14ac:dyDescent="0.55000000000000004">
      <c r="A719" s="142"/>
      <c r="B719" s="142"/>
      <c r="C719" s="142"/>
      <c r="D719" s="142"/>
      <c r="E719" s="142"/>
      <c r="F719" s="142"/>
      <c r="G719" s="142"/>
      <c r="H719" s="142"/>
      <c r="I719" s="142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 spans="1:26" ht="15.75" customHeight="1" x14ac:dyDescent="0.55000000000000004">
      <c r="A720" s="142"/>
      <c r="B720" s="142"/>
      <c r="C720" s="142"/>
      <c r="D720" s="142"/>
      <c r="E720" s="142"/>
      <c r="F720" s="142"/>
      <c r="G720" s="142"/>
      <c r="H720" s="142"/>
      <c r="I720" s="142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 spans="1:26" ht="15.75" customHeight="1" x14ac:dyDescent="0.55000000000000004">
      <c r="A721" s="142"/>
      <c r="B721" s="142"/>
      <c r="C721" s="142"/>
      <c r="D721" s="142"/>
      <c r="E721" s="142"/>
      <c r="F721" s="142"/>
      <c r="G721" s="142"/>
      <c r="H721" s="142"/>
      <c r="I721" s="142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 spans="1:26" ht="15.75" customHeight="1" x14ac:dyDescent="0.55000000000000004">
      <c r="A722" s="142"/>
      <c r="B722" s="142"/>
      <c r="C722" s="142"/>
      <c r="D722" s="142"/>
      <c r="E722" s="142"/>
      <c r="F722" s="142"/>
      <c r="G722" s="142"/>
      <c r="H722" s="142"/>
      <c r="I722" s="142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 spans="1:26" ht="15.75" customHeight="1" x14ac:dyDescent="0.55000000000000004">
      <c r="A723" s="142"/>
      <c r="B723" s="142"/>
      <c r="C723" s="142"/>
      <c r="D723" s="142"/>
      <c r="E723" s="142"/>
      <c r="F723" s="142"/>
      <c r="G723" s="142"/>
      <c r="H723" s="142"/>
      <c r="I723" s="142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 spans="1:26" ht="15.75" customHeight="1" x14ac:dyDescent="0.55000000000000004">
      <c r="A724" s="142"/>
      <c r="B724" s="142"/>
      <c r="C724" s="142"/>
      <c r="D724" s="142"/>
      <c r="E724" s="142"/>
      <c r="F724" s="142"/>
      <c r="G724" s="142"/>
      <c r="H724" s="142"/>
      <c r="I724" s="142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 spans="1:26" ht="15.75" customHeight="1" x14ac:dyDescent="0.55000000000000004">
      <c r="A725" s="142"/>
      <c r="B725" s="142"/>
      <c r="C725" s="142"/>
      <c r="D725" s="142"/>
      <c r="E725" s="142"/>
      <c r="F725" s="142"/>
      <c r="G725" s="142"/>
      <c r="H725" s="142"/>
      <c r="I725" s="142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 spans="1:26" ht="15.75" customHeight="1" x14ac:dyDescent="0.55000000000000004">
      <c r="A726" s="142"/>
      <c r="B726" s="142"/>
      <c r="C726" s="142"/>
      <c r="D726" s="142"/>
      <c r="E726" s="142"/>
      <c r="F726" s="142"/>
      <c r="G726" s="142"/>
      <c r="H726" s="142"/>
      <c r="I726" s="142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 spans="1:26" ht="15.75" customHeight="1" x14ac:dyDescent="0.55000000000000004">
      <c r="A727" s="142"/>
      <c r="B727" s="142"/>
      <c r="C727" s="142"/>
      <c r="D727" s="142"/>
      <c r="E727" s="142"/>
      <c r="F727" s="142"/>
      <c r="G727" s="142"/>
      <c r="H727" s="142"/>
      <c r="I727" s="142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 spans="1:26" ht="15.75" customHeight="1" x14ac:dyDescent="0.55000000000000004">
      <c r="A728" s="142"/>
      <c r="B728" s="142"/>
      <c r="C728" s="142"/>
      <c r="D728" s="142"/>
      <c r="E728" s="142"/>
      <c r="F728" s="142"/>
      <c r="G728" s="142"/>
      <c r="H728" s="142"/>
      <c r="I728" s="142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 spans="1:26" ht="15.75" customHeight="1" x14ac:dyDescent="0.55000000000000004">
      <c r="A729" s="142"/>
      <c r="B729" s="142"/>
      <c r="C729" s="142"/>
      <c r="D729" s="142"/>
      <c r="E729" s="142"/>
      <c r="F729" s="142"/>
      <c r="G729" s="142"/>
      <c r="H729" s="142"/>
      <c r="I729" s="142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 spans="1:26" ht="15.75" customHeight="1" x14ac:dyDescent="0.55000000000000004">
      <c r="A730" s="142"/>
      <c r="B730" s="142"/>
      <c r="C730" s="142"/>
      <c r="D730" s="142"/>
      <c r="E730" s="142"/>
      <c r="F730" s="142"/>
      <c r="G730" s="142"/>
      <c r="H730" s="142"/>
      <c r="I730" s="142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 spans="1:26" ht="15.75" customHeight="1" x14ac:dyDescent="0.55000000000000004">
      <c r="A731" s="142"/>
      <c r="B731" s="142"/>
      <c r="C731" s="142"/>
      <c r="D731" s="142"/>
      <c r="E731" s="142"/>
      <c r="F731" s="142"/>
      <c r="G731" s="142"/>
      <c r="H731" s="142"/>
      <c r="I731" s="142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 spans="1:26" ht="15.75" customHeight="1" x14ac:dyDescent="0.55000000000000004">
      <c r="A732" s="142"/>
      <c r="B732" s="142"/>
      <c r="C732" s="142"/>
      <c r="D732" s="142"/>
      <c r="E732" s="142"/>
      <c r="F732" s="142"/>
      <c r="G732" s="142"/>
      <c r="H732" s="142"/>
      <c r="I732" s="142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 spans="1:26" ht="15.75" customHeight="1" x14ac:dyDescent="0.55000000000000004">
      <c r="A733" s="142"/>
      <c r="B733" s="142"/>
      <c r="C733" s="142"/>
      <c r="D733" s="142"/>
      <c r="E733" s="142"/>
      <c r="F733" s="142"/>
      <c r="G733" s="142"/>
      <c r="H733" s="142"/>
      <c r="I733" s="142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 spans="1:26" ht="15.75" customHeight="1" x14ac:dyDescent="0.55000000000000004">
      <c r="A734" s="142"/>
      <c r="B734" s="142"/>
      <c r="C734" s="142"/>
      <c r="D734" s="142"/>
      <c r="E734" s="142"/>
      <c r="F734" s="142"/>
      <c r="G734" s="142"/>
      <c r="H734" s="142"/>
      <c r="I734" s="142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 spans="1:26" ht="15.75" customHeight="1" x14ac:dyDescent="0.55000000000000004">
      <c r="A735" s="142"/>
      <c r="B735" s="142"/>
      <c r="C735" s="142"/>
      <c r="D735" s="142"/>
      <c r="E735" s="142"/>
      <c r="F735" s="142"/>
      <c r="G735" s="142"/>
      <c r="H735" s="142"/>
      <c r="I735" s="142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 spans="1:26" ht="15.75" customHeight="1" x14ac:dyDescent="0.55000000000000004">
      <c r="A736" s="142"/>
      <c r="B736" s="142"/>
      <c r="C736" s="142"/>
      <c r="D736" s="142"/>
      <c r="E736" s="142"/>
      <c r="F736" s="142"/>
      <c r="G736" s="142"/>
      <c r="H736" s="142"/>
      <c r="I736" s="142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 spans="1:26" ht="15.75" customHeight="1" x14ac:dyDescent="0.55000000000000004">
      <c r="A737" s="142"/>
      <c r="B737" s="142"/>
      <c r="C737" s="142"/>
      <c r="D737" s="142"/>
      <c r="E737" s="142"/>
      <c r="F737" s="142"/>
      <c r="G737" s="142"/>
      <c r="H737" s="142"/>
      <c r="I737" s="142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 spans="1:26" ht="15.75" customHeight="1" x14ac:dyDescent="0.55000000000000004">
      <c r="A738" s="142"/>
      <c r="B738" s="142"/>
      <c r="C738" s="142"/>
      <c r="D738" s="142"/>
      <c r="E738" s="142"/>
      <c r="F738" s="142"/>
      <c r="G738" s="142"/>
      <c r="H738" s="142"/>
      <c r="I738" s="142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 spans="1:26" ht="15.75" customHeight="1" x14ac:dyDescent="0.55000000000000004">
      <c r="A739" s="142"/>
      <c r="B739" s="142"/>
      <c r="C739" s="142"/>
      <c r="D739" s="142"/>
      <c r="E739" s="142"/>
      <c r="F739" s="142"/>
      <c r="G739" s="142"/>
      <c r="H739" s="142"/>
      <c r="I739" s="142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 spans="1:26" ht="15.75" customHeight="1" x14ac:dyDescent="0.55000000000000004">
      <c r="A740" s="142"/>
      <c r="B740" s="142"/>
      <c r="C740" s="142"/>
      <c r="D740" s="142"/>
      <c r="E740" s="142"/>
      <c r="F740" s="142"/>
      <c r="G740" s="142"/>
      <c r="H740" s="142"/>
      <c r="I740" s="142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 spans="1:26" ht="15.75" customHeight="1" x14ac:dyDescent="0.55000000000000004">
      <c r="A741" s="142"/>
      <c r="B741" s="142"/>
      <c r="C741" s="142"/>
      <c r="D741" s="142"/>
      <c r="E741" s="142"/>
      <c r="F741" s="142"/>
      <c r="G741" s="142"/>
      <c r="H741" s="142"/>
      <c r="I741" s="142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 spans="1:26" ht="15.75" customHeight="1" x14ac:dyDescent="0.55000000000000004">
      <c r="A742" s="142"/>
      <c r="B742" s="142"/>
      <c r="C742" s="142"/>
      <c r="D742" s="142"/>
      <c r="E742" s="142"/>
      <c r="F742" s="142"/>
      <c r="G742" s="142"/>
      <c r="H742" s="142"/>
      <c r="I742" s="142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 spans="1:26" ht="15.75" customHeight="1" x14ac:dyDescent="0.55000000000000004">
      <c r="A743" s="142"/>
      <c r="B743" s="142"/>
      <c r="C743" s="142"/>
      <c r="D743" s="142"/>
      <c r="E743" s="142"/>
      <c r="F743" s="142"/>
      <c r="G743" s="142"/>
      <c r="H743" s="142"/>
      <c r="I743" s="142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 spans="1:26" ht="15.75" customHeight="1" x14ac:dyDescent="0.55000000000000004">
      <c r="A744" s="142"/>
      <c r="B744" s="142"/>
      <c r="C744" s="142"/>
      <c r="D744" s="142"/>
      <c r="E744" s="142"/>
      <c r="F744" s="142"/>
      <c r="G744" s="142"/>
      <c r="H744" s="142"/>
      <c r="I744" s="142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 spans="1:26" ht="15.75" customHeight="1" x14ac:dyDescent="0.55000000000000004">
      <c r="A745" s="142"/>
      <c r="B745" s="142"/>
      <c r="C745" s="142"/>
      <c r="D745" s="142"/>
      <c r="E745" s="142"/>
      <c r="F745" s="142"/>
      <c r="G745" s="142"/>
      <c r="H745" s="142"/>
      <c r="I745" s="142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 spans="1:26" ht="15.75" customHeight="1" x14ac:dyDescent="0.55000000000000004">
      <c r="A746" s="142"/>
      <c r="B746" s="142"/>
      <c r="C746" s="142"/>
      <c r="D746" s="142"/>
      <c r="E746" s="142"/>
      <c r="F746" s="142"/>
      <c r="G746" s="142"/>
      <c r="H746" s="142"/>
      <c r="I746" s="142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 spans="1:26" ht="15.75" customHeight="1" x14ac:dyDescent="0.55000000000000004">
      <c r="A747" s="142"/>
      <c r="B747" s="142"/>
      <c r="C747" s="142"/>
      <c r="D747" s="142"/>
      <c r="E747" s="142"/>
      <c r="F747" s="142"/>
      <c r="G747" s="142"/>
      <c r="H747" s="142"/>
      <c r="I747" s="142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 spans="1:26" ht="15.75" customHeight="1" x14ac:dyDescent="0.55000000000000004">
      <c r="A748" s="142"/>
      <c r="B748" s="142"/>
      <c r="C748" s="142"/>
      <c r="D748" s="142"/>
      <c r="E748" s="142"/>
      <c r="F748" s="142"/>
      <c r="G748" s="142"/>
      <c r="H748" s="142"/>
      <c r="I748" s="142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 spans="1:26" ht="15.75" customHeight="1" x14ac:dyDescent="0.55000000000000004">
      <c r="A749" s="142"/>
      <c r="B749" s="142"/>
      <c r="C749" s="142"/>
      <c r="D749" s="142"/>
      <c r="E749" s="142"/>
      <c r="F749" s="142"/>
      <c r="G749" s="142"/>
      <c r="H749" s="142"/>
      <c r="I749" s="142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 spans="1:26" ht="15.75" customHeight="1" x14ac:dyDescent="0.55000000000000004">
      <c r="A750" s="142"/>
      <c r="B750" s="142"/>
      <c r="C750" s="142"/>
      <c r="D750" s="142"/>
      <c r="E750" s="142"/>
      <c r="F750" s="142"/>
      <c r="G750" s="142"/>
      <c r="H750" s="142"/>
      <c r="I750" s="142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 spans="1:26" ht="15.75" customHeight="1" x14ac:dyDescent="0.55000000000000004">
      <c r="A751" s="142"/>
      <c r="B751" s="142"/>
      <c r="C751" s="142"/>
      <c r="D751" s="142"/>
      <c r="E751" s="142"/>
      <c r="F751" s="142"/>
      <c r="G751" s="142"/>
      <c r="H751" s="142"/>
      <c r="I751" s="142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 spans="1:26" ht="15.75" customHeight="1" x14ac:dyDescent="0.55000000000000004">
      <c r="A752" s="142"/>
      <c r="B752" s="142"/>
      <c r="C752" s="142"/>
      <c r="D752" s="142"/>
      <c r="E752" s="142"/>
      <c r="F752" s="142"/>
      <c r="G752" s="142"/>
      <c r="H752" s="142"/>
      <c r="I752" s="142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 spans="1:26" ht="15.75" customHeight="1" x14ac:dyDescent="0.55000000000000004">
      <c r="A753" s="142"/>
      <c r="B753" s="142"/>
      <c r="C753" s="142"/>
      <c r="D753" s="142"/>
      <c r="E753" s="142"/>
      <c r="F753" s="142"/>
      <c r="G753" s="142"/>
      <c r="H753" s="142"/>
      <c r="I753" s="142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 spans="1:26" ht="15.75" customHeight="1" x14ac:dyDescent="0.55000000000000004">
      <c r="A754" s="142"/>
      <c r="B754" s="142"/>
      <c r="C754" s="142"/>
      <c r="D754" s="142"/>
      <c r="E754" s="142"/>
      <c r="F754" s="142"/>
      <c r="G754" s="142"/>
      <c r="H754" s="142"/>
      <c r="I754" s="142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 spans="1:26" ht="15.75" customHeight="1" x14ac:dyDescent="0.55000000000000004">
      <c r="A755" s="142"/>
      <c r="B755" s="142"/>
      <c r="C755" s="142"/>
      <c r="D755" s="142"/>
      <c r="E755" s="142"/>
      <c r="F755" s="142"/>
      <c r="G755" s="142"/>
      <c r="H755" s="142"/>
      <c r="I755" s="142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 spans="1:26" ht="15.75" customHeight="1" x14ac:dyDescent="0.55000000000000004">
      <c r="A756" s="142"/>
      <c r="B756" s="142"/>
      <c r="C756" s="142"/>
      <c r="D756" s="142"/>
      <c r="E756" s="142"/>
      <c r="F756" s="142"/>
      <c r="G756" s="142"/>
      <c r="H756" s="142"/>
      <c r="I756" s="142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 spans="1:26" ht="15.75" customHeight="1" x14ac:dyDescent="0.55000000000000004">
      <c r="A757" s="142"/>
      <c r="B757" s="142"/>
      <c r="C757" s="142"/>
      <c r="D757" s="142"/>
      <c r="E757" s="142"/>
      <c r="F757" s="142"/>
      <c r="G757" s="142"/>
      <c r="H757" s="142"/>
      <c r="I757" s="142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 spans="1:26" ht="15.75" customHeight="1" x14ac:dyDescent="0.55000000000000004">
      <c r="A758" s="142"/>
      <c r="B758" s="142"/>
      <c r="C758" s="142"/>
      <c r="D758" s="142"/>
      <c r="E758" s="142"/>
      <c r="F758" s="142"/>
      <c r="G758" s="142"/>
      <c r="H758" s="142"/>
      <c r="I758" s="142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 spans="1:26" ht="15.75" customHeight="1" x14ac:dyDescent="0.55000000000000004">
      <c r="A759" s="142"/>
      <c r="B759" s="142"/>
      <c r="C759" s="142"/>
      <c r="D759" s="142"/>
      <c r="E759" s="142"/>
      <c r="F759" s="142"/>
      <c r="G759" s="142"/>
      <c r="H759" s="142"/>
      <c r="I759" s="142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 spans="1:26" ht="15.75" customHeight="1" x14ac:dyDescent="0.55000000000000004">
      <c r="A760" s="142"/>
      <c r="B760" s="142"/>
      <c r="C760" s="142"/>
      <c r="D760" s="142"/>
      <c r="E760" s="142"/>
      <c r="F760" s="142"/>
      <c r="G760" s="142"/>
      <c r="H760" s="142"/>
      <c r="I760" s="142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 spans="1:26" ht="15.75" customHeight="1" x14ac:dyDescent="0.55000000000000004">
      <c r="A761" s="142"/>
      <c r="B761" s="142"/>
      <c r="C761" s="142"/>
      <c r="D761" s="142"/>
      <c r="E761" s="142"/>
      <c r="F761" s="142"/>
      <c r="G761" s="142"/>
      <c r="H761" s="142"/>
      <c r="I761" s="142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 spans="1:26" ht="15.75" customHeight="1" x14ac:dyDescent="0.55000000000000004">
      <c r="A762" s="142"/>
      <c r="B762" s="142"/>
      <c r="C762" s="142"/>
      <c r="D762" s="142"/>
      <c r="E762" s="142"/>
      <c r="F762" s="142"/>
      <c r="G762" s="142"/>
      <c r="H762" s="142"/>
      <c r="I762" s="142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 spans="1:26" ht="15.75" customHeight="1" x14ac:dyDescent="0.55000000000000004">
      <c r="A763" s="142"/>
      <c r="B763" s="142"/>
      <c r="C763" s="142"/>
      <c r="D763" s="142"/>
      <c r="E763" s="142"/>
      <c r="F763" s="142"/>
      <c r="G763" s="142"/>
      <c r="H763" s="142"/>
      <c r="I763" s="142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 spans="1:26" ht="15.75" customHeight="1" x14ac:dyDescent="0.55000000000000004">
      <c r="A764" s="142"/>
      <c r="B764" s="142"/>
      <c r="C764" s="142"/>
      <c r="D764" s="142"/>
      <c r="E764" s="142"/>
      <c r="F764" s="142"/>
      <c r="G764" s="142"/>
      <c r="H764" s="142"/>
      <c r="I764" s="142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 spans="1:26" ht="15.75" customHeight="1" x14ac:dyDescent="0.55000000000000004">
      <c r="A765" s="142"/>
      <c r="B765" s="142"/>
      <c r="C765" s="142"/>
      <c r="D765" s="142"/>
      <c r="E765" s="142"/>
      <c r="F765" s="142"/>
      <c r="G765" s="142"/>
      <c r="H765" s="142"/>
      <c r="I765" s="142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 spans="1:26" ht="15.75" customHeight="1" x14ac:dyDescent="0.55000000000000004">
      <c r="A766" s="142"/>
      <c r="B766" s="142"/>
      <c r="C766" s="142"/>
      <c r="D766" s="142"/>
      <c r="E766" s="142"/>
      <c r="F766" s="142"/>
      <c r="G766" s="142"/>
      <c r="H766" s="142"/>
      <c r="I766" s="142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 spans="1:26" ht="15.75" customHeight="1" x14ac:dyDescent="0.55000000000000004">
      <c r="A767" s="142"/>
      <c r="B767" s="142"/>
      <c r="C767" s="142"/>
      <c r="D767" s="142"/>
      <c r="E767" s="142"/>
      <c r="F767" s="142"/>
      <c r="G767" s="142"/>
      <c r="H767" s="142"/>
      <c r="I767" s="142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 spans="1:26" ht="15.75" customHeight="1" x14ac:dyDescent="0.55000000000000004">
      <c r="A768" s="142"/>
      <c r="B768" s="142"/>
      <c r="C768" s="142"/>
      <c r="D768" s="142"/>
      <c r="E768" s="142"/>
      <c r="F768" s="142"/>
      <c r="G768" s="142"/>
      <c r="H768" s="142"/>
      <c r="I768" s="142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 spans="1:26" ht="15.75" customHeight="1" x14ac:dyDescent="0.55000000000000004">
      <c r="A769" s="142"/>
      <c r="B769" s="142"/>
      <c r="C769" s="142"/>
      <c r="D769" s="142"/>
      <c r="E769" s="142"/>
      <c r="F769" s="142"/>
      <c r="G769" s="142"/>
      <c r="H769" s="142"/>
      <c r="I769" s="142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 spans="1:26" ht="15.75" customHeight="1" x14ac:dyDescent="0.55000000000000004">
      <c r="A770" s="142"/>
      <c r="B770" s="142"/>
      <c r="C770" s="142"/>
      <c r="D770" s="142"/>
      <c r="E770" s="142"/>
      <c r="F770" s="142"/>
      <c r="G770" s="142"/>
      <c r="H770" s="142"/>
      <c r="I770" s="142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 spans="1:26" ht="15.75" customHeight="1" x14ac:dyDescent="0.55000000000000004">
      <c r="A771" s="142"/>
      <c r="B771" s="142"/>
      <c r="C771" s="142"/>
      <c r="D771" s="142"/>
      <c r="E771" s="142"/>
      <c r="F771" s="142"/>
      <c r="G771" s="142"/>
      <c r="H771" s="142"/>
      <c r="I771" s="142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 spans="1:26" ht="15.75" customHeight="1" x14ac:dyDescent="0.55000000000000004">
      <c r="A772" s="142"/>
      <c r="B772" s="142"/>
      <c r="C772" s="142"/>
      <c r="D772" s="142"/>
      <c r="E772" s="142"/>
      <c r="F772" s="142"/>
      <c r="G772" s="142"/>
      <c r="H772" s="142"/>
      <c r="I772" s="142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 spans="1:26" ht="15.75" customHeight="1" x14ac:dyDescent="0.55000000000000004">
      <c r="A773" s="142"/>
      <c r="B773" s="142"/>
      <c r="C773" s="142"/>
      <c r="D773" s="142"/>
      <c r="E773" s="142"/>
      <c r="F773" s="142"/>
      <c r="G773" s="142"/>
      <c r="H773" s="142"/>
      <c r="I773" s="142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 spans="1:26" ht="15.75" customHeight="1" x14ac:dyDescent="0.55000000000000004">
      <c r="A774" s="142"/>
      <c r="B774" s="142"/>
      <c r="C774" s="142"/>
      <c r="D774" s="142"/>
      <c r="E774" s="142"/>
      <c r="F774" s="142"/>
      <c r="G774" s="142"/>
      <c r="H774" s="142"/>
      <c r="I774" s="142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 spans="1:26" ht="15.75" customHeight="1" x14ac:dyDescent="0.55000000000000004">
      <c r="A775" s="142"/>
      <c r="B775" s="142"/>
      <c r="C775" s="142"/>
      <c r="D775" s="142"/>
      <c r="E775" s="142"/>
      <c r="F775" s="142"/>
      <c r="G775" s="142"/>
      <c r="H775" s="142"/>
      <c r="I775" s="142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 spans="1:26" ht="15.75" customHeight="1" x14ac:dyDescent="0.55000000000000004">
      <c r="A776" s="142"/>
      <c r="B776" s="142"/>
      <c r="C776" s="142"/>
      <c r="D776" s="142"/>
      <c r="E776" s="142"/>
      <c r="F776" s="142"/>
      <c r="G776" s="142"/>
      <c r="H776" s="142"/>
      <c r="I776" s="142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 spans="1:26" ht="15.75" customHeight="1" x14ac:dyDescent="0.55000000000000004">
      <c r="A777" s="142"/>
      <c r="B777" s="142"/>
      <c r="C777" s="142"/>
      <c r="D777" s="142"/>
      <c r="E777" s="142"/>
      <c r="F777" s="142"/>
      <c r="G777" s="142"/>
      <c r="H777" s="142"/>
      <c r="I777" s="142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 spans="1:26" ht="15.75" customHeight="1" x14ac:dyDescent="0.55000000000000004">
      <c r="A778" s="142"/>
      <c r="B778" s="142"/>
      <c r="C778" s="142"/>
      <c r="D778" s="142"/>
      <c r="E778" s="142"/>
      <c r="F778" s="142"/>
      <c r="G778" s="142"/>
      <c r="H778" s="142"/>
      <c r="I778" s="142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 spans="1:26" ht="15.75" customHeight="1" x14ac:dyDescent="0.55000000000000004">
      <c r="A779" s="142"/>
      <c r="B779" s="142"/>
      <c r="C779" s="142"/>
      <c r="D779" s="142"/>
      <c r="E779" s="142"/>
      <c r="F779" s="142"/>
      <c r="G779" s="142"/>
      <c r="H779" s="142"/>
      <c r="I779" s="142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 spans="1:26" ht="15.75" customHeight="1" x14ac:dyDescent="0.55000000000000004">
      <c r="A780" s="142"/>
      <c r="B780" s="142"/>
      <c r="C780" s="142"/>
      <c r="D780" s="142"/>
      <c r="E780" s="142"/>
      <c r="F780" s="142"/>
      <c r="G780" s="142"/>
      <c r="H780" s="142"/>
      <c r="I780" s="142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 spans="1:26" ht="15.75" customHeight="1" x14ac:dyDescent="0.55000000000000004">
      <c r="A781" s="142"/>
      <c r="B781" s="142"/>
      <c r="C781" s="142"/>
      <c r="D781" s="142"/>
      <c r="E781" s="142"/>
      <c r="F781" s="142"/>
      <c r="G781" s="142"/>
      <c r="H781" s="142"/>
      <c r="I781" s="142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 spans="1:26" ht="15.75" customHeight="1" x14ac:dyDescent="0.55000000000000004">
      <c r="A782" s="142"/>
      <c r="B782" s="142"/>
      <c r="C782" s="142"/>
      <c r="D782" s="142"/>
      <c r="E782" s="142"/>
      <c r="F782" s="142"/>
      <c r="G782" s="142"/>
      <c r="H782" s="142"/>
      <c r="I782" s="142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 spans="1:26" ht="15.75" customHeight="1" x14ac:dyDescent="0.55000000000000004">
      <c r="A783" s="142"/>
      <c r="B783" s="142"/>
      <c r="C783" s="142"/>
      <c r="D783" s="142"/>
      <c r="E783" s="142"/>
      <c r="F783" s="142"/>
      <c r="G783" s="142"/>
      <c r="H783" s="142"/>
      <c r="I783" s="142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 spans="1:26" ht="15.75" customHeight="1" x14ac:dyDescent="0.55000000000000004">
      <c r="A784" s="142"/>
      <c r="B784" s="142"/>
      <c r="C784" s="142"/>
      <c r="D784" s="142"/>
      <c r="E784" s="142"/>
      <c r="F784" s="142"/>
      <c r="G784" s="142"/>
      <c r="H784" s="142"/>
      <c r="I784" s="142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 spans="1:26" ht="15.75" customHeight="1" x14ac:dyDescent="0.55000000000000004">
      <c r="A785" s="142"/>
      <c r="B785" s="142"/>
      <c r="C785" s="142"/>
      <c r="D785" s="142"/>
      <c r="E785" s="142"/>
      <c r="F785" s="142"/>
      <c r="G785" s="142"/>
      <c r="H785" s="142"/>
      <c r="I785" s="142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 spans="1:26" ht="15.75" customHeight="1" x14ac:dyDescent="0.55000000000000004">
      <c r="A786" s="142"/>
      <c r="B786" s="142"/>
      <c r="C786" s="142"/>
      <c r="D786" s="142"/>
      <c r="E786" s="142"/>
      <c r="F786" s="142"/>
      <c r="G786" s="142"/>
      <c r="H786" s="142"/>
      <c r="I786" s="142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 spans="1:26" ht="15.75" customHeight="1" x14ac:dyDescent="0.55000000000000004">
      <c r="A787" s="142"/>
      <c r="B787" s="142"/>
      <c r="C787" s="142"/>
      <c r="D787" s="142"/>
      <c r="E787" s="142"/>
      <c r="F787" s="142"/>
      <c r="G787" s="142"/>
      <c r="H787" s="142"/>
      <c r="I787" s="142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 spans="1:26" ht="15.75" customHeight="1" x14ac:dyDescent="0.55000000000000004">
      <c r="A788" s="142"/>
      <c r="B788" s="142"/>
      <c r="C788" s="142"/>
      <c r="D788" s="142"/>
      <c r="E788" s="142"/>
      <c r="F788" s="142"/>
      <c r="G788" s="142"/>
      <c r="H788" s="142"/>
      <c r="I788" s="142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 spans="1:26" ht="15.75" customHeight="1" x14ac:dyDescent="0.55000000000000004">
      <c r="A789" s="142"/>
      <c r="B789" s="142"/>
      <c r="C789" s="142"/>
      <c r="D789" s="142"/>
      <c r="E789" s="142"/>
      <c r="F789" s="142"/>
      <c r="G789" s="142"/>
      <c r="H789" s="142"/>
      <c r="I789" s="142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 spans="1:26" ht="15.75" customHeight="1" x14ac:dyDescent="0.55000000000000004">
      <c r="A790" s="142"/>
      <c r="B790" s="142"/>
      <c r="C790" s="142"/>
      <c r="D790" s="142"/>
      <c r="E790" s="142"/>
      <c r="F790" s="142"/>
      <c r="G790" s="142"/>
      <c r="H790" s="142"/>
      <c r="I790" s="142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 spans="1:26" ht="15.75" customHeight="1" x14ac:dyDescent="0.55000000000000004">
      <c r="A791" s="142"/>
      <c r="B791" s="142"/>
      <c r="C791" s="142"/>
      <c r="D791" s="142"/>
      <c r="E791" s="142"/>
      <c r="F791" s="142"/>
      <c r="G791" s="142"/>
      <c r="H791" s="142"/>
      <c r="I791" s="142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 spans="1:26" ht="15.75" customHeight="1" x14ac:dyDescent="0.55000000000000004">
      <c r="A792" s="142"/>
      <c r="B792" s="142"/>
      <c r="C792" s="142"/>
      <c r="D792" s="142"/>
      <c r="E792" s="142"/>
      <c r="F792" s="142"/>
      <c r="G792" s="142"/>
      <c r="H792" s="142"/>
      <c r="I792" s="142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 spans="1:26" ht="15.75" customHeight="1" x14ac:dyDescent="0.55000000000000004">
      <c r="A793" s="142"/>
      <c r="B793" s="142"/>
      <c r="C793" s="142"/>
      <c r="D793" s="142"/>
      <c r="E793" s="142"/>
      <c r="F793" s="142"/>
      <c r="G793" s="142"/>
      <c r="H793" s="142"/>
      <c r="I793" s="142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 spans="1:26" ht="15.75" customHeight="1" x14ac:dyDescent="0.55000000000000004">
      <c r="A794" s="142"/>
      <c r="B794" s="142"/>
      <c r="C794" s="142"/>
      <c r="D794" s="142"/>
      <c r="E794" s="142"/>
      <c r="F794" s="142"/>
      <c r="G794" s="142"/>
      <c r="H794" s="142"/>
      <c r="I794" s="142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 spans="1:26" ht="15.75" customHeight="1" x14ac:dyDescent="0.55000000000000004">
      <c r="A795" s="142"/>
      <c r="B795" s="142"/>
      <c r="C795" s="142"/>
      <c r="D795" s="142"/>
      <c r="E795" s="142"/>
      <c r="F795" s="142"/>
      <c r="G795" s="142"/>
      <c r="H795" s="142"/>
      <c r="I795" s="142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 spans="1:26" ht="15.75" customHeight="1" x14ac:dyDescent="0.55000000000000004">
      <c r="A796" s="142"/>
      <c r="B796" s="142"/>
      <c r="C796" s="142"/>
      <c r="D796" s="142"/>
      <c r="E796" s="142"/>
      <c r="F796" s="142"/>
      <c r="G796" s="142"/>
      <c r="H796" s="142"/>
      <c r="I796" s="142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 spans="1:26" ht="15.75" customHeight="1" x14ac:dyDescent="0.55000000000000004">
      <c r="A797" s="142"/>
      <c r="B797" s="142"/>
      <c r="C797" s="142"/>
      <c r="D797" s="142"/>
      <c r="E797" s="142"/>
      <c r="F797" s="142"/>
      <c r="G797" s="142"/>
      <c r="H797" s="142"/>
      <c r="I797" s="142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 spans="1:26" ht="15.75" customHeight="1" x14ac:dyDescent="0.55000000000000004">
      <c r="A798" s="142"/>
      <c r="B798" s="142"/>
      <c r="C798" s="142"/>
      <c r="D798" s="142"/>
      <c r="E798" s="142"/>
      <c r="F798" s="142"/>
      <c r="G798" s="142"/>
      <c r="H798" s="142"/>
      <c r="I798" s="142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 spans="1:26" ht="15.75" customHeight="1" x14ac:dyDescent="0.55000000000000004">
      <c r="A799" s="142"/>
      <c r="B799" s="142"/>
      <c r="C799" s="142"/>
      <c r="D799" s="142"/>
      <c r="E799" s="142"/>
      <c r="F799" s="142"/>
      <c r="G799" s="142"/>
      <c r="H799" s="142"/>
      <c r="I799" s="142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 spans="1:26" ht="15.75" customHeight="1" x14ac:dyDescent="0.55000000000000004">
      <c r="A800" s="142"/>
      <c r="B800" s="142"/>
      <c r="C800" s="142"/>
      <c r="D800" s="142"/>
      <c r="E800" s="142"/>
      <c r="F800" s="142"/>
      <c r="G800" s="142"/>
      <c r="H800" s="142"/>
      <c r="I800" s="142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 spans="1:26" ht="15.75" customHeight="1" x14ac:dyDescent="0.55000000000000004">
      <c r="A801" s="142"/>
      <c r="B801" s="142"/>
      <c r="C801" s="142"/>
      <c r="D801" s="142"/>
      <c r="E801" s="142"/>
      <c r="F801" s="142"/>
      <c r="G801" s="142"/>
      <c r="H801" s="142"/>
      <c r="I801" s="142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 spans="1:26" ht="15.75" customHeight="1" x14ac:dyDescent="0.55000000000000004">
      <c r="A802" s="142"/>
      <c r="B802" s="142"/>
      <c r="C802" s="142"/>
      <c r="D802" s="142"/>
      <c r="E802" s="142"/>
      <c r="F802" s="142"/>
      <c r="G802" s="142"/>
      <c r="H802" s="142"/>
      <c r="I802" s="142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 spans="1:26" ht="15.75" customHeight="1" x14ac:dyDescent="0.55000000000000004">
      <c r="A803" s="142"/>
      <c r="B803" s="142"/>
      <c r="C803" s="142"/>
      <c r="D803" s="142"/>
      <c r="E803" s="142"/>
      <c r="F803" s="142"/>
      <c r="G803" s="142"/>
      <c r="H803" s="142"/>
      <c r="I803" s="142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 spans="1:26" ht="15.75" customHeight="1" x14ac:dyDescent="0.55000000000000004">
      <c r="A804" s="142"/>
      <c r="B804" s="142"/>
      <c r="C804" s="142"/>
      <c r="D804" s="142"/>
      <c r="E804" s="142"/>
      <c r="F804" s="142"/>
      <c r="G804" s="142"/>
      <c r="H804" s="142"/>
      <c r="I804" s="142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 spans="1:26" ht="15.75" customHeight="1" x14ac:dyDescent="0.55000000000000004">
      <c r="A805" s="142"/>
      <c r="B805" s="142"/>
      <c r="C805" s="142"/>
      <c r="D805" s="142"/>
      <c r="E805" s="142"/>
      <c r="F805" s="142"/>
      <c r="G805" s="142"/>
      <c r="H805" s="142"/>
      <c r="I805" s="142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 spans="1:26" ht="15.75" customHeight="1" x14ac:dyDescent="0.55000000000000004">
      <c r="A806" s="142"/>
      <c r="B806" s="142"/>
      <c r="C806" s="142"/>
      <c r="D806" s="142"/>
      <c r="E806" s="142"/>
      <c r="F806" s="142"/>
      <c r="G806" s="142"/>
      <c r="H806" s="142"/>
      <c r="I806" s="142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 spans="1:26" ht="15.75" customHeight="1" x14ac:dyDescent="0.55000000000000004">
      <c r="A807" s="142"/>
      <c r="B807" s="142"/>
      <c r="C807" s="142"/>
      <c r="D807" s="142"/>
      <c r="E807" s="142"/>
      <c r="F807" s="142"/>
      <c r="G807" s="142"/>
      <c r="H807" s="142"/>
      <c r="I807" s="142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 spans="1:26" ht="15.75" customHeight="1" x14ac:dyDescent="0.55000000000000004">
      <c r="A808" s="142"/>
      <c r="B808" s="142"/>
      <c r="C808" s="142"/>
      <c r="D808" s="142"/>
      <c r="E808" s="142"/>
      <c r="F808" s="142"/>
      <c r="G808" s="142"/>
      <c r="H808" s="142"/>
      <c r="I808" s="142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 spans="1:26" ht="15.75" customHeight="1" x14ac:dyDescent="0.55000000000000004">
      <c r="A809" s="142"/>
      <c r="B809" s="142"/>
      <c r="C809" s="142"/>
      <c r="D809" s="142"/>
      <c r="E809" s="142"/>
      <c r="F809" s="142"/>
      <c r="G809" s="142"/>
      <c r="H809" s="142"/>
      <c r="I809" s="142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 spans="1:26" ht="15.75" customHeight="1" x14ac:dyDescent="0.55000000000000004">
      <c r="A810" s="142"/>
      <c r="B810" s="142"/>
      <c r="C810" s="142"/>
      <c r="D810" s="142"/>
      <c r="E810" s="142"/>
      <c r="F810" s="142"/>
      <c r="G810" s="142"/>
      <c r="H810" s="142"/>
      <c r="I810" s="142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 spans="1:26" ht="15.75" customHeight="1" x14ac:dyDescent="0.55000000000000004">
      <c r="A811" s="142"/>
      <c r="B811" s="142"/>
      <c r="C811" s="142"/>
      <c r="D811" s="142"/>
      <c r="E811" s="142"/>
      <c r="F811" s="142"/>
      <c r="G811" s="142"/>
      <c r="H811" s="142"/>
      <c r="I811" s="142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 spans="1:26" ht="15.75" customHeight="1" x14ac:dyDescent="0.55000000000000004">
      <c r="A812" s="142"/>
      <c r="B812" s="142"/>
      <c r="C812" s="142"/>
      <c r="D812" s="142"/>
      <c r="E812" s="142"/>
      <c r="F812" s="142"/>
      <c r="G812" s="142"/>
      <c r="H812" s="142"/>
      <c r="I812" s="142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 spans="1:26" ht="15.75" customHeight="1" x14ac:dyDescent="0.55000000000000004">
      <c r="A813" s="142"/>
      <c r="B813" s="142"/>
      <c r="C813" s="142"/>
      <c r="D813" s="142"/>
      <c r="E813" s="142"/>
      <c r="F813" s="142"/>
      <c r="G813" s="142"/>
      <c r="H813" s="142"/>
      <c r="I813" s="142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 spans="1:26" ht="15.75" customHeight="1" x14ac:dyDescent="0.55000000000000004">
      <c r="A814" s="142"/>
      <c r="B814" s="142"/>
      <c r="C814" s="142"/>
      <c r="D814" s="142"/>
      <c r="E814" s="142"/>
      <c r="F814" s="142"/>
      <c r="G814" s="142"/>
      <c r="H814" s="142"/>
      <c r="I814" s="142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 spans="1:26" ht="15.75" customHeight="1" x14ac:dyDescent="0.55000000000000004">
      <c r="A815" s="142"/>
      <c r="B815" s="142"/>
      <c r="C815" s="142"/>
      <c r="D815" s="142"/>
      <c r="E815" s="142"/>
      <c r="F815" s="142"/>
      <c r="G815" s="142"/>
      <c r="H815" s="142"/>
      <c r="I815" s="142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 spans="1:26" ht="15.75" customHeight="1" x14ac:dyDescent="0.55000000000000004">
      <c r="A816" s="142"/>
      <c r="B816" s="142"/>
      <c r="C816" s="142"/>
      <c r="D816" s="142"/>
      <c r="E816" s="142"/>
      <c r="F816" s="142"/>
      <c r="G816" s="142"/>
      <c r="H816" s="142"/>
      <c r="I816" s="142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 spans="1:26" ht="15.75" customHeight="1" x14ac:dyDescent="0.55000000000000004">
      <c r="A817" s="142"/>
      <c r="B817" s="142"/>
      <c r="C817" s="142"/>
      <c r="D817" s="142"/>
      <c r="E817" s="142"/>
      <c r="F817" s="142"/>
      <c r="G817" s="142"/>
      <c r="H817" s="142"/>
      <c r="I817" s="142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 spans="1:26" ht="15.75" customHeight="1" x14ac:dyDescent="0.55000000000000004">
      <c r="A818" s="142"/>
      <c r="B818" s="142"/>
      <c r="C818" s="142"/>
      <c r="D818" s="142"/>
      <c r="E818" s="142"/>
      <c r="F818" s="142"/>
      <c r="G818" s="142"/>
      <c r="H818" s="142"/>
      <c r="I818" s="142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 spans="1:26" ht="15.75" customHeight="1" x14ac:dyDescent="0.55000000000000004">
      <c r="A819" s="142"/>
      <c r="B819" s="142"/>
      <c r="C819" s="142"/>
      <c r="D819" s="142"/>
      <c r="E819" s="142"/>
      <c r="F819" s="142"/>
      <c r="G819" s="142"/>
      <c r="H819" s="142"/>
      <c r="I819" s="142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 spans="1:26" ht="15.75" customHeight="1" x14ac:dyDescent="0.55000000000000004">
      <c r="A820" s="142"/>
      <c r="B820" s="142"/>
      <c r="C820" s="142"/>
      <c r="D820" s="142"/>
      <c r="E820" s="142"/>
      <c r="F820" s="142"/>
      <c r="G820" s="142"/>
      <c r="H820" s="142"/>
      <c r="I820" s="142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 spans="1:26" ht="15.75" customHeight="1" x14ac:dyDescent="0.55000000000000004">
      <c r="A821" s="142"/>
      <c r="B821" s="142"/>
      <c r="C821" s="142"/>
      <c r="D821" s="142"/>
      <c r="E821" s="142"/>
      <c r="F821" s="142"/>
      <c r="G821" s="142"/>
      <c r="H821" s="142"/>
      <c r="I821" s="142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 spans="1:26" ht="15.75" customHeight="1" x14ac:dyDescent="0.55000000000000004">
      <c r="A822" s="142"/>
      <c r="B822" s="142"/>
      <c r="C822" s="142"/>
      <c r="D822" s="142"/>
      <c r="E822" s="142"/>
      <c r="F822" s="142"/>
      <c r="G822" s="142"/>
      <c r="H822" s="142"/>
      <c r="I822" s="142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 spans="1:26" ht="15.75" customHeight="1" x14ac:dyDescent="0.55000000000000004">
      <c r="A823" s="142"/>
      <c r="B823" s="142"/>
      <c r="C823" s="142"/>
      <c r="D823" s="142"/>
      <c r="E823" s="142"/>
      <c r="F823" s="142"/>
      <c r="G823" s="142"/>
      <c r="H823" s="142"/>
      <c r="I823" s="142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 spans="1:26" ht="15.75" customHeight="1" x14ac:dyDescent="0.55000000000000004">
      <c r="A824" s="142"/>
      <c r="B824" s="142"/>
      <c r="C824" s="142"/>
      <c r="D824" s="142"/>
      <c r="E824" s="142"/>
      <c r="F824" s="142"/>
      <c r="G824" s="142"/>
      <c r="H824" s="142"/>
      <c r="I824" s="142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 spans="1:26" ht="15.75" customHeight="1" x14ac:dyDescent="0.55000000000000004">
      <c r="A825" s="142"/>
      <c r="B825" s="142"/>
      <c r="C825" s="142"/>
      <c r="D825" s="142"/>
      <c r="E825" s="142"/>
      <c r="F825" s="142"/>
      <c r="G825" s="142"/>
      <c r="H825" s="142"/>
      <c r="I825" s="142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 spans="1:26" ht="15.75" customHeight="1" x14ac:dyDescent="0.55000000000000004">
      <c r="A826" s="142"/>
      <c r="B826" s="142"/>
      <c r="C826" s="142"/>
      <c r="D826" s="142"/>
      <c r="E826" s="142"/>
      <c r="F826" s="142"/>
      <c r="G826" s="142"/>
      <c r="H826" s="142"/>
      <c r="I826" s="142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 spans="1:26" ht="15.75" customHeight="1" x14ac:dyDescent="0.55000000000000004">
      <c r="A827" s="142"/>
      <c r="B827" s="142"/>
      <c r="C827" s="142"/>
      <c r="D827" s="142"/>
      <c r="E827" s="142"/>
      <c r="F827" s="142"/>
      <c r="G827" s="142"/>
      <c r="H827" s="142"/>
      <c r="I827" s="142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 spans="1:26" ht="15.75" customHeight="1" x14ac:dyDescent="0.55000000000000004">
      <c r="A828" s="142"/>
      <c r="B828" s="142"/>
      <c r="C828" s="142"/>
      <c r="D828" s="142"/>
      <c r="E828" s="142"/>
      <c r="F828" s="142"/>
      <c r="G828" s="142"/>
      <c r="H828" s="142"/>
      <c r="I828" s="142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 spans="1:26" ht="15.75" customHeight="1" x14ac:dyDescent="0.55000000000000004">
      <c r="A829" s="142"/>
      <c r="B829" s="142"/>
      <c r="C829" s="142"/>
      <c r="D829" s="142"/>
      <c r="E829" s="142"/>
      <c r="F829" s="142"/>
      <c r="G829" s="142"/>
      <c r="H829" s="142"/>
      <c r="I829" s="142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 spans="1:26" ht="15.75" customHeight="1" x14ac:dyDescent="0.55000000000000004">
      <c r="A830" s="142"/>
      <c r="B830" s="142"/>
      <c r="C830" s="142"/>
      <c r="D830" s="142"/>
      <c r="E830" s="142"/>
      <c r="F830" s="142"/>
      <c r="G830" s="142"/>
      <c r="H830" s="142"/>
      <c r="I830" s="142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 spans="1:26" ht="15.75" customHeight="1" x14ac:dyDescent="0.55000000000000004">
      <c r="A831" s="142"/>
      <c r="B831" s="142"/>
      <c r="C831" s="142"/>
      <c r="D831" s="142"/>
      <c r="E831" s="142"/>
      <c r="F831" s="142"/>
      <c r="G831" s="142"/>
      <c r="H831" s="142"/>
      <c r="I831" s="142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 spans="1:26" ht="15.75" customHeight="1" x14ac:dyDescent="0.55000000000000004">
      <c r="A832" s="142"/>
      <c r="B832" s="142"/>
      <c r="C832" s="142"/>
      <c r="D832" s="142"/>
      <c r="E832" s="142"/>
      <c r="F832" s="142"/>
      <c r="G832" s="142"/>
      <c r="H832" s="142"/>
      <c r="I832" s="142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 spans="1:26" ht="15.75" customHeight="1" x14ac:dyDescent="0.55000000000000004">
      <c r="A833" s="142"/>
      <c r="B833" s="142"/>
      <c r="C833" s="142"/>
      <c r="D833" s="142"/>
      <c r="E833" s="142"/>
      <c r="F833" s="142"/>
      <c r="G833" s="142"/>
      <c r="H833" s="142"/>
      <c r="I833" s="142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 spans="1:26" ht="15.75" customHeight="1" x14ac:dyDescent="0.55000000000000004">
      <c r="A834" s="142"/>
      <c r="B834" s="142"/>
      <c r="C834" s="142"/>
      <c r="D834" s="142"/>
      <c r="E834" s="142"/>
      <c r="F834" s="142"/>
      <c r="G834" s="142"/>
      <c r="H834" s="142"/>
      <c r="I834" s="142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 spans="1:26" ht="15.75" customHeight="1" x14ac:dyDescent="0.55000000000000004">
      <c r="A835" s="142"/>
      <c r="B835" s="142"/>
      <c r="C835" s="142"/>
      <c r="D835" s="142"/>
      <c r="E835" s="142"/>
      <c r="F835" s="142"/>
      <c r="G835" s="142"/>
      <c r="H835" s="142"/>
      <c r="I835" s="142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 spans="1:26" ht="15.75" customHeight="1" x14ac:dyDescent="0.55000000000000004">
      <c r="A836" s="142"/>
      <c r="B836" s="142"/>
      <c r="C836" s="142"/>
      <c r="D836" s="142"/>
      <c r="E836" s="142"/>
      <c r="F836" s="142"/>
      <c r="G836" s="142"/>
      <c r="H836" s="142"/>
      <c r="I836" s="142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 spans="1:26" ht="15.75" customHeight="1" x14ac:dyDescent="0.55000000000000004">
      <c r="A837" s="142"/>
      <c r="B837" s="142"/>
      <c r="C837" s="142"/>
      <c r="D837" s="142"/>
      <c r="E837" s="142"/>
      <c r="F837" s="142"/>
      <c r="G837" s="142"/>
      <c r="H837" s="142"/>
      <c r="I837" s="142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 spans="1:26" ht="15.75" customHeight="1" x14ac:dyDescent="0.55000000000000004">
      <c r="A838" s="142"/>
      <c r="B838" s="142"/>
      <c r="C838" s="142"/>
      <c r="D838" s="142"/>
      <c r="E838" s="142"/>
      <c r="F838" s="142"/>
      <c r="G838" s="142"/>
      <c r="H838" s="142"/>
      <c r="I838" s="142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 spans="1:26" ht="15.75" customHeight="1" x14ac:dyDescent="0.55000000000000004">
      <c r="A839" s="142"/>
      <c r="B839" s="142"/>
      <c r="C839" s="142"/>
      <c r="D839" s="142"/>
      <c r="E839" s="142"/>
      <c r="F839" s="142"/>
      <c r="G839" s="142"/>
      <c r="H839" s="142"/>
      <c r="I839" s="142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 spans="1:26" ht="15.75" customHeight="1" x14ac:dyDescent="0.55000000000000004">
      <c r="A840" s="142"/>
      <c r="B840" s="142"/>
      <c r="C840" s="142"/>
      <c r="D840" s="142"/>
      <c r="E840" s="142"/>
      <c r="F840" s="142"/>
      <c r="G840" s="142"/>
      <c r="H840" s="142"/>
      <c r="I840" s="142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 spans="1:26" ht="15.75" customHeight="1" x14ac:dyDescent="0.55000000000000004">
      <c r="A841" s="142"/>
      <c r="B841" s="142"/>
      <c r="C841" s="142"/>
      <c r="D841" s="142"/>
      <c r="E841" s="142"/>
      <c r="F841" s="142"/>
      <c r="G841" s="142"/>
      <c r="H841" s="142"/>
      <c r="I841" s="142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 spans="1:26" ht="15.75" customHeight="1" x14ac:dyDescent="0.55000000000000004">
      <c r="A842" s="142"/>
      <c r="B842" s="142"/>
      <c r="C842" s="142"/>
      <c r="D842" s="142"/>
      <c r="E842" s="142"/>
      <c r="F842" s="142"/>
      <c r="G842" s="142"/>
      <c r="H842" s="142"/>
      <c r="I842" s="142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 spans="1:26" ht="15.75" customHeight="1" x14ac:dyDescent="0.55000000000000004">
      <c r="A843" s="142"/>
      <c r="B843" s="142"/>
      <c r="C843" s="142"/>
      <c r="D843" s="142"/>
      <c r="E843" s="142"/>
      <c r="F843" s="142"/>
      <c r="G843" s="142"/>
      <c r="H843" s="142"/>
      <c r="I843" s="142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 spans="1:26" ht="15.75" customHeight="1" x14ac:dyDescent="0.55000000000000004">
      <c r="A844" s="142"/>
      <c r="B844" s="142"/>
      <c r="C844" s="142"/>
      <c r="D844" s="142"/>
      <c r="E844" s="142"/>
      <c r="F844" s="142"/>
      <c r="G844" s="142"/>
      <c r="H844" s="142"/>
      <c r="I844" s="142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 spans="1:26" ht="15.75" customHeight="1" x14ac:dyDescent="0.55000000000000004">
      <c r="A845" s="142"/>
      <c r="B845" s="142"/>
      <c r="C845" s="142"/>
      <c r="D845" s="142"/>
      <c r="E845" s="142"/>
      <c r="F845" s="142"/>
      <c r="G845" s="142"/>
      <c r="H845" s="142"/>
      <c r="I845" s="142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 spans="1:26" ht="15.75" customHeight="1" x14ac:dyDescent="0.55000000000000004">
      <c r="A846" s="142"/>
      <c r="B846" s="142"/>
      <c r="C846" s="142"/>
      <c r="D846" s="142"/>
      <c r="E846" s="142"/>
      <c r="F846" s="142"/>
      <c r="G846" s="142"/>
      <c r="H846" s="142"/>
      <c r="I846" s="142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 spans="1:26" ht="15.75" customHeight="1" x14ac:dyDescent="0.55000000000000004">
      <c r="A847" s="142"/>
      <c r="B847" s="142"/>
      <c r="C847" s="142"/>
      <c r="D847" s="142"/>
      <c r="E847" s="142"/>
      <c r="F847" s="142"/>
      <c r="G847" s="142"/>
      <c r="H847" s="142"/>
      <c r="I847" s="142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 spans="1:26" ht="15.75" customHeight="1" x14ac:dyDescent="0.55000000000000004">
      <c r="A848" s="142"/>
      <c r="B848" s="142"/>
      <c r="C848" s="142"/>
      <c r="D848" s="142"/>
      <c r="E848" s="142"/>
      <c r="F848" s="142"/>
      <c r="G848" s="142"/>
      <c r="H848" s="142"/>
      <c r="I848" s="142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 spans="1:26" ht="15.75" customHeight="1" x14ac:dyDescent="0.55000000000000004">
      <c r="A849" s="142"/>
      <c r="B849" s="142"/>
      <c r="C849" s="142"/>
      <c r="D849" s="142"/>
      <c r="E849" s="142"/>
      <c r="F849" s="142"/>
      <c r="G849" s="142"/>
      <c r="H849" s="142"/>
      <c r="I849" s="142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 spans="1:26" ht="15.75" customHeight="1" x14ac:dyDescent="0.55000000000000004">
      <c r="A850" s="142"/>
      <c r="B850" s="142"/>
      <c r="C850" s="142"/>
      <c r="D850" s="142"/>
      <c r="E850" s="142"/>
      <c r="F850" s="142"/>
      <c r="G850" s="142"/>
      <c r="H850" s="142"/>
      <c r="I850" s="142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 spans="1:26" ht="15.75" customHeight="1" x14ac:dyDescent="0.55000000000000004">
      <c r="A851" s="142"/>
      <c r="B851" s="142"/>
      <c r="C851" s="142"/>
      <c r="D851" s="142"/>
      <c r="E851" s="142"/>
      <c r="F851" s="142"/>
      <c r="G851" s="142"/>
      <c r="H851" s="142"/>
      <c r="I851" s="142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 spans="1:26" ht="15.75" customHeight="1" x14ac:dyDescent="0.55000000000000004">
      <c r="A852" s="142"/>
      <c r="B852" s="142"/>
      <c r="C852" s="142"/>
      <c r="D852" s="142"/>
      <c r="E852" s="142"/>
      <c r="F852" s="142"/>
      <c r="G852" s="142"/>
      <c r="H852" s="142"/>
      <c r="I852" s="142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 spans="1:26" ht="15.75" customHeight="1" x14ac:dyDescent="0.55000000000000004">
      <c r="A853" s="142"/>
      <c r="B853" s="142"/>
      <c r="C853" s="142"/>
      <c r="D853" s="142"/>
      <c r="E853" s="142"/>
      <c r="F853" s="142"/>
      <c r="G853" s="142"/>
      <c r="H853" s="142"/>
      <c r="I853" s="142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 spans="1:26" ht="15.75" customHeight="1" x14ac:dyDescent="0.55000000000000004">
      <c r="A854" s="142"/>
      <c r="B854" s="142"/>
      <c r="C854" s="142"/>
      <c r="D854" s="142"/>
      <c r="E854" s="142"/>
      <c r="F854" s="142"/>
      <c r="G854" s="142"/>
      <c r="H854" s="142"/>
      <c r="I854" s="142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 spans="1:26" ht="15.75" customHeight="1" x14ac:dyDescent="0.55000000000000004">
      <c r="A855" s="142"/>
      <c r="B855" s="142"/>
      <c r="C855" s="142"/>
      <c r="D855" s="142"/>
      <c r="E855" s="142"/>
      <c r="F855" s="142"/>
      <c r="G855" s="142"/>
      <c r="H855" s="142"/>
      <c r="I855" s="142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 spans="1:26" ht="15.75" customHeight="1" x14ac:dyDescent="0.55000000000000004">
      <c r="A856" s="142"/>
      <c r="B856" s="142"/>
      <c r="C856" s="142"/>
      <c r="D856" s="142"/>
      <c r="E856" s="142"/>
      <c r="F856" s="142"/>
      <c r="G856" s="142"/>
      <c r="H856" s="142"/>
      <c r="I856" s="142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 spans="1:26" ht="15.75" customHeight="1" x14ac:dyDescent="0.55000000000000004">
      <c r="A857" s="142"/>
      <c r="B857" s="142"/>
      <c r="C857" s="142"/>
      <c r="D857" s="142"/>
      <c r="E857" s="142"/>
      <c r="F857" s="142"/>
      <c r="G857" s="142"/>
      <c r="H857" s="142"/>
      <c r="I857" s="142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 spans="1:26" ht="15.75" customHeight="1" x14ac:dyDescent="0.55000000000000004">
      <c r="A858" s="142"/>
      <c r="B858" s="142"/>
      <c r="C858" s="142"/>
      <c r="D858" s="142"/>
      <c r="E858" s="142"/>
      <c r="F858" s="142"/>
      <c r="G858" s="142"/>
      <c r="H858" s="142"/>
      <c r="I858" s="142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 spans="1:26" ht="15.75" customHeight="1" x14ac:dyDescent="0.55000000000000004">
      <c r="A859" s="142"/>
      <c r="B859" s="142"/>
      <c r="C859" s="142"/>
      <c r="D859" s="142"/>
      <c r="E859" s="142"/>
      <c r="F859" s="142"/>
      <c r="G859" s="142"/>
      <c r="H859" s="142"/>
      <c r="I859" s="142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 spans="1:26" ht="15.75" customHeight="1" x14ac:dyDescent="0.55000000000000004">
      <c r="A860" s="142"/>
      <c r="B860" s="142"/>
      <c r="C860" s="142"/>
      <c r="D860" s="142"/>
      <c r="E860" s="142"/>
      <c r="F860" s="142"/>
      <c r="G860" s="142"/>
      <c r="H860" s="142"/>
      <c r="I860" s="142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 spans="1:26" ht="15.75" customHeight="1" x14ac:dyDescent="0.55000000000000004">
      <c r="A861" s="142"/>
      <c r="B861" s="142"/>
      <c r="C861" s="142"/>
      <c r="D861" s="142"/>
      <c r="E861" s="142"/>
      <c r="F861" s="142"/>
      <c r="G861" s="142"/>
      <c r="H861" s="142"/>
      <c r="I861" s="142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 spans="1:26" ht="15.75" customHeight="1" x14ac:dyDescent="0.55000000000000004">
      <c r="A862" s="142"/>
      <c r="B862" s="142"/>
      <c r="C862" s="142"/>
      <c r="D862" s="142"/>
      <c r="E862" s="142"/>
      <c r="F862" s="142"/>
      <c r="G862" s="142"/>
      <c r="H862" s="142"/>
      <c r="I862" s="142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 spans="1:26" ht="15.75" customHeight="1" x14ac:dyDescent="0.55000000000000004">
      <c r="A863" s="142"/>
      <c r="B863" s="142"/>
      <c r="C863" s="142"/>
      <c r="D863" s="142"/>
      <c r="E863" s="142"/>
      <c r="F863" s="142"/>
      <c r="G863" s="142"/>
      <c r="H863" s="142"/>
      <c r="I863" s="142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 spans="1:26" ht="15.75" customHeight="1" x14ac:dyDescent="0.55000000000000004">
      <c r="A864" s="142"/>
      <c r="B864" s="142"/>
      <c r="C864" s="142"/>
      <c r="D864" s="142"/>
      <c r="E864" s="142"/>
      <c r="F864" s="142"/>
      <c r="G864" s="142"/>
      <c r="H864" s="142"/>
      <c r="I864" s="142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 spans="1:26" ht="15.75" customHeight="1" x14ac:dyDescent="0.55000000000000004">
      <c r="A865" s="142"/>
      <c r="B865" s="142"/>
      <c r="C865" s="142"/>
      <c r="D865" s="142"/>
      <c r="E865" s="142"/>
      <c r="F865" s="142"/>
      <c r="G865" s="142"/>
      <c r="H865" s="142"/>
      <c r="I865" s="142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 spans="1:26" ht="15.75" customHeight="1" x14ac:dyDescent="0.55000000000000004">
      <c r="A866" s="142"/>
      <c r="B866" s="142"/>
      <c r="C866" s="142"/>
      <c r="D866" s="142"/>
      <c r="E866" s="142"/>
      <c r="F866" s="142"/>
      <c r="G866" s="142"/>
      <c r="H866" s="142"/>
      <c r="I866" s="142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 spans="1:26" ht="15.75" customHeight="1" x14ac:dyDescent="0.55000000000000004">
      <c r="A867" s="142"/>
      <c r="B867" s="142"/>
      <c r="C867" s="142"/>
      <c r="D867" s="142"/>
      <c r="E867" s="142"/>
      <c r="F867" s="142"/>
      <c r="G867" s="142"/>
      <c r="H867" s="142"/>
      <c r="I867" s="142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 spans="1:26" ht="15.75" customHeight="1" x14ac:dyDescent="0.55000000000000004">
      <c r="A868" s="142"/>
      <c r="B868" s="142"/>
      <c r="C868" s="142"/>
      <c r="D868" s="142"/>
      <c r="E868" s="142"/>
      <c r="F868" s="142"/>
      <c r="G868" s="142"/>
      <c r="H868" s="142"/>
      <c r="I868" s="142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 spans="1:26" ht="15.75" customHeight="1" x14ac:dyDescent="0.55000000000000004">
      <c r="A869" s="142"/>
      <c r="B869" s="142"/>
      <c r="C869" s="142"/>
      <c r="D869" s="142"/>
      <c r="E869" s="142"/>
      <c r="F869" s="142"/>
      <c r="G869" s="142"/>
      <c r="H869" s="142"/>
      <c r="I869" s="142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 spans="1:26" ht="15.75" customHeight="1" x14ac:dyDescent="0.55000000000000004">
      <c r="A870" s="142"/>
      <c r="B870" s="142"/>
      <c r="C870" s="142"/>
      <c r="D870" s="142"/>
      <c r="E870" s="142"/>
      <c r="F870" s="142"/>
      <c r="G870" s="142"/>
      <c r="H870" s="142"/>
      <c r="I870" s="142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 spans="1:26" ht="15.75" customHeight="1" x14ac:dyDescent="0.55000000000000004">
      <c r="A871" s="142"/>
      <c r="B871" s="142"/>
      <c r="C871" s="142"/>
      <c r="D871" s="142"/>
      <c r="E871" s="142"/>
      <c r="F871" s="142"/>
      <c r="G871" s="142"/>
      <c r="H871" s="142"/>
      <c r="I871" s="142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 spans="1:26" ht="15.75" customHeight="1" x14ac:dyDescent="0.55000000000000004">
      <c r="A872" s="142"/>
      <c r="B872" s="142"/>
      <c r="C872" s="142"/>
      <c r="D872" s="142"/>
      <c r="E872" s="142"/>
      <c r="F872" s="142"/>
      <c r="G872" s="142"/>
      <c r="H872" s="142"/>
      <c r="I872" s="142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 spans="1:26" ht="15.75" customHeight="1" x14ac:dyDescent="0.55000000000000004">
      <c r="A873" s="142"/>
      <c r="B873" s="142"/>
      <c r="C873" s="142"/>
      <c r="D873" s="142"/>
      <c r="E873" s="142"/>
      <c r="F873" s="142"/>
      <c r="G873" s="142"/>
      <c r="H873" s="142"/>
      <c r="I873" s="142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 spans="1:26" ht="15.75" customHeight="1" x14ac:dyDescent="0.55000000000000004">
      <c r="A874" s="142"/>
      <c r="B874" s="142"/>
      <c r="C874" s="142"/>
      <c r="D874" s="142"/>
      <c r="E874" s="142"/>
      <c r="F874" s="142"/>
      <c r="G874" s="142"/>
      <c r="H874" s="142"/>
      <c r="I874" s="142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 spans="1:26" ht="15.75" customHeight="1" x14ac:dyDescent="0.55000000000000004">
      <c r="A875" s="142"/>
      <c r="B875" s="142"/>
      <c r="C875" s="142"/>
      <c r="D875" s="142"/>
      <c r="E875" s="142"/>
      <c r="F875" s="142"/>
      <c r="G875" s="142"/>
      <c r="H875" s="142"/>
      <c r="I875" s="142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 spans="1:26" ht="15.75" customHeight="1" x14ac:dyDescent="0.55000000000000004">
      <c r="A876" s="142"/>
      <c r="B876" s="142"/>
      <c r="C876" s="142"/>
      <c r="D876" s="142"/>
      <c r="E876" s="142"/>
      <c r="F876" s="142"/>
      <c r="G876" s="142"/>
      <c r="H876" s="142"/>
      <c r="I876" s="142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 spans="1:26" ht="15.75" customHeight="1" x14ac:dyDescent="0.55000000000000004">
      <c r="A877" s="142"/>
      <c r="B877" s="142"/>
      <c r="C877" s="142"/>
      <c r="D877" s="142"/>
      <c r="E877" s="142"/>
      <c r="F877" s="142"/>
      <c r="G877" s="142"/>
      <c r="H877" s="142"/>
      <c r="I877" s="142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 spans="1:26" ht="15.75" customHeight="1" x14ac:dyDescent="0.55000000000000004">
      <c r="A878" s="142"/>
      <c r="B878" s="142"/>
      <c r="C878" s="142"/>
      <c r="D878" s="142"/>
      <c r="E878" s="142"/>
      <c r="F878" s="142"/>
      <c r="G878" s="142"/>
      <c r="H878" s="142"/>
      <c r="I878" s="142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 spans="1:26" ht="15.75" customHeight="1" x14ac:dyDescent="0.55000000000000004">
      <c r="A879" s="142"/>
      <c r="B879" s="142"/>
      <c r="C879" s="142"/>
      <c r="D879" s="142"/>
      <c r="E879" s="142"/>
      <c r="F879" s="142"/>
      <c r="G879" s="142"/>
      <c r="H879" s="142"/>
      <c r="I879" s="142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 spans="1:26" ht="15.75" customHeight="1" x14ac:dyDescent="0.55000000000000004">
      <c r="A880" s="142"/>
      <c r="B880" s="142"/>
      <c r="C880" s="142"/>
      <c r="D880" s="142"/>
      <c r="E880" s="142"/>
      <c r="F880" s="142"/>
      <c r="G880" s="142"/>
      <c r="H880" s="142"/>
      <c r="I880" s="142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 spans="1:26" ht="15.75" customHeight="1" x14ac:dyDescent="0.55000000000000004">
      <c r="A881" s="142"/>
      <c r="B881" s="142"/>
      <c r="C881" s="142"/>
      <c r="D881" s="142"/>
      <c r="E881" s="142"/>
      <c r="F881" s="142"/>
      <c r="G881" s="142"/>
      <c r="H881" s="142"/>
      <c r="I881" s="142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 spans="1:26" ht="15.75" customHeight="1" x14ac:dyDescent="0.55000000000000004">
      <c r="A882" s="142"/>
      <c r="B882" s="142"/>
      <c r="C882" s="142"/>
      <c r="D882" s="142"/>
      <c r="E882" s="142"/>
      <c r="F882" s="142"/>
      <c r="G882" s="142"/>
      <c r="H882" s="142"/>
      <c r="I882" s="142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 spans="1:26" ht="15.75" customHeight="1" x14ac:dyDescent="0.55000000000000004">
      <c r="A883" s="142"/>
      <c r="B883" s="142"/>
      <c r="C883" s="142"/>
      <c r="D883" s="142"/>
      <c r="E883" s="142"/>
      <c r="F883" s="142"/>
      <c r="G883" s="142"/>
      <c r="H883" s="142"/>
      <c r="I883" s="142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 spans="1:26" ht="15.75" customHeight="1" x14ac:dyDescent="0.55000000000000004">
      <c r="A884" s="142"/>
      <c r="B884" s="142"/>
      <c r="C884" s="142"/>
      <c r="D884" s="142"/>
      <c r="E884" s="142"/>
      <c r="F884" s="142"/>
      <c r="G884" s="142"/>
      <c r="H884" s="142"/>
      <c r="I884" s="142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 spans="1:26" ht="15.75" customHeight="1" x14ac:dyDescent="0.55000000000000004">
      <c r="A885" s="142"/>
      <c r="B885" s="142"/>
      <c r="C885" s="142"/>
      <c r="D885" s="142"/>
      <c r="E885" s="142"/>
      <c r="F885" s="142"/>
      <c r="G885" s="142"/>
      <c r="H885" s="142"/>
      <c r="I885" s="142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 spans="1:26" ht="15.75" customHeight="1" x14ac:dyDescent="0.55000000000000004">
      <c r="A886" s="142"/>
      <c r="B886" s="142"/>
      <c r="C886" s="142"/>
      <c r="D886" s="142"/>
      <c r="E886" s="142"/>
      <c r="F886" s="142"/>
      <c r="G886" s="142"/>
      <c r="H886" s="142"/>
      <c r="I886" s="142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 spans="1:26" ht="15.75" customHeight="1" x14ac:dyDescent="0.55000000000000004">
      <c r="A887" s="142"/>
      <c r="B887" s="142"/>
      <c r="C887" s="142"/>
      <c r="D887" s="142"/>
      <c r="E887" s="142"/>
      <c r="F887" s="142"/>
      <c r="G887" s="142"/>
      <c r="H887" s="142"/>
      <c r="I887" s="142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 spans="1:26" ht="15.75" customHeight="1" x14ac:dyDescent="0.55000000000000004">
      <c r="A888" s="142"/>
      <c r="B888" s="142"/>
      <c r="C888" s="142"/>
      <c r="D888" s="142"/>
      <c r="E888" s="142"/>
      <c r="F888" s="142"/>
      <c r="G888" s="142"/>
      <c r="H888" s="142"/>
      <c r="I888" s="142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 spans="1:26" ht="15.75" customHeight="1" x14ac:dyDescent="0.55000000000000004">
      <c r="A889" s="142"/>
      <c r="B889" s="142"/>
      <c r="C889" s="142"/>
      <c r="D889" s="142"/>
      <c r="E889" s="142"/>
      <c r="F889" s="142"/>
      <c r="G889" s="142"/>
      <c r="H889" s="142"/>
      <c r="I889" s="142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 spans="1:26" ht="15.75" customHeight="1" x14ac:dyDescent="0.55000000000000004">
      <c r="A890" s="142"/>
      <c r="B890" s="142"/>
      <c r="C890" s="142"/>
      <c r="D890" s="142"/>
      <c r="E890" s="142"/>
      <c r="F890" s="142"/>
      <c r="G890" s="142"/>
      <c r="H890" s="142"/>
      <c r="I890" s="142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 spans="1:26" ht="15.75" customHeight="1" x14ac:dyDescent="0.55000000000000004">
      <c r="A891" s="142"/>
      <c r="B891" s="142"/>
      <c r="C891" s="142"/>
      <c r="D891" s="142"/>
      <c r="E891" s="142"/>
      <c r="F891" s="142"/>
      <c r="G891" s="142"/>
      <c r="H891" s="142"/>
      <c r="I891" s="142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 spans="1:26" ht="15.75" customHeight="1" x14ac:dyDescent="0.55000000000000004">
      <c r="A892" s="142"/>
      <c r="B892" s="142"/>
      <c r="C892" s="142"/>
      <c r="D892" s="142"/>
      <c r="E892" s="142"/>
      <c r="F892" s="142"/>
      <c r="G892" s="142"/>
      <c r="H892" s="142"/>
      <c r="I892" s="142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 spans="1:26" ht="15.75" customHeight="1" x14ac:dyDescent="0.55000000000000004">
      <c r="A893" s="142"/>
      <c r="B893" s="142"/>
      <c r="C893" s="142"/>
      <c r="D893" s="142"/>
      <c r="E893" s="142"/>
      <c r="F893" s="142"/>
      <c r="G893" s="142"/>
      <c r="H893" s="142"/>
      <c r="I893" s="142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 spans="1:26" ht="15.75" customHeight="1" x14ac:dyDescent="0.55000000000000004">
      <c r="A894" s="142"/>
      <c r="B894" s="142"/>
      <c r="C894" s="142"/>
      <c r="D894" s="142"/>
      <c r="E894" s="142"/>
      <c r="F894" s="142"/>
      <c r="G894" s="142"/>
      <c r="H894" s="142"/>
      <c r="I894" s="142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 spans="1:26" ht="15.75" customHeight="1" x14ac:dyDescent="0.55000000000000004">
      <c r="A895" s="142"/>
      <c r="B895" s="142"/>
      <c r="C895" s="142"/>
      <c r="D895" s="142"/>
      <c r="E895" s="142"/>
      <c r="F895" s="142"/>
      <c r="G895" s="142"/>
      <c r="H895" s="142"/>
      <c r="I895" s="142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 spans="1:26" ht="15.75" customHeight="1" x14ac:dyDescent="0.55000000000000004">
      <c r="A896" s="142"/>
      <c r="B896" s="142"/>
      <c r="C896" s="142"/>
      <c r="D896" s="142"/>
      <c r="E896" s="142"/>
      <c r="F896" s="142"/>
      <c r="G896" s="142"/>
      <c r="H896" s="142"/>
      <c r="I896" s="142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 spans="1:26" ht="15.75" customHeight="1" x14ac:dyDescent="0.55000000000000004">
      <c r="A897" s="142"/>
      <c r="B897" s="142"/>
      <c r="C897" s="142"/>
      <c r="D897" s="142"/>
      <c r="E897" s="142"/>
      <c r="F897" s="142"/>
      <c r="G897" s="142"/>
      <c r="H897" s="142"/>
      <c r="I897" s="142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 spans="1:26" ht="15.75" customHeight="1" x14ac:dyDescent="0.55000000000000004">
      <c r="A898" s="142"/>
      <c r="B898" s="142"/>
      <c r="C898" s="142"/>
      <c r="D898" s="142"/>
      <c r="E898" s="142"/>
      <c r="F898" s="142"/>
      <c r="G898" s="142"/>
      <c r="H898" s="142"/>
      <c r="I898" s="142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 spans="1:26" ht="15.75" customHeight="1" x14ac:dyDescent="0.55000000000000004">
      <c r="A899" s="142"/>
      <c r="B899" s="142"/>
      <c r="C899" s="142"/>
      <c r="D899" s="142"/>
      <c r="E899" s="142"/>
      <c r="F899" s="142"/>
      <c r="G899" s="142"/>
      <c r="H899" s="142"/>
      <c r="I899" s="142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 spans="1:26" ht="15.75" customHeight="1" x14ac:dyDescent="0.55000000000000004">
      <c r="A900" s="142"/>
      <c r="B900" s="142"/>
      <c r="C900" s="142"/>
      <c r="D900" s="142"/>
      <c r="E900" s="142"/>
      <c r="F900" s="142"/>
      <c r="G900" s="142"/>
      <c r="H900" s="142"/>
      <c r="I900" s="142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 spans="1:26" ht="15.75" customHeight="1" x14ac:dyDescent="0.55000000000000004">
      <c r="A901" s="142"/>
      <c r="B901" s="142"/>
      <c r="C901" s="142"/>
      <c r="D901" s="142"/>
      <c r="E901" s="142"/>
      <c r="F901" s="142"/>
      <c r="G901" s="142"/>
      <c r="H901" s="142"/>
      <c r="I901" s="142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 spans="1:26" ht="15.75" customHeight="1" x14ac:dyDescent="0.55000000000000004">
      <c r="A902" s="142"/>
      <c r="B902" s="142"/>
      <c r="C902" s="142"/>
      <c r="D902" s="142"/>
      <c r="E902" s="142"/>
      <c r="F902" s="142"/>
      <c r="G902" s="142"/>
      <c r="H902" s="142"/>
      <c r="I902" s="142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 spans="1:26" ht="15.75" customHeight="1" x14ac:dyDescent="0.55000000000000004">
      <c r="A903" s="142"/>
      <c r="B903" s="142"/>
      <c r="C903" s="142"/>
      <c r="D903" s="142"/>
      <c r="E903" s="142"/>
      <c r="F903" s="142"/>
      <c r="G903" s="142"/>
      <c r="H903" s="142"/>
      <c r="I903" s="142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 spans="1:26" ht="15.75" customHeight="1" x14ac:dyDescent="0.55000000000000004">
      <c r="A904" s="142"/>
      <c r="B904" s="142"/>
      <c r="C904" s="142"/>
      <c r="D904" s="142"/>
      <c r="E904" s="142"/>
      <c r="F904" s="142"/>
      <c r="G904" s="142"/>
      <c r="H904" s="142"/>
      <c r="I904" s="142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 spans="1:26" ht="15.75" customHeight="1" x14ac:dyDescent="0.55000000000000004">
      <c r="A905" s="142"/>
      <c r="B905" s="142"/>
      <c r="C905" s="142"/>
      <c r="D905" s="142"/>
      <c r="E905" s="142"/>
      <c r="F905" s="142"/>
      <c r="G905" s="142"/>
      <c r="H905" s="142"/>
      <c r="I905" s="142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 spans="1:26" ht="15.75" customHeight="1" x14ac:dyDescent="0.55000000000000004">
      <c r="A906" s="142"/>
      <c r="B906" s="142"/>
      <c r="C906" s="142"/>
      <c r="D906" s="142"/>
      <c r="E906" s="142"/>
      <c r="F906" s="142"/>
      <c r="G906" s="142"/>
      <c r="H906" s="142"/>
      <c r="I906" s="142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 spans="1:26" ht="15.75" customHeight="1" x14ac:dyDescent="0.55000000000000004">
      <c r="A907" s="142"/>
      <c r="B907" s="142"/>
      <c r="C907" s="142"/>
      <c r="D907" s="142"/>
      <c r="E907" s="142"/>
      <c r="F907" s="142"/>
      <c r="G907" s="142"/>
      <c r="H907" s="142"/>
      <c r="I907" s="142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 spans="1:26" ht="15.75" customHeight="1" x14ac:dyDescent="0.55000000000000004">
      <c r="A908" s="142"/>
      <c r="B908" s="142"/>
      <c r="C908" s="142"/>
      <c r="D908" s="142"/>
      <c r="E908" s="142"/>
      <c r="F908" s="142"/>
      <c r="G908" s="142"/>
      <c r="H908" s="142"/>
      <c r="I908" s="142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 spans="1:26" ht="15.75" customHeight="1" x14ac:dyDescent="0.55000000000000004">
      <c r="A909" s="142"/>
      <c r="B909" s="142"/>
      <c r="C909" s="142"/>
      <c r="D909" s="142"/>
      <c r="E909" s="142"/>
      <c r="F909" s="142"/>
      <c r="G909" s="142"/>
      <c r="H909" s="142"/>
      <c r="I909" s="142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 spans="1:26" ht="15.75" customHeight="1" x14ac:dyDescent="0.55000000000000004">
      <c r="A910" s="142"/>
      <c r="B910" s="142"/>
      <c r="C910" s="142"/>
      <c r="D910" s="142"/>
      <c r="E910" s="142"/>
      <c r="F910" s="142"/>
      <c r="G910" s="142"/>
      <c r="H910" s="142"/>
      <c r="I910" s="142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 spans="1:26" ht="15.75" customHeight="1" x14ac:dyDescent="0.55000000000000004">
      <c r="A911" s="142"/>
      <c r="B911" s="142"/>
      <c r="C911" s="142"/>
      <c r="D911" s="142"/>
      <c r="E911" s="142"/>
      <c r="F911" s="142"/>
      <c r="G911" s="142"/>
      <c r="H911" s="142"/>
      <c r="I911" s="142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 spans="1:26" ht="15.75" customHeight="1" x14ac:dyDescent="0.55000000000000004">
      <c r="A912" s="142"/>
      <c r="B912" s="142"/>
      <c r="C912" s="142"/>
      <c r="D912" s="142"/>
      <c r="E912" s="142"/>
      <c r="F912" s="142"/>
      <c r="G912" s="142"/>
      <c r="H912" s="142"/>
      <c r="I912" s="142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 spans="1:26" ht="15.75" customHeight="1" x14ac:dyDescent="0.55000000000000004">
      <c r="A913" s="142"/>
      <c r="B913" s="142"/>
      <c r="C913" s="142"/>
      <c r="D913" s="142"/>
      <c r="E913" s="142"/>
      <c r="F913" s="142"/>
      <c r="G913" s="142"/>
      <c r="H913" s="142"/>
      <c r="I913" s="142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 spans="1:26" ht="15.75" customHeight="1" x14ac:dyDescent="0.55000000000000004">
      <c r="A914" s="142"/>
      <c r="B914" s="142"/>
      <c r="C914" s="142"/>
      <c r="D914" s="142"/>
      <c r="E914" s="142"/>
      <c r="F914" s="142"/>
      <c r="G914" s="142"/>
      <c r="H914" s="142"/>
      <c r="I914" s="142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 spans="1:26" ht="15.75" customHeight="1" x14ac:dyDescent="0.55000000000000004">
      <c r="A915" s="142"/>
      <c r="B915" s="142"/>
      <c r="C915" s="142"/>
      <c r="D915" s="142"/>
      <c r="E915" s="142"/>
      <c r="F915" s="142"/>
      <c r="G915" s="142"/>
      <c r="H915" s="142"/>
      <c r="I915" s="142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 spans="1:26" ht="15.75" customHeight="1" x14ac:dyDescent="0.55000000000000004">
      <c r="A916" s="142"/>
      <c r="B916" s="142"/>
      <c r="C916" s="142"/>
      <c r="D916" s="142"/>
      <c r="E916" s="142"/>
      <c r="F916" s="142"/>
      <c r="G916" s="142"/>
      <c r="H916" s="142"/>
      <c r="I916" s="142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 spans="1:26" ht="15.75" customHeight="1" x14ac:dyDescent="0.55000000000000004">
      <c r="A917" s="142"/>
      <c r="B917" s="142"/>
      <c r="C917" s="142"/>
      <c r="D917" s="142"/>
      <c r="E917" s="142"/>
      <c r="F917" s="142"/>
      <c r="G917" s="142"/>
      <c r="H917" s="142"/>
      <c r="I917" s="142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 spans="1:26" ht="15.75" customHeight="1" x14ac:dyDescent="0.55000000000000004">
      <c r="A918" s="142"/>
      <c r="B918" s="142"/>
      <c r="C918" s="142"/>
      <c r="D918" s="142"/>
      <c r="E918" s="142"/>
      <c r="F918" s="142"/>
      <c r="G918" s="142"/>
      <c r="H918" s="142"/>
      <c r="I918" s="142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 spans="1:26" ht="15.75" customHeight="1" x14ac:dyDescent="0.55000000000000004">
      <c r="A919" s="142"/>
      <c r="B919" s="142"/>
      <c r="C919" s="142"/>
      <c r="D919" s="142"/>
      <c r="E919" s="142"/>
      <c r="F919" s="142"/>
      <c r="G919" s="142"/>
      <c r="H919" s="142"/>
      <c r="I919" s="142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 spans="1:26" ht="15.75" customHeight="1" x14ac:dyDescent="0.55000000000000004">
      <c r="A920" s="142"/>
      <c r="B920" s="142"/>
      <c r="C920" s="142"/>
      <c r="D920" s="142"/>
      <c r="E920" s="142"/>
      <c r="F920" s="142"/>
      <c r="G920" s="142"/>
      <c r="H920" s="142"/>
      <c r="I920" s="142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 spans="1:26" ht="15.75" customHeight="1" x14ac:dyDescent="0.55000000000000004">
      <c r="A921" s="142"/>
      <c r="B921" s="142"/>
      <c r="C921" s="142"/>
      <c r="D921" s="142"/>
      <c r="E921" s="142"/>
      <c r="F921" s="142"/>
      <c r="G921" s="142"/>
      <c r="H921" s="142"/>
      <c r="I921" s="142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 spans="1:26" ht="15.75" customHeight="1" x14ac:dyDescent="0.55000000000000004">
      <c r="A922" s="142"/>
      <c r="B922" s="142"/>
      <c r="C922" s="142"/>
      <c r="D922" s="142"/>
      <c r="E922" s="142"/>
      <c r="F922" s="142"/>
      <c r="G922" s="142"/>
      <c r="H922" s="142"/>
      <c r="I922" s="142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 spans="1:26" ht="15.75" customHeight="1" x14ac:dyDescent="0.55000000000000004">
      <c r="A923" s="142"/>
      <c r="B923" s="142"/>
      <c r="C923" s="142"/>
      <c r="D923" s="142"/>
      <c r="E923" s="142"/>
      <c r="F923" s="142"/>
      <c r="G923" s="142"/>
      <c r="H923" s="142"/>
      <c r="I923" s="142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 spans="1:26" ht="15.75" customHeight="1" x14ac:dyDescent="0.55000000000000004">
      <c r="A924" s="142"/>
      <c r="B924" s="142"/>
      <c r="C924" s="142"/>
      <c r="D924" s="142"/>
      <c r="E924" s="142"/>
      <c r="F924" s="142"/>
      <c r="G924" s="142"/>
      <c r="H924" s="142"/>
      <c r="I924" s="142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 spans="1:26" ht="15.75" customHeight="1" x14ac:dyDescent="0.55000000000000004">
      <c r="A925" s="142"/>
      <c r="B925" s="142"/>
      <c r="C925" s="142"/>
      <c r="D925" s="142"/>
      <c r="E925" s="142"/>
      <c r="F925" s="142"/>
      <c r="G925" s="142"/>
      <c r="H925" s="142"/>
      <c r="I925" s="142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 spans="1:26" ht="15.75" customHeight="1" x14ac:dyDescent="0.55000000000000004">
      <c r="A926" s="142"/>
      <c r="B926" s="142"/>
      <c r="C926" s="142"/>
      <c r="D926" s="142"/>
      <c r="E926" s="142"/>
      <c r="F926" s="142"/>
      <c r="G926" s="142"/>
      <c r="H926" s="142"/>
      <c r="I926" s="142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 spans="1:26" ht="15.75" customHeight="1" x14ac:dyDescent="0.55000000000000004">
      <c r="A927" s="142"/>
      <c r="B927" s="142"/>
      <c r="C927" s="142"/>
      <c r="D927" s="142"/>
      <c r="E927" s="142"/>
      <c r="F927" s="142"/>
      <c r="G927" s="142"/>
      <c r="H927" s="142"/>
      <c r="I927" s="142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 spans="1:26" ht="15.75" customHeight="1" x14ac:dyDescent="0.55000000000000004">
      <c r="A928" s="142"/>
      <c r="B928" s="142"/>
      <c r="C928" s="142"/>
      <c r="D928" s="142"/>
      <c r="E928" s="142"/>
      <c r="F928" s="142"/>
      <c r="G928" s="142"/>
      <c r="H928" s="142"/>
      <c r="I928" s="142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 spans="1:26" ht="15.75" customHeight="1" x14ac:dyDescent="0.55000000000000004">
      <c r="A929" s="142"/>
      <c r="B929" s="142"/>
      <c r="C929" s="142"/>
      <c r="D929" s="142"/>
      <c r="E929" s="142"/>
      <c r="F929" s="142"/>
      <c r="G929" s="142"/>
      <c r="H929" s="142"/>
      <c r="I929" s="142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 spans="1:26" ht="15.75" customHeight="1" x14ac:dyDescent="0.55000000000000004">
      <c r="A930" s="142"/>
      <c r="B930" s="142"/>
      <c r="C930" s="142"/>
      <c r="D930" s="142"/>
      <c r="E930" s="142"/>
      <c r="F930" s="142"/>
      <c r="G930" s="142"/>
      <c r="H930" s="142"/>
      <c r="I930" s="142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 spans="1:26" ht="15.75" customHeight="1" x14ac:dyDescent="0.55000000000000004">
      <c r="A931" s="142"/>
      <c r="B931" s="142"/>
      <c r="C931" s="142"/>
      <c r="D931" s="142"/>
      <c r="E931" s="142"/>
      <c r="F931" s="142"/>
      <c r="G931" s="142"/>
      <c r="H931" s="142"/>
      <c r="I931" s="142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 spans="1:26" ht="15.75" customHeight="1" x14ac:dyDescent="0.55000000000000004">
      <c r="A932" s="142"/>
      <c r="B932" s="142"/>
      <c r="C932" s="142"/>
      <c r="D932" s="142"/>
      <c r="E932" s="142"/>
      <c r="F932" s="142"/>
      <c r="G932" s="142"/>
      <c r="H932" s="142"/>
      <c r="I932" s="142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 spans="1:26" ht="15.75" customHeight="1" x14ac:dyDescent="0.55000000000000004">
      <c r="A933" s="142"/>
      <c r="B933" s="142"/>
      <c r="C933" s="142"/>
      <c r="D933" s="142"/>
      <c r="E933" s="142"/>
      <c r="F933" s="142"/>
      <c r="G933" s="142"/>
      <c r="H933" s="142"/>
      <c r="I933" s="142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 spans="1:26" ht="15.75" customHeight="1" x14ac:dyDescent="0.55000000000000004">
      <c r="A934" s="142"/>
      <c r="B934" s="142"/>
      <c r="C934" s="142"/>
      <c r="D934" s="142"/>
      <c r="E934" s="142"/>
      <c r="F934" s="142"/>
      <c r="G934" s="142"/>
      <c r="H934" s="142"/>
      <c r="I934" s="142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 spans="1:26" ht="15.75" customHeight="1" x14ac:dyDescent="0.55000000000000004">
      <c r="A935" s="142"/>
      <c r="B935" s="142"/>
      <c r="C935" s="142"/>
      <c r="D935" s="142"/>
      <c r="E935" s="142"/>
      <c r="F935" s="142"/>
      <c r="G935" s="142"/>
      <c r="H935" s="142"/>
      <c r="I935" s="142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 spans="1:26" ht="15.75" customHeight="1" x14ac:dyDescent="0.55000000000000004">
      <c r="A936" s="142"/>
      <c r="B936" s="142"/>
      <c r="C936" s="142"/>
      <c r="D936" s="142"/>
      <c r="E936" s="142"/>
      <c r="F936" s="142"/>
      <c r="G936" s="142"/>
      <c r="H936" s="142"/>
      <c r="I936" s="142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 spans="1:26" ht="15.75" customHeight="1" x14ac:dyDescent="0.55000000000000004">
      <c r="A937" s="142"/>
      <c r="B937" s="142"/>
      <c r="C937" s="142"/>
      <c r="D937" s="142"/>
      <c r="E937" s="142"/>
      <c r="F937" s="142"/>
      <c r="G937" s="142"/>
      <c r="H937" s="142"/>
      <c r="I937" s="142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 spans="1:26" ht="15.75" customHeight="1" x14ac:dyDescent="0.55000000000000004">
      <c r="A938" s="142"/>
      <c r="B938" s="142"/>
      <c r="C938" s="142"/>
      <c r="D938" s="142"/>
      <c r="E938" s="142"/>
      <c r="F938" s="142"/>
      <c r="G938" s="142"/>
      <c r="H938" s="142"/>
      <c r="I938" s="142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 spans="1:26" ht="15.75" customHeight="1" x14ac:dyDescent="0.55000000000000004">
      <c r="A939" s="142"/>
      <c r="B939" s="142"/>
      <c r="C939" s="142"/>
      <c r="D939" s="142"/>
      <c r="E939" s="142"/>
      <c r="F939" s="142"/>
      <c r="G939" s="142"/>
      <c r="H939" s="142"/>
      <c r="I939" s="142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 spans="1:26" ht="15.75" customHeight="1" x14ac:dyDescent="0.55000000000000004">
      <c r="A940" s="142"/>
      <c r="B940" s="142"/>
      <c r="C940" s="142"/>
      <c r="D940" s="142"/>
      <c r="E940" s="142"/>
      <c r="F940" s="142"/>
      <c r="G940" s="142"/>
      <c r="H940" s="142"/>
      <c r="I940" s="142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 spans="1:26" ht="15.75" customHeight="1" x14ac:dyDescent="0.55000000000000004">
      <c r="A941" s="142"/>
      <c r="B941" s="142"/>
      <c r="C941" s="142"/>
      <c r="D941" s="142"/>
      <c r="E941" s="142"/>
      <c r="F941" s="142"/>
      <c r="G941" s="142"/>
      <c r="H941" s="142"/>
      <c r="I941" s="142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 spans="1:26" ht="15.75" customHeight="1" x14ac:dyDescent="0.55000000000000004">
      <c r="A942" s="142"/>
      <c r="B942" s="142"/>
      <c r="C942" s="142"/>
      <c r="D942" s="142"/>
      <c r="E942" s="142"/>
      <c r="F942" s="142"/>
      <c r="G942" s="142"/>
      <c r="H942" s="142"/>
      <c r="I942" s="142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 spans="1:26" ht="15.75" customHeight="1" x14ac:dyDescent="0.55000000000000004">
      <c r="A943" s="142"/>
      <c r="B943" s="142"/>
      <c r="C943" s="142"/>
      <c r="D943" s="142"/>
      <c r="E943" s="142"/>
      <c r="F943" s="142"/>
      <c r="G943" s="142"/>
      <c r="H943" s="142"/>
      <c r="I943" s="142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 spans="1:26" ht="15.75" customHeight="1" x14ac:dyDescent="0.55000000000000004">
      <c r="A944" s="142"/>
      <c r="B944" s="142"/>
      <c r="C944" s="142"/>
      <c r="D944" s="142"/>
      <c r="E944" s="142"/>
      <c r="F944" s="142"/>
      <c r="G944" s="142"/>
      <c r="H944" s="142"/>
      <c r="I944" s="142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 spans="1:26" ht="15.75" customHeight="1" x14ac:dyDescent="0.55000000000000004">
      <c r="A945" s="142"/>
      <c r="B945" s="142"/>
      <c r="C945" s="142"/>
      <c r="D945" s="142"/>
      <c r="E945" s="142"/>
      <c r="F945" s="142"/>
      <c r="G945" s="142"/>
      <c r="H945" s="142"/>
      <c r="I945" s="142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 spans="1:26" ht="15.75" customHeight="1" x14ac:dyDescent="0.55000000000000004">
      <c r="A946" s="142"/>
      <c r="B946" s="142"/>
      <c r="C946" s="142"/>
      <c r="D946" s="142"/>
      <c r="E946" s="142"/>
      <c r="F946" s="142"/>
      <c r="G946" s="142"/>
      <c r="H946" s="142"/>
      <c r="I946" s="142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 spans="1:26" ht="15.75" customHeight="1" x14ac:dyDescent="0.55000000000000004">
      <c r="A947" s="142"/>
      <c r="B947" s="142"/>
      <c r="C947" s="142"/>
      <c r="D947" s="142"/>
      <c r="E947" s="142"/>
      <c r="F947" s="142"/>
      <c r="G947" s="142"/>
      <c r="H947" s="142"/>
      <c r="I947" s="142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 spans="1:26" ht="15.75" customHeight="1" x14ac:dyDescent="0.55000000000000004">
      <c r="A948" s="142"/>
      <c r="B948" s="142"/>
      <c r="C948" s="142"/>
      <c r="D948" s="142"/>
      <c r="E948" s="142"/>
      <c r="F948" s="142"/>
      <c r="G948" s="142"/>
      <c r="H948" s="142"/>
      <c r="I948" s="142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 spans="1:26" ht="15.75" customHeight="1" x14ac:dyDescent="0.55000000000000004">
      <c r="A949" s="142"/>
      <c r="B949" s="142"/>
      <c r="C949" s="142"/>
      <c r="D949" s="142"/>
      <c r="E949" s="142"/>
      <c r="F949" s="142"/>
      <c r="G949" s="142"/>
      <c r="H949" s="142"/>
      <c r="I949" s="142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 spans="1:26" ht="15.75" customHeight="1" x14ac:dyDescent="0.55000000000000004">
      <c r="A950" s="142"/>
      <c r="B950" s="142"/>
      <c r="C950" s="142"/>
      <c r="D950" s="142"/>
      <c r="E950" s="142"/>
      <c r="F950" s="142"/>
      <c r="G950" s="142"/>
      <c r="H950" s="142"/>
      <c r="I950" s="142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 spans="1:26" ht="15.75" customHeight="1" x14ac:dyDescent="0.55000000000000004">
      <c r="A951" s="142"/>
      <c r="B951" s="142"/>
      <c r="C951" s="142"/>
      <c r="D951" s="142"/>
      <c r="E951" s="142"/>
      <c r="F951" s="142"/>
      <c r="G951" s="142"/>
      <c r="H951" s="142"/>
      <c r="I951" s="142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 spans="1:26" ht="15.75" customHeight="1" x14ac:dyDescent="0.55000000000000004">
      <c r="A952" s="142"/>
      <c r="B952" s="142"/>
      <c r="C952" s="142"/>
      <c r="D952" s="142"/>
      <c r="E952" s="142"/>
      <c r="F952" s="142"/>
      <c r="G952" s="142"/>
      <c r="H952" s="142"/>
      <c r="I952" s="142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 spans="1:26" ht="15.75" customHeight="1" x14ac:dyDescent="0.55000000000000004">
      <c r="A953" s="142"/>
      <c r="B953" s="142"/>
      <c r="C953" s="142"/>
      <c r="D953" s="142"/>
      <c r="E953" s="142"/>
      <c r="F953" s="142"/>
      <c r="G953" s="142"/>
      <c r="H953" s="142"/>
      <c r="I953" s="142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 spans="1:26" ht="15.75" customHeight="1" x14ac:dyDescent="0.55000000000000004">
      <c r="A954" s="142"/>
      <c r="B954" s="142"/>
      <c r="C954" s="142"/>
      <c r="D954" s="142"/>
      <c r="E954" s="142"/>
      <c r="F954" s="142"/>
      <c r="G954" s="142"/>
      <c r="H954" s="142"/>
      <c r="I954" s="142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 spans="1:26" ht="15.75" customHeight="1" x14ac:dyDescent="0.55000000000000004">
      <c r="A955" s="142"/>
      <c r="B955" s="142"/>
      <c r="C955" s="142"/>
      <c r="D955" s="142"/>
      <c r="E955" s="142"/>
      <c r="F955" s="142"/>
      <c r="G955" s="142"/>
      <c r="H955" s="142"/>
      <c r="I955" s="142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 spans="1:26" ht="15.75" customHeight="1" x14ac:dyDescent="0.55000000000000004">
      <c r="A956" s="142"/>
      <c r="B956" s="142"/>
      <c r="C956" s="142"/>
      <c r="D956" s="142"/>
      <c r="E956" s="142"/>
      <c r="F956" s="142"/>
      <c r="G956" s="142"/>
      <c r="H956" s="142"/>
      <c r="I956" s="142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 spans="1:26" ht="15.75" customHeight="1" x14ac:dyDescent="0.55000000000000004">
      <c r="A957" s="142"/>
      <c r="B957" s="142"/>
      <c r="C957" s="142"/>
      <c r="D957" s="142"/>
      <c r="E957" s="142"/>
      <c r="F957" s="142"/>
      <c r="G957" s="142"/>
      <c r="H957" s="142"/>
      <c r="I957" s="142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 spans="1:26" ht="15.75" customHeight="1" x14ac:dyDescent="0.55000000000000004">
      <c r="A958" s="142"/>
      <c r="B958" s="142"/>
      <c r="C958" s="142"/>
      <c r="D958" s="142"/>
      <c r="E958" s="142"/>
      <c r="F958" s="142"/>
      <c r="G958" s="142"/>
      <c r="H958" s="142"/>
      <c r="I958" s="142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 spans="1:26" ht="15.75" customHeight="1" x14ac:dyDescent="0.55000000000000004">
      <c r="A959" s="142"/>
      <c r="B959" s="142"/>
      <c r="C959" s="142"/>
      <c r="D959" s="142"/>
      <c r="E959" s="142"/>
      <c r="F959" s="142"/>
      <c r="G959" s="142"/>
      <c r="H959" s="142"/>
      <c r="I959" s="142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 spans="1:26" ht="15.75" customHeight="1" x14ac:dyDescent="0.55000000000000004">
      <c r="A960" s="142"/>
      <c r="B960" s="142"/>
      <c r="C960" s="142"/>
      <c r="D960" s="142"/>
      <c r="E960" s="142"/>
      <c r="F960" s="142"/>
      <c r="G960" s="142"/>
      <c r="H960" s="142"/>
      <c r="I960" s="142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 spans="1:26" ht="15.75" customHeight="1" x14ac:dyDescent="0.55000000000000004">
      <c r="A961" s="142"/>
      <c r="B961" s="142"/>
      <c r="C961" s="142"/>
      <c r="D961" s="142"/>
      <c r="E961" s="142"/>
      <c r="F961" s="142"/>
      <c r="G961" s="142"/>
      <c r="H961" s="142"/>
      <c r="I961" s="142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 spans="1:26" ht="15.75" customHeight="1" x14ac:dyDescent="0.55000000000000004">
      <c r="A962" s="142"/>
      <c r="B962" s="142"/>
      <c r="C962" s="142"/>
      <c r="D962" s="142"/>
      <c r="E962" s="142"/>
      <c r="F962" s="142"/>
      <c r="G962" s="142"/>
      <c r="H962" s="142"/>
      <c r="I962" s="142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 spans="1:26" ht="15.75" customHeight="1" x14ac:dyDescent="0.55000000000000004">
      <c r="A963" s="142"/>
      <c r="B963" s="142"/>
      <c r="C963" s="142"/>
      <c r="D963" s="142"/>
      <c r="E963" s="142"/>
      <c r="F963" s="142"/>
      <c r="G963" s="142"/>
      <c r="H963" s="142"/>
      <c r="I963" s="142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 spans="1:26" ht="15.75" customHeight="1" x14ac:dyDescent="0.55000000000000004">
      <c r="A964" s="142"/>
      <c r="B964" s="142"/>
      <c r="C964" s="142"/>
      <c r="D964" s="142"/>
      <c r="E964" s="142"/>
      <c r="F964" s="142"/>
      <c r="G964" s="142"/>
      <c r="H964" s="142"/>
      <c r="I964" s="142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 spans="1:26" ht="15.75" customHeight="1" x14ac:dyDescent="0.55000000000000004">
      <c r="A965" s="142"/>
      <c r="B965" s="142"/>
      <c r="C965" s="142"/>
      <c r="D965" s="142"/>
      <c r="E965" s="142"/>
      <c r="F965" s="142"/>
      <c r="G965" s="142"/>
      <c r="H965" s="142"/>
      <c r="I965" s="142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 spans="1:26" ht="15.75" customHeight="1" x14ac:dyDescent="0.55000000000000004">
      <c r="A966" s="142"/>
      <c r="B966" s="142"/>
      <c r="C966" s="142"/>
      <c r="D966" s="142"/>
      <c r="E966" s="142"/>
      <c r="F966" s="142"/>
      <c r="G966" s="142"/>
      <c r="H966" s="142"/>
      <c r="I966" s="142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 spans="1:26" ht="15.75" customHeight="1" x14ac:dyDescent="0.55000000000000004">
      <c r="A967" s="142"/>
      <c r="B967" s="142"/>
      <c r="C967" s="142"/>
      <c r="D967" s="142"/>
      <c r="E967" s="142"/>
      <c r="F967" s="142"/>
      <c r="G967" s="142"/>
      <c r="H967" s="142"/>
      <c r="I967" s="142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 spans="1:26" ht="15.75" customHeight="1" x14ac:dyDescent="0.55000000000000004">
      <c r="A968" s="142"/>
      <c r="B968" s="142"/>
      <c r="C968" s="142"/>
      <c r="D968" s="142"/>
      <c r="E968" s="142"/>
      <c r="F968" s="142"/>
      <c r="G968" s="142"/>
      <c r="H968" s="142"/>
      <c r="I968" s="142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 spans="1:26" ht="15.75" customHeight="1" x14ac:dyDescent="0.55000000000000004">
      <c r="A969" s="142"/>
      <c r="B969" s="142"/>
      <c r="C969" s="142"/>
      <c r="D969" s="142"/>
      <c r="E969" s="142"/>
      <c r="F969" s="142"/>
      <c r="G969" s="142"/>
      <c r="H969" s="142"/>
      <c r="I969" s="142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 spans="1:26" ht="15.75" customHeight="1" x14ac:dyDescent="0.55000000000000004">
      <c r="A970" s="142"/>
      <c r="B970" s="142"/>
      <c r="C970" s="142"/>
      <c r="D970" s="142"/>
      <c r="E970" s="142"/>
      <c r="F970" s="142"/>
      <c r="G970" s="142"/>
      <c r="H970" s="142"/>
      <c r="I970" s="142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 spans="1:26" ht="15.75" customHeight="1" x14ac:dyDescent="0.55000000000000004">
      <c r="A971" s="142"/>
      <c r="B971" s="142"/>
      <c r="C971" s="142"/>
      <c r="D971" s="142"/>
      <c r="E971" s="142"/>
      <c r="F971" s="142"/>
      <c r="G971" s="142"/>
      <c r="H971" s="142"/>
      <c r="I971" s="142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 spans="1:26" ht="15.75" customHeight="1" x14ac:dyDescent="0.55000000000000004">
      <c r="A972" s="142"/>
      <c r="B972" s="142"/>
      <c r="C972" s="142"/>
      <c r="D972" s="142"/>
      <c r="E972" s="142"/>
      <c r="F972" s="142"/>
      <c r="G972" s="142"/>
      <c r="H972" s="142"/>
      <c r="I972" s="142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 spans="1:26" ht="15.75" customHeight="1" x14ac:dyDescent="0.55000000000000004">
      <c r="A973" s="142"/>
      <c r="B973" s="142"/>
      <c r="C973" s="142"/>
      <c r="D973" s="142"/>
      <c r="E973" s="142"/>
      <c r="F973" s="142"/>
      <c r="G973" s="142"/>
      <c r="H973" s="142"/>
      <c r="I973" s="142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 spans="1:26" ht="15.75" customHeight="1" x14ac:dyDescent="0.55000000000000004">
      <c r="A974" s="142"/>
      <c r="B974" s="142"/>
      <c r="C974" s="142"/>
      <c r="D974" s="142"/>
      <c r="E974" s="142"/>
      <c r="F974" s="142"/>
      <c r="G974" s="142"/>
      <c r="H974" s="142"/>
      <c r="I974" s="142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 spans="1:26" ht="15.75" customHeight="1" x14ac:dyDescent="0.55000000000000004">
      <c r="A975" s="142"/>
      <c r="B975" s="142"/>
      <c r="C975" s="142"/>
      <c r="D975" s="142"/>
      <c r="E975" s="142"/>
      <c r="F975" s="142"/>
      <c r="G975" s="142"/>
      <c r="H975" s="142"/>
      <c r="I975" s="142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 spans="1:26" ht="15.75" customHeight="1" x14ac:dyDescent="0.55000000000000004">
      <c r="A976" s="142"/>
      <c r="B976" s="142"/>
      <c r="C976" s="142"/>
      <c r="D976" s="142"/>
      <c r="E976" s="142"/>
      <c r="F976" s="142"/>
      <c r="G976" s="142"/>
      <c r="H976" s="142"/>
      <c r="I976" s="142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 spans="1:26" ht="15.75" customHeight="1" x14ac:dyDescent="0.55000000000000004">
      <c r="A977" s="142"/>
      <c r="B977" s="142"/>
      <c r="C977" s="142"/>
      <c r="D977" s="142"/>
      <c r="E977" s="142"/>
      <c r="F977" s="142"/>
      <c r="G977" s="142"/>
      <c r="H977" s="142"/>
      <c r="I977" s="142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 spans="1:26" ht="15.75" customHeight="1" x14ac:dyDescent="0.55000000000000004">
      <c r="A978" s="142"/>
      <c r="B978" s="142"/>
      <c r="C978" s="142"/>
      <c r="D978" s="142"/>
      <c r="E978" s="142"/>
      <c r="F978" s="142"/>
      <c r="G978" s="142"/>
      <c r="H978" s="142"/>
      <c r="I978" s="142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 spans="1:26" ht="15.75" customHeight="1" x14ac:dyDescent="0.55000000000000004">
      <c r="A979" s="142"/>
      <c r="B979" s="142"/>
      <c r="C979" s="142"/>
      <c r="D979" s="142"/>
      <c r="E979" s="142"/>
      <c r="F979" s="142"/>
      <c r="G979" s="142"/>
      <c r="H979" s="142"/>
      <c r="I979" s="142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 spans="1:26" ht="15.75" customHeight="1" x14ac:dyDescent="0.55000000000000004">
      <c r="A980" s="142"/>
      <c r="B980" s="142"/>
      <c r="C980" s="142"/>
      <c r="D980" s="142"/>
      <c r="E980" s="142"/>
      <c r="F980" s="142"/>
      <c r="G980" s="142"/>
      <c r="H980" s="142"/>
      <c r="I980" s="142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 spans="1:26" ht="15.75" customHeight="1" x14ac:dyDescent="0.55000000000000004">
      <c r="A981" s="142"/>
      <c r="B981" s="142"/>
      <c r="C981" s="142"/>
      <c r="D981" s="142"/>
      <c r="E981" s="142"/>
      <c r="F981" s="142"/>
      <c r="G981" s="142"/>
      <c r="H981" s="142"/>
      <c r="I981" s="142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 spans="1:26" ht="15.75" customHeight="1" x14ac:dyDescent="0.55000000000000004">
      <c r="A982" s="142"/>
      <c r="B982" s="142"/>
      <c r="C982" s="142"/>
      <c r="D982" s="142"/>
      <c r="E982" s="142"/>
      <c r="F982" s="142"/>
      <c r="G982" s="142"/>
      <c r="H982" s="142"/>
      <c r="I982" s="142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 spans="1:26" ht="15.75" customHeight="1" x14ac:dyDescent="0.55000000000000004">
      <c r="A983" s="142"/>
      <c r="B983" s="142"/>
      <c r="C983" s="142"/>
      <c r="D983" s="142"/>
      <c r="E983" s="142"/>
      <c r="F983" s="142"/>
      <c r="G983" s="142"/>
      <c r="H983" s="142"/>
      <c r="I983" s="142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 spans="1:26" ht="15.75" customHeight="1" x14ac:dyDescent="0.55000000000000004">
      <c r="A984" s="142"/>
      <c r="B984" s="142"/>
      <c r="C984" s="142"/>
      <c r="D984" s="142"/>
      <c r="E984" s="142"/>
      <c r="F984" s="142"/>
      <c r="G984" s="142"/>
      <c r="H984" s="142"/>
      <c r="I984" s="142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 spans="1:26" ht="15.75" customHeight="1" x14ac:dyDescent="0.55000000000000004">
      <c r="A985" s="142"/>
      <c r="B985" s="142"/>
      <c r="C985" s="142"/>
      <c r="D985" s="142"/>
      <c r="E985" s="142"/>
      <c r="F985" s="142"/>
      <c r="G985" s="142"/>
      <c r="H985" s="142"/>
      <c r="I985" s="142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 spans="1:26" ht="15.75" customHeight="1" x14ac:dyDescent="0.55000000000000004">
      <c r="A986" s="142"/>
      <c r="B986" s="142"/>
      <c r="C986" s="142"/>
      <c r="D986" s="142"/>
      <c r="E986" s="142"/>
      <c r="F986" s="142"/>
      <c r="G986" s="142"/>
      <c r="H986" s="142"/>
      <c r="I986" s="142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 spans="1:26" ht="15.75" customHeight="1" x14ac:dyDescent="0.55000000000000004">
      <c r="A987" s="142"/>
      <c r="B987" s="142"/>
      <c r="C987" s="142"/>
      <c r="D987" s="142"/>
      <c r="E987" s="142"/>
      <c r="F987" s="142"/>
      <c r="G987" s="142"/>
      <c r="H987" s="142"/>
      <c r="I987" s="142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 spans="1:26" ht="15.75" customHeight="1" x14ac:dyDescent="0.55000000000000004">
      <c r="A988" s="142"/>
      <c r="B988" s="142"/>
      <c r="C988" s="142"/>
      <c r="D988" s="142"/>
      <c r="E988" s="142"/>
      <c r="F988" s="142"/>
      <c r="G988" s="142"/>
      <c r="H988" s="142"/>
      <c r="I988" s="142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 spans="1:26" ht="15.75" customHeight="1" x14ac:dyDescent="0.55000000000000004">
      <c r="A989" s="142"/>
      <c r="B989" s="142"/>
      <c r="C989" s="142"/>
      <c r="D989" s="142"/>
      <c r="E989" s="142"/>
      <c r="F989" s="142"/>
      <c r="G989" s="142"/>
      <c r="H989" s="142"/>
      <c r="I989" s="142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 spans="1:26" ht="15.75" customHeight="1" x14ac:dyDescent="0.55000000000000004">
      <c r="A990" s="142"/>
      <c r="B990" s="142"/>
      <c r="C990" s="142"/>
      <c r="D990" s="142"/>
      <c r="E990" s="142"/>
      <c r="F990" s="142"/>
      <c r="G990" s="142"/>
      <c r="H990" s="142"/>
      <c r="I990" s="142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 spans="1:26" ht="15.75" customHeight="1" x14ac:dyDescent="0.55000000000000004">
      <c r="A991" s="142"/>
      <c r="B991" s="142"/>
      <c r="C991" s="142"/>
      <c r="D991" s="142"/>
      <c r="E991" s="142"/>
      <c r="F991" s="142"/>
      <c r="G991" s="142"/>
      <c r="H991" s="142"/>
      <c r="I991" s="142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 spans="1:26" ht="15.75" customHeight="1" x14ac:dyDescent="0.55000000000000004">
      <c r="A992" s="142"/>
      <c r="B992" s="142"/>
      <c r="C992" s="142"/>
      <c r="D992" s="142"/>
      <c r="E992" s="142"/>
      <c r="F992" s="142"/>
      <c r="G992" s="142"/>
      <c r="H992" s="142"/>
      <c r="I992" s="142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 spans="1:26" ht="15.75" customHeight="1" x14ac:dyDescent="0.55000000000000004">
      <c r="A993" s="142"/>
      <c r="B993" s="142"/>
      <c r="C993" s="142"/>
      <c r="D993" s="142"/>
      <c r="E993" s="142"/>
      <c r="F993" s="142"/>
      <c r="G993" s="142"/>
      <c r="H993" s="142"/>
      <c r="I993" s="142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 spans="1:26" ht="15.75" customHeight="1" x14ac:dyDescent="0.55000000000000004">
      <c r="A994" s="142"/>
      <c r="B994" s="142"/>
      <c r="C994" s="142"/>
      <c r="D994" s="142"/>
      <c r="E994" s="142"/>
      <c r="F994" s="142"/>
      <c r="G994" s="142"/>
      <c r="H994" s="142"/>
      <c r="I994" s="142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 spans="1:26" ht="15.75" customHeight="1" x14ac:dyDescent="0.55000000000000004">
      <c r="A995" s="142"/>
      <c r="B995" s="142"/>
      <c r="C995" s="142"/>
      <c r="D995" s="142"/>
      <c r="E995" s="142"/>
      <c r="F995" s="142"/>
      <c r="G995" s="142"/>
      <c r="H995" s="142"/>
      <c r="I995" s="142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 spans="1:26" ht="15.75" customHeight="1" x14ac:dyDescent="0.55000000000000004">
      <c r="A996" s="142"/>
      <c r="B996" s="142"/>
      <c r="C996" s="142"/>
      <c r="D996" s="142"/>
      <c r="E996" s="142"/>
      <c r="F996" s="142"/>
      <c r="G996" s="142"/>
      <c r="H996" s="142"/>
      <c r="I996" s="142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 spans="1:26" ht="15.75" customHeight="1" x14ac:dyDescent="0.55000000000000004">
      <c r="A997" s="142"/>
      <c r="B997" s="142"/>
      <c r="C997" s="142"/>
      <c r="D997" s="142"/>
      <c r="E997" s="142"/>
      <c r="F997" s="142"/>
      <c r="G997" s="142"/>
      <c r="H997" s="142"/>
      <c r="I997" s="142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 spans="1:26" ht="15.75" customHeight="1" x14ac:dyDescent="0.55000000000000004">
      <c r="A998" s="142"/>
      <c r="B998" s="142"/>
      <c r="C998" s="142"/>
      <c r="D998" s="142"/>
      <c r="E998" s="142"/>
      <c r="F998" s="142"/>
      <c r="G998" s="142"/>
      <c r="H998" s="142"/>
      <c r="I998" s="142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 spans="1:26" ht="15.75" customHeight="1" x14ac:dyDescent="0.55000000000000004">
      <c r="A999" s="142"/>
      <c r="B999" s="142"/>
      <c r="C999" s="142"/>
      <c r="D999" s="142"/>
      <c r="E999" s="142"/>
      <c r="F999" s="142"/>
      <c r="G999" s="142"/>
      <c r="H999" s="142"/>
      <c r="I999" s="142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 spans="1:26" ht="15.75" customHeight="1" x14ac:dyDescent="0.55000000000000004">
      <c r="A1000" s="142"/>
      <c r="B1000" s="142"/>
      <c r="C1000" s="142"/>
      <c r="D1000" s="142"/>
      <c r="E1000" s="142"/>
      <c r="F1000" s="142"/>
      <c r="G1000" s="142"/>
      <c r="H1000" s="142"/>
      <c r="I1000" s="142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mergeCells count="1">
    <mergeCell ref="A1:B1"/>
  </mergeCells>
  <dataValidations count="2">
    <dataValidation type="list" allowBlank="1" showErrorMessage="1" sqref="B8" xr:uid="{00000000-0002-0000-0000-000000000000}">
      <formula1>"ปกติ,ฝนตกหนัก"</formula1>
    </dataValidation>
    <dataValidation type="list" allowBlank="1" showErrorMessage="1" sqref="B9" xr:uid="{00000000-0002-0000-0000-000001000000}">
      <formula1>"ทางตรง,สามแยก,สี่แยก,ห้าแยก,สะพานข้ามแยก,สะพานข้ามแม่น้ำ"</formula1>
    </dataValidation>
  </dataValidation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J52"/>
  <sheetViews>
    <sheetView zoomScale="80" zoomScaleNormal="80" workbookViewId="0">
      <pane xSplit="1" ySplit="2" topLeftCell="X3" activePane="bottomRight" state="frozen"/>
      <selection pane="topRight" activeCell="B1" sqref="B1"/>
      <selection pane="bottomLeft" activeCell="A3" sqref="A3"/>
      <selection pane="bottomRight" activeCell="AY9" sqref="AY9"/>
    </sheetView>
  </sheetViews>
  <sheetFormatPr defaultColWidth="14.42578125" defaultRowHeight="15" customHeight="1" x14ac:dyDescent="0.55000000000000004"/>
  <cols>
    <col min="1" max="1" width="17.140625" style="140" customWidth="1"/>
    <col min="2" max="113" width="6" style="140" customWidth="1"/>
    <col min="114" max="218" width="6" style="140" hidden="1" customWidth="1"/>
    <col min="219" max="16384" width="14.42578125" style="140"/>
  </cols>
  <sheetData>
    <row r="1" spans="1:218" ht="21.75" customHeight="1" x14ac:dyDescent="0.55000000000000004">
      <c r="A1" s="9" t="s">
        <v>21</v>
      </c>
      <c r="B1" s="10"/>
      <c r="C1" s="11"/>
      <c r="D1" s="11"/>
      <c r="E1" s="12" t="s">
        <v>22</v>
      </c>
      <c r="F1" s="11"/>
      <c r="G1" s="11"/>
      <c r="H1" s="11"/>
      <c r="I1" s="10"/>
      <c r="J1" s="11"/>
      <c r="K1" s="11"/>
      <c r="L1" s="12" t="s">
        <v>23</v>
      </c>
      <c r="M1" s="11"/>
      <c r="N1" s="11"/>
      <c r="O1" s="11"/>
      <c r="P1" s="10"/>
      <c r="Q1" s="11"/>
      <c r="R1" s="11"/>
      <c r="S1" s="13" t="s">
        <v>24</v>
      </c>
      <c r="T1" s="11"/>
      <c r="U1" s="11"/>
      <c r="V1" s="11"/>
      <c r="W1" s="10"/>
      <c r="X1" s="11"/>
      <c r="Y1" s="11"/>
      <c r="Z1" s="12" t="s">
        <v>25</v>
      </c>
      <c r="AA1" s="11"/>
      <c r="AB1" s="11"/>
      <c r="AC1" s="11"/>
      <c r="AD1" s="14"/>
      <c r="AE1" s="15"/>
      <c r="AF1" s="15"/>
      <c r="AG1" s="16" t="s">
        <v>26</v>
      </c>
      <c r="AH1" s="15"/>
      <c r="AI1" s="15"/>
      <c r="AJ1" s="15"/>
      <c r="AK1" s="14"/>
      <c r="AL1" s="15"/>
      <c r="AM1" s="15"/>
      <c r="AN1" s="16" t="s">
        <v>27</v>
      </c>
      <c r="AO1" s="15"/>
      <c r="AP1" s="15"/>
      <c r="AQ1" s="15"/>
      <c r="AR1" s="14"/>
      <c r="AS1" s="15"/>
      <c r="AT1" s="15"/>
      <c r="AU1" s="17" t="s">
        <v>28</v>
      </c>
      <c r="AV1" s="15"/>
      <c r="AW1" s="15"/>
      <c r="AX1" s="15"/>
      <c r="AY1" s="14"/>
      <c r="AZ1" s="15"/>
      <c r="BA1" s="15"/>
      <c r="BB1" s="16" t="s">
        <v>29</v>
      </c>
      <c r="BC1" s="15"/>
      <c r="BD1" s="15"/>
      <c r="BE1" s="18"/>
      <c r="BF1" s="19"/>
      <c r="BG1" s="20"/>
      <c r="BH1" s="20"/>
      <c r="BI1" s="21" t="s">
        <v>30</v>
      </c>
      <c r="BJ1" s="20"/>
      <c r="BK1" s="20"/>
      <c r="BL1" s="20"/>
      <c r="BM1" s="19"/>
      <c r="BN1" s="20"/>
      <c r="BO1" s="20"/>
      <c r="BP1" s="21" t="s">
        <v>31</v>
      </c>
      <c r="BQ1" s="20"/>
      <c r="BR1" s="20"/>
      <c r="BS1" s="20"/>
      <c r="BT1" s="19"/>
      <c r="BU1" s="20"/>
      <c r="BV1" s="20"/>
      <c r="BW1" s="22" t="s">
        <v>32</v>
      </c>
      <c r="BX1" s="20"/>
      <c r="BY1" s="20"/>
      <c r="BZ1" s="20"/>
      <c r="CA1" s="19"/>
      <c r="CB1" s="20"/>
      <c r="CC1" s="20"/>
      <c r="CD1" s="21" t="s">
        <v>33</v>
      </c>
      <c r="CE1" s="20"/>
      <c r="CF1" s="20"/>
      <c r="CG1" s="23"/>
      <c r="CH1" s="24"/>
      <c r="CI1" s="25"/>
      <c r="CJ1" s="25"/>
      <c r="CK1" s="26" t="s">
        <v>34</v>
      </c>
      <c r="CL1" s="25"/>
      <c r="CM1" s="25"/>
      <c r="CN1" s="25"/>
      <c r="CO1" s="24"/>
      <c r="CP1" s="25"/>
      <c r="CQ1" s="25"/>
      <c r="CR1" s="26" t="s">
        <v>35</v>
      </c>
      <c r="CS1" s="25"/>
      <c r="CT1" s="25"/>
      <c r="CU1" s="25"/>
      <c r="CV1" s="24"/>
      <c r="CW1" s="25"/>
      <c r="CX1" s="25"/>
      <c r="CY1" s="27" t="s">
        <v>36</v>
      </c>
      <c r="CZ1" s="25"/>
      <c r="DA1" s="25"/>
      <c r="DB1" s="25"/>
      <c r="DC1" s="24"/>
      <c r="DD1" s="25"/>
      <c r="DE1" s="25"/>
      <c r="DF1" s="26" t="s">
        <v>37</v>
      </c>
      <c r="DG1" s="25"/>
      <c r="DH1" s="25"/>
      <c r="DI1" s="28"/>
      <c r="DJ1" s="29"/>
      <c r="DK1" s="30"/>
      <c r="DL1" s="30"/>
      <c r="DM1" s="31" t="s">
        <v>38</v>
      </c>
      <c r="DN1" s="30"/>
      <c r="DO1" s="30"/>
      <c r="DP1" s="30"/>
      <c r="DQ1" s="29"/>
      <c r="DR1" s="30"/>
      <c r="DS1" s="30"/>
      <c r="DT1" s="31" t="s">
        <v>39</v>
      </c>
      <c r="DU1" s="30"/>
      <c r="DV1" s="30"/>
      <c r="DW1" s="30"/>
      <c r="DX1" s="29"/>
      <c r="DY1" s="30"/>
      <c r="DZ1" s="30"/>
      <c r="EA1" s="31" t="s">
        <v>40</v>
      </c>
      <c r="EB1" s="30"/>
      <c r="EC1" s="30"/>
      <c r="ED1" s="30"/>
      <c r="EE1" s="271"/>
      <c r="EF1" s="271"/>
      <c r="EG1" s="271"/>
      <c r="EH1" s="271"/>
      <c r="EI1" s="271"/>
      <c r="EJ1" s="271"/>
      <c r="EK1" s="271"/>
      <c r="EL1" s="32"/>
      <c r="EM1" s="33"/>
      <c r="EN1" s="33"/>
      <c r="EO1" s="34" t="s">
        <v>41</v>
      </c>
      <c r="EP1" s="33"/>
      <c r="EQ1" s="33"/>
      <c r="ER1" s="33"/>
      <c r="ES1" s="32"/>
      <c r="ET1" s="33"/>
      <c r="EU1" s="33"/>
      <c r="EV1" s="34" t="s">
        <v>42</v>
      </c>
      <c r="EW1" s="33"/>
      <c r="EX1" s="33"/>
      <c r="EY1" s="35"/>
      <c r="EZ1" s="32"/>
      <c r="FA1" s="33"/>
      <c r="FB1" s="33"/>
      <c r="FC1" s="34" t="s">
        <v>43</v>
      </c>
      <c r="FD1" s="33"/>
      <c r="FE1" s="33"/>
      <c r="FF1" s="33"/>
      <c r="FG1" s="278"/>
      <c r="FH1" s="278"/>
      <c r="FI1" s="278"/>
      <c r="FJ1" s="278"/>
      <c r="FK1" s="278"/>
      <c r="FL1" s="278"/>
      <c r="FM1" s="278"/>
      <c r="FN1" s="36"/>
      <c r="FO1" s="37"/>
      <c r="FP1" s="37"/>
      <c r="FQ1" s="38" t="s">
        <v>44</v>
      </c>
      <c r="FR1" s="37"/>
      <c r="FS1" s="37"/>
      <c r="FT1" s="37"/>
      <c r="FU1" s="36"/>
      <c r="FV1" s="37"/>
      <c r="FW1" s="37"/>
      <c r="FX1" s="38" t="s">
        <v>45</v>
      </c>
      <c r="FY1" s="37"/>
      <c r="FZ1" s="37"/>
      <c r="GA1" s="39"/>
      <c r="GB1" s="36"/>
      <c r="GC1" s="37"/>
      <c r="GD1" s="37"/>
      <c r="GE1" s="38" t="s">
        <v>46</v>
      </c>
      <c r="GF1" s="37"/>
      <c r="GG1" s="37"/>
      <c r="GH1" s="37"/>
      <c r="GI1" s="279"/>
      <c r="GJ1" s="279"/>
      <c r="GK1" s="279"/>
      <c r="GL1" s="279"/>
      <c r="GM1" s="279"/>
      <c r="GN1" s="279"/>
      <c r="GO1" s="279"/>
      <c r="GP1" s="40"/>
      <c r="GQ1" s="41"/>
      <c r="GR1" s="41"/>
      <c r="GS1" s="42" t="s">
        <v>47</v>
      </c>
      <c r="GT1" s="41"/>
      <c r="GU1" s="41"/>
      <c r="GV1" s="41"/>
      <c r="GW1" s="40"/>
      <c r="GX1" s="41"/>
      <c r="GY1" s="41"/>
      <c r="GZ1" s="42" t="s">
        <v>48</v>
      </c>
      <c r="HA1" s="41"/>
      <c r="HB1" s="41"/>
      <c r="HC1" s="43"/>
      <c r="HD1" s="40"/>
      <c r="HE1" s="41"/>
      <c r="HF1" s="41"/>
      <c r="HG1" s="42" t="s">
        <v>49</v>
      </c>
      <c r="HH1" s="41"/>
      <c r="HI1" s="41"/>
      <c r="HJ1" s="41"/>
    </row>
    <row r="2" spans="1:218" s="172" customFormat="1" ht="30.75" customHeight="1" x14ac:dyDescent="0.5">
      <c r="A2" s="163" t="s">
        <v>50</v>
      </c>
      <c r="B2" s="164" t="s">
        <v>51</v>
      </c>
      <c r="C2" s="164" t="s">
        <v>52</v>
      </c>
      <c r="D2" s="164" t="s">
        <v>53</v>
      </c>
      <c r="E2" s="164" t="s">
        <v>54</v>
      </c>
      <c r="F2" s="164" t="s">
        <v>55</v>
      </c>
      <c r="G2" s="164" t="s">
        <v>56</v>
      </c>
      <c r="H2" s="164" t="s">
        <v>57</v>
      </c>
      <c r="I2" s="164" t="s">
        <v>51</v>
      </c>
      <c r="J2" s="164" t="s">
        <v>52</v>
      </c>
      <c r="K2" s="164" t="s">
        <v>53</v>
      </c>
      <c r="L2" s="164" t="s">
        <v>54</v>
      </c>
      <c r="M2" s="164" t="s">
        <v>55</v>
      </c>
      <c r="N2" s="164" t="s">
        <v>56</v>
      </c>
      <c r="O2" s="164" t="s">
        <v>57</v>
      </c>
      <c r="P2" s="164" t="s">
        <v>51</v>
      </c>
      <c r="Q2" s="164" t="s">
        <v>52</v>
      </c>
      <c r="R2" s="164" t="s">
        <v>53</v>
      </c>
      <c r="S2" s="164" t="s">
        <v>54</v>
      </c>
      <c r="T2" s="164" t="s">
        <v>55</v>
      </c>
      <c r="U2" s="164" t="s">
        <v>56</v>
      </c>
      <c r="V2" s="164" t="s">
        <v>57</v>
      </c>
      <c r="W2" s="164" t="s">
        <v>51</v>
      </c>
      <c r="X2" s="164" t="s">
        <v>52</v>
      </c>
      <c r="Y2" s="164" t="s">
        <v>53</v>
      </c>
      <c r="Z2" s="164" t="s">
        <v>54</v>
      </c>
      <c r="AA2" s="164" t="s">
        <v>55</v>
      </c>
      <c r="AB2" s="164" t="s">
        <v>56</v>
      </c>
      <c r="AC2" s="164" t="s">
        <v>57</v>
      </c>
      <c r="AD2" s="165" t="s">
        <v>51</v>
      </c>
      <c r="AE2" s="165" t="s">
        <v>52</v>
      </c>
      <c r="AF2" s="165" t="s">
        <v>53</v>
      </c>
      <c r="AG2" s="165" t="s">
        <v>54</v>
      </c>
      <c r="AH2" s="165" t="s">
        <v>55</v>
      </c>
      <c r="AI2" s="165" t="s">
        <v>56</v>
      </c>
      <c r="AJ2" s="165" t="s">
        <v>57</v>
      </c>
      <c r="AK2" s="165" t="s">
        <v>51</v>
      </c>
      <c r="AL2" s="165" t="s">
        <v>52</v>
      </c>
      <c r="AM2" s="165" t="s">
        <v>53</v>
      </c>
      <c r="AN2" s="165" t="s">
        <v>54</v>
      </c>
      <c r="AO2" s="165" t="s">
        <v>55</v>
      </c>
      <c r="AP2" s="165" t="s">
        <v>56</v>
      </c>
      <c r="AQ2" s="165" t="s">
        <v>57</v>
      </c>
      <c r="AR2" s="165" t="s">
        <v>51</v>
      </c>
      <c r="AS2" s="165" t="s">
        <v>52</v>
      </c>
      <c r="AT2" s="165" t="s">
        <v>53</v>
      </c>
      <c r="AU2" s="165" t="s">
        <v>54</v>
      </c>
      <c r="AV2" s="165" t="s">
        <v>55</v>
      </c>
      <c r="AW2" s="165" t="s">
        <v>56</v>
      </c>
      <c r="AX2" s="165" t="s">
        <v>57</v>
      </c>
      <c r="AY2" s="165" t="s">
        <v>51</v>
      </c>
      <c r="AZ2" s="165" t="s">
        <v>52</v>
      </c>
      <c r="BA2" s="165" t="s">
        <v>53</v>
      </c>
      <c r="BB2" s="165" t="s">
        <v>54</v>
      </c>
      <c r="BC2" s="165" t="s">
        <v>55</v>
      </c>
      <c r="BD2" s="165" t="s">
        <v>56</v>
      </c>
      <c r="BE2" s="165" t="s">
        <v>57</v>
      </c>
      <c r="BF2" s="166" t="s">
        <v>51</v>
      </c>
      <c r="BG2" s="166" t="s">
        <v>52</v>
      </c>
      <c r="BH2" s="166" t="s">
        <v>53</v>
      </c>
      <c r="BI2" s="166" t="s">
        <v>54</v>
      </c>
      <c r="BJ2" s="166" t="s">
        <v>55</v>
      </c>
      <c r="BK2" s="166" t="s">
        <v>56</v>
      </c>
      <c r="BL2" s="166" t="s">
        <v>57</v>
      </c>
      <c r="BM2" s="166" t="s">
        <v>51</v>
      </c>
      <c r="BN2" s="166" t="s">
        <v>52</v>
      </c>
      <c r="BO2" s="166" t="s">
        <v>53</v>
      </c>
      <c r="BP2" s="166" t="s">
        <v>54</v>
      </c>
      <c r="BQ2" s="166" t="s">
        <v>55</v>
      </c>
      <c r="BR2" s="166" t="s">
        <v>56</v>
      </c>
      <c r="BS2" s="166" t="s">
        <v>57</v>
      </c>
      <c r="BT2" s="166" t="s">
        <v>51</v>
      </c>
      <c r="BU2" s="166" t="s">
        <v>52</v>
      </c>
      <c r="BV2" s="166" t="s">
        <v>53</v>
      </c>
      <c r="BW2" s="166" t="s">
        <v>54</v>
      </c>
      <c r="BX2" s="166" t="s">
        <v>55</v>
      </c>
      <c r="BY2" s="166" t="s">
        <v>56</v>
      </c>
      <c r="BZ2" s="166" t="s">
        <v>57</v>
      </c>
      <c r="CA2" s="166" t="s">
        <v>51</v>
      </c>
      <c r="CB2" s="166" t="s">
        <v>52</v>
      </c>
      <c r="CC2" s="166" t="s">
        <v>53</v>
      </c>
      <c r="CD2" s="166" t="s">
        <v>54</v>
      </c>
      <c r="CE2" s="166" t="s">
        <v>55</v>
      </c>
      <c r="CF2" s="166" t="s">
        <v>56</v>
      </c>
      <c r="CG2" s="166" t="s">
        <v>57</v>
      </c>
      <c r="CH2" s="167" t="s">
        <v>51</v>
      </c>
      <c r="CI2" s="167" t="s">
        <v>52</v>
      </c>
      <c r="CJ2" s="167" t="s">
        <v>53</v>
      </c>
      <c r="CK2" s="167" t="s">
        <v>54</v>
      </c>
      <c r="CL2" s="167" t="s">
        <v>55</v>
      </c>
      <c r="CM2" s="167" t="s">
        <v>56</v>
      </c>
      <c r="CN2" s="167" t="s">
        <v>57</v>
      </c>
      <c r="CO2" s="167" t="s">
        <v>51</v>
      </c>
      <c r="CP2" s="167" t="s">
        <v>52</v>
      </c>
      <c r="CQ2" s="167" t="s">
        <v>53</v>
      </c>
      <c r="CR2" s="167" t="s">
        <v>54</v>
      </c>
      <c r="CS2" s="167" t="s">
        <v>55</v>
      </c>
      <c r="CT2" s="167" t="s">
        <v>56</v>
      </c>
      <c r="CU2" s="167" t="s">
        <v>57</v>
      </c>
      <c r="CV2" s="167" t="s">
        <v>51</v>
      </c>
      <c r="CW2" s="167" t="s">
        <v>52</v>
      </c>
      <c r="CX2" s="167" t="s">
        <v>53</v>
      </c>
      <c r="CY2" s="167" t="s">
        <v>54</v>
      </c>
      <c r="CZ2" s="167" t="s">
        <v>55</v>
      </c>
      <c r="DA2" s="167" t="s">
        <v>56</v>
      </c>
      <c r="DB2" s="167" t="s">
        <v>57</v>
      </c>
      <c r="DC2" s="167" t="s">
        <v>51</v>
      </c>
      <c r="DD2" s="167" t="s">
        <v>52</v>
      </c>
      <c r="DE2" s="167" t="s">
        <v>53</v>
      </c>
      <c r="DF2" s="167" t="s">
        <v>54</v>
      </c>
      <c r="DG2" s="167" t="s">
        <v>55</v>
      </c>
      <c r="DH2" s="167" t="s">
        <v>56</v>
      </c>
      <c r="DI2" s="167" t="s">
        <v>57</v>
      </c>
      <c r="DJ2" s="168" t="s">
        <v>51</v>
      </c>
      <c r="DK2" s="168" t="s">
        <v>52</v>
      </c>
      <c r="DL2" s="168" t="s">
        <v>53</v>
      </c>
      <c r="DM2" s="168" t="s">
        <v>54</v>
      </c>
      <c r="DN2" s="168" t="s">
        <v>55</v>
      </c>
      <c r="DO2" s="168" t="s">
        <v>56</v>
      </c>
      <c r="DP2" s="168" t="s">
        <v>57</v>
      </c>
      <c r="DQ2" s="168" t="s">
        <v>51</v>
      </c>
      <c r="DR2" s="168" t="s">
        <v>52</v>
      </c>
      <c r="DS2" s="168" t="s">
        <v>53</v>
      </c>
      <c r="DT2" s="168" t="s">
        <v>54</v>
      </c>
      <c r="DU2" s="168" t="s">
        <v>55</v>
      </c>
      <c r="DV2" s="168" t="s">
        <v>56</v>
      </c>
      <c r="DW2" s="168" t="s">
        <v>57</v>
      </c>
      <c r="DX2" s="168" t="s">
        <v>51</v>
      </c>
      <c r="DY2" s="168" t="s">
        <v>52</v>
      </c>
      <c r="DZ2" s="168" t="s">
        <v>53</v>
      </c>
      <c r="EA2" s="168" t="s">
        <v>54</v>
      </c>
      <c r="EB2" s="168" t="s">
        <v>55</v>
      </c>
      <c r="EC2" s="168" t="s">
        <v>56</v>
      </c>
      <c r="ED2" s="168" t="s">
        <v>57</v>
      </c>
      <c r="EE2" s="168"/>
      <c r="EF2" s="168"/>
      <c r="EG2" s="168"/>
      <c r="EH2" s="168"/>
      <c r="EI2" s="168"/>
      <c r="EJ2" s="168"/>
      <c r="EK2" s="168"/>
      <c r="EL2" s="169" t="s">
        <v>51</v>
      </c>
      <c r="EM2" s="169" t="s">
        <v>52</v>
      </c>
      <c r="EN2" s="169" t="s">
        <v>53</v>
      </c>
      <c r="EO2" s="169" t="s">
        <v>54</v>
      </c>
      <c r="EP2" s="169" t="s">
        <v>55</v>
      </c>
      <c r="EQ2" s="169" t="s">
        <v>56</v>
      </c>
      <c r="ER2" s="169" t="s">
        <v>57</v>
      </c>
      <c r="ES2" s="169" t="s">
        <v>51</v>
      </c>
      <c r="ET2" s="169" t="s">
        <v>52</v>
      </c>
      <c r="EU2" s="169" t="s">
        <v>53</v>
      </c>
      <c r="EV2" s="169" t="s">
        <v>54</v>
      </c>
      <c r="EW2" s="169" t="s">
        <v>55</v>
      </c>
      <c r="EX2" s="169" t="s">
        <v>56</v>
      </c>
      <c r="EY2" s="169" t="s">
        <v>57</v>
      </c>
      <c r="EZ2" s="169" t="s">
        <v>51</v>
      </c>
      <c r="FA2" s="169" t="s">
        <v>52</v>
      </c>
      <c r="FB2" s="169" t="s">
        <v>53</v>
      </c>
      <c r="FC2" s="169" t="s">
        <v>54</v>
      </c>
      <c r="FD2" s="169" t="s">
        <v>55</v>
      </c>
      <c r="FE2" s="169" t="s">
        <v>56</v>
      </c>
      <c r="FF2" s="169" t="s">
        <v>57</v>
      </c>
      <c r="FG2" s="169"/>
      <c r="FH2" s="169"/>
      <c r="FI2" s="169"/>
      <c r="FJ2" s="169"/>
      <c r="FK2" s="169"/>
      <c r="FL2" s="169"/>
      <c r="FM2" s="169"/>
      <c r="FN2" s="170" t="s">
        <v>51</v>
      </c>
      <c r="FO2" s="170" t="s">
        <v>52</v>
      </c>
      <c r="FP2" s="170" t="s">
        <v>53</v>
      </c>
      <c r="FQ2" s="170" t="s">
        <v>54</v>
      </c>
      <c r="FR2" s="170" t="s">
        <v>55</v>
      </c>
      <c r="FS2" s="170" t="s">
        <v>56</v>
      </c>
      <c r="FT2" s="170" t="s">
        <v>57</v>
      </c>
      <c r="FU2" s="170" t="s">
        <v>51</v>
      </c>
      <c r="FV2" s="170" t="s">
        <v>52</v>
      </c>
      <c r="FW2" s="170" t="s">
        <v>53</v>
      </c>
      <c r="FX2" s="170" t="s">
        <v>54</v>
      </c>
      <c r="FY2" s="170" t="s">
        <v>55</v>
      </c>
      <c r="FZ2" s="170" t="s">
        <v>56</v>
      </c>
      <c r="GA2" s="170" t="s">
        <v>57</v>
      </c>
      <c r="GB2" s="170" t="s">
        <v>51</v>
      </c>
      <c r="GC2" s="170" t="s">
        <v>52</v>
      </c>
      <c r="GD2" s="170" t="s">
        <v>53</v>
      </c>
      <c r="GE2" s="170" t="s">
        <v>54</v>
      </c>
      <c r="GF2" s="170" t="s">
        <v>55</v>
      </c>
      <c r="GG2" s="170" t="s">
        <v>56</v>
      </c>
      <c r="GH2" s="170" t="s">
        <v>57</v>
      </c>
      <c r="GI2" s="170"/>
      <c r="GJ2" s="170"/>
      <c r="GK2" s="170"/>
      <c r="GL2" s="170"/>
      <c r="GM2" s="170"/>
      <c r="GN2" s="170"/>
      <c r="GO2" s="170"/>
      <c r="GP2" s="171" t="s">
        <v>51</v>
      </c>
      <c r="GQ2" s="171" t="s">
        <v>52</v>
      </c>
      <c r="GR2" s="171" t="s">
        <v>53</v>
      </c>
      <c r="GS2" s="171" t="s">
        <v>54</v>
      </c>
      <c r="GT2" s="171" t="s">
        <v>55</v>
      </c>
      <c r="GU2" s="171" t="s">
        <v>56</v>
      </c>
      <c r="GV2" s="171" t="s">
        <v>57</v>
      </c>
      <c r="GW2" s="171" t="s">
        <v>51</v>
      </c>
      <c r="GX2" s="171" t="s">
        <v>52</v>
      </c>
      <c r="GY2" s="171" t="s">
        <v>53</v>
      </c>
      <c r="GZ2" s="171" t="s">
        <v>54</v>
      </c>
      <c r="HA2" s="171" t="s">
        <v>55</v>
      </c>
      <c r="HB2" s="171" t="s">
        <v>56</v>
      </c>
      <c r="HC2" s="171" t="s">
        <v>57</v>
      </c>
      <c r="HD2" s="171" t="s">
        <v>51</v>
      </c>
      <c r="HE2" s="171" t="s">
        <v>52</v>
      </c>
      <c r="HF2" s="171" t="s">
        <v>53</v>
      </c>
      <c r="HG2" s="171" t="s">
        <v>54</v>
      </c>
      <c r="HH2" s="171" t="s">
        <v>55</v>
      </c>
      <c r="HI2" s="171" t="s">
        <v>56</v>
      </c>
      <c r="HJ2" s="171" t="s">
        <v>57</v>
      </c>
    </row>
    <row r="3" spans="1:218" s="369" customFormat="1" ht="21.75" customHeight="1" x14ac:dyDescent="0.6">
      <c r="A3" s="361" t="s">
        <v>58</v>
      </c>
      <c r="B3" s="362">
        <v>38</v>
      </c>
      <c r="C3" s="363">
        <v>7</v>
      </c>
      <c r="D3" s="363"/>
      <c r="E3" s="363"/>
      <c r="F3" s="363">
        <v>1</v>
      </c>
      <c r="G3" s="363"/>
      <c r="H3" s="364">
        <f t="shared" ref="H3:H50" si="0">SUM(B3:G3)</f>
        <v>46</v>
      </c>
      <c r="I3" s="362">
        <v>22</v>
      </c>
      <c r="J3" s="363">
        <v>5</v>
      </c>
      <c r="K3" s="363"/>
      <c r="L3" s="363"/>
      <c r="M3" s="363"/>
      <c r="N3" s="363"/>
      <c r="O3" s="364">
        <f t="shared" ref="O3:O50" si="1">SUM(I3:N3)</f>
        <v>27</v>
      </c>
      <c r="P3" s="362">
        <v>29</v>
      </c>
      <c r="Q3" s="363">
        <v>9</v>
      </c>
      <c r="R3" s="363"/>
      <c r="S3" s="363"/>
      <c r="T3" s="363"/>
      <c r="U3" s="363"/>
      <c r="V3" s="364">
        <f t="shared" ref="V3:V50" si="2">SUM(P3:U3)</f>
        <v>38</v>
      </c>
      <c r="W3" s="362"/>
      <c r="X3" s="363"/>
      <c r="Y3" s="363"/>
      <c r="Z3" s="363"/>
      <c r="AA3" s="363"/>
      <c r="AB3" s="363"/>
      <c r="AC3" s="364">
        <f t="shared" ref="AC3:AC50" si="3">SUM(W3:AB3)</f>
        <v>0</v>
      </c>
      <c r="AD3" s="362">
        <v>48</v>
      </c>
      <c r="AE3" s="363">
        <v>18</v>
      </c>
      <c r="AF3" s="363"/>
      <c r="AG3" s="363"/>
      <c r="AH3" s="363">
        <v>1</v>
      </c>
      <c r="AI3" s="363"/>
      <c r="AJ3" s="364">
        <f t="shared" ref="AJ3:AJ50" si="4">SUM(AD3:AI3)</f>
        <v>67</v>
      </c>
      <c r="AK3" s="362">
        <v>191</v>
      </c>
      <c r="AL3" s="363">
        <v>39</v>
      </c>
      <c r="AM3" s="363"/>
      <c r="AN3" s="363"/>
      <c r="AO3" s="363"/>
      <c r="AP3" s="363"/>
      <c r="AQ3" s="364">
        <f t="shared" ref="AQ3:AQ50" si="5">SUM(AK3:AP3)</f>
        <v>230</v>
      </c>
      <c r="AR3" s="362">
        <v>35</v>
      </c>
      <c r="AS3" s="363">
        <v>7</v>
      </c>
      <c r="AT3" s="363"/>
      <c r="AU3" s="363"/>
      <c r="AV3" s="363"/>
      <c r="AW3" s="363"/>
      <c r="AX3" s="364">
        <f t="shared" ref="AX3:AX50" si="6">SUM(AR3:AW3)</f>
        <v>42</v>
      </c>
      <c r="AY3" s="363">
        <v>54</v>
      </c>
      <c r="AZ3" s="363">
        <v>11</v>
      </c>
      <c r="BA3" s="363"/>
      <c r="BB3" s="363"/>
      <c r="BC3" s="363">
        <v>1</v>
      </c>
      <c r="BD3" s="363"/>
      <c r="BE3" s="364">
        <f t="shared" ref="BE3:BE50" si="7">SUM(AY3:BD3)</f>
        <v>66</v>
      </c>
      <c r="BF3" s="362">
        <v>2</v>
      </c>
      <c r="BG3" s="363"/>
      <c r="BH3" s="363"/>
      <c r="BI3" s="363"/>
      <c r="BJ3" s="363"/>
      <c r="BK3" s="363"/>
      <c r="BL3" s="364">
        <f t="shared" ref="BL3:BL50" si="8">SUM(BF3:BK3)</f>
        <v>2</v>
      </c>
      <c r="BM3" s="362">
        <v>75</v>
      </c>
      <c r="BN3" s="363">
        <v>7</v>
      </c>
      <c r="BO3" s="363"/>
      <c r="BP3" s="363"/>
      <c r="BQ3" s="363"/>
      <c r="BR3" s="363"/>
      <c r="BS3" s="364">
        <f t="shared" ref="BS3:BS50" si="9">SUM(BM3:BR3)</f>
        <v>82</v>
      </c>
      <c r="BT3" s="362">
        <v>65</v>
      </c>
      <c r="BU3" s="363">
        <v>10</v>
      </c>
      <c r="BV3" s="363"/>
      <c r="BW3" s="363"/>
      <c r="BX3" s="363"/>
      <c r="BY3" s="363"/>
      <c r="BZ3" s="364">
        <f t="shared" ref="BZ3:BZ50" si="10">SUM(BT3:BY3)</f>
        <v>75</v>
      </c>
      <c r="CA3" s="363"/>
      <c r="CB3" s="363"/>
      <c r="CC3" s="363"/>
      <c r="CD3" s="363"/>
      <c r="CE3" s="363"/>
      <c r="CF3" s="363"/>
      <c r="CG3" s="364">
        <f t="shared" ref="CG3:CG50" si="11">SUM(CA3:CF3)</f>
        <v>0</v>
      </c>
      <c r="CH3" s="362">
        <v>67</v>
      </c>
      <c r="CI3" s="363">
        <v>6</v>
      </c>
      <c r="CJ3" s="363"/>
      <c r="CK3" s="363"/>
      <c r="CL3" s="363"/>
      <c r="CM3" s="363"/>
      <c r="CN3" s="364">
        <f t="shared" ref="CN3:CN50" si="12">SUM(CH3:CM3)</f>
        <v>73</v>
      </c>
      <c r="CO3" s="362">
        <v>138</v>
      </c>
      <c r="CP3" s="363">
        <v>15</v>
      </c>
      <c r="CQ3" s="363">
        <v>3</v>
      </c>
      <c r="CR3" s="363"/>
      <c r="CS3" s="363">
        <v>5</v>
      </c>
      <c r="CT3" s="363"/>
      <c r="CU3" s="364">
        <f t="shared" ref="CU3:CU50" si="13">SUM(CO3:CT3)</f>
        <v>161</v>
      </c>
      <c r="CV3" s="362"/>
      <c r="CW3" s="363"/>
      <c r="CX3" s="363"/>
      <c r="CY3" s="363"/>
      <c r="CZ3" s="363"/>
      <c r="DA3" s="363"/>
      <c r="DB3" s="364">
        <f t="shared" ref="DB3:DB50" si="14">SUM(CV3:DA3)</f>
        <v>0</v>
      </c>
      <c r="DC3" s="363"/>
      <c r="DD3" s="363"/>
      <c r="DE3" s="363"/>
      <c r="DF3" s="363"/>
      <c r="DG3" s="363"/>
      <c r="DH3" s="363"/>
      <c r="DI3" s="364">
        <f t="shared" ref="DI3:DI50" si="15">SUM(DC3:DH3)</f>
        <v>0</v>
      </c>
      <c r="DJ3" s="365"/>
      <c r="DK3" s="366"/>
      <c r="DL3" s="366"/>
      <c r="DM3" s="366"/>
      <c r="DN3" s="366"/>
      <c r="DO3" s="366"/>
      <c r="DP3" s="367">
        <f t="shared" ref="DP3:DP50" si="16">SUM(DJ3:DO3)</f>
        <v>0</v>
      </c>
      <c r="DQ3" s="366"/>
      <c r="DR3" s="366"/>
      <c r="DS3" s="366"/>
      <c r="DT3" s="366"/>
      <c r="DU3" s="366"/>
      <c r="DV3" s="366"/>
      <c r="DW3" s="367">
        <f t="shared" ref="DW3:DW50" si="17">SUM(DQ3:DV3)</f>
        <v>0</v>
      </c>
      <c r="DX3" s="365"/>
      <c r="DY3" s="366"/>
      <c r="DZ3" s="366"/>
      <c r="EA3" s="366"/>
      <c r="EB3" s="366"/>
      <c r="EC3" s="366"/>
      <c r="ED3" s="367">
        <f t="shared" ref="ED3:ED50" si="18">SUM(DX3:EC3)</f>
        <v>0</v>
      </c>
      <c r="EE3" s="368"/>
      <c r="EF3" s="368"/>
      <c r="EG3" s="368"/>
      <c r="EH3" s="368"/>
      <c r="EI3" s="368"/>
      <c r="EJ3" s="368"/>
      <c r="EK3" s="368"/>
      <c r="EL3" s="365"/>
      <c r="EM3" s="366"/>
      <c r="EN3" s="366"/>
      <c r="EO3" s="366"/>
      <c r="EP3" s="366"/>
      <c r="EQ3" s="366"/>
      <c r="ER3" s="367">
        <f t="shared" ref="ER3:ER50" si="19">SUM(EL3:EQ3)</f>
        <v>0</v>
      </c>
      <c r="ES3" s="366"/>
      <c r="ET3" s="366"/>
      <c r="EU3" s="366"/>
      <c r="EV3" s="366"/>
      <c r="EW3" s="366"/>
      <c r="EX3" s="366"/>
      <c r="EY3" s="367">
        <f t="shared" ref="EY3:EY50" si="20">SUM(ES3:EX3)</f>
        <v>0</v>
      </c>
      <c r="EZ3" s="365"/>
      <c r="FA3" s="366"/>
      <c r="FB3" s="366"/>
      <c r="FC3" s="366"/>
      <c r="FD3" s="366"/>
      <c r="FE3" s="366"/>
      <c r="FF3" s="367">
        <f t="shared" ref="FF3:FF50" si="21">SUM(EZ3:FE3)</f>
        <v>0</v>
      </c>
      <c r="FG3" s="368"/>
      <c r="FH3" s="368"/>
      <c r="FI3" s="368"/>
      <c r="FJ3" s="368"/>
      <c r="FK3" s="368"/>
      <c r="FL3" s="368"/>
      <c r="FM3" s="368"/>
      <c r="FN3" s="365"/>
      <c r="FO3" s="366"/>
      <c r="FP3" s="366"/>
      <c r="FQ3" s="366"/>
      <c r="FR3" s="366"/>
      <c r="FS3" s="366"/>
      <c r="FT3" s="367">
        <f t="shared" ref="FT3:FT50" si="22">SUM(FN3:FS3)</f>
        <v>0</v>
      </c>
      <c r="FU3" s="366"/>
      <c r="FV3" s="366"/>
      <c r="FW3" s="366"/>
      <c r="FX3" s="366"/>
      <c r="FY3" s="366"/>
      <c r="FZ3" s="366"/>
      <c r="GA3" s="367">
        <f t="shared" ref="GA3:GA50" si="23">SUM(FU3:FZ3)</f>
        <v>0</v>
      </c>
      <c r="GB3" s="365"/>
      <c r="GC3" s="366"/>
      <c r="GD3" s="366"/>
      <c r="GE3" s="366"/>
      <c r="GF3" s="366"/>
      <c r="GG3" s="366"/>
      <c r="GH3" s="367">
        <f t="shared" ref="GH3:GH50" si="24">SUM(GB3:GG3)</f>
        <v>0</v>
      </c>
      <c r="GI3" s="368"/>
      <c r="GJ3" s="368"/>
      <c r="GK3" s="368"/>
      <c r="GL3" s="368"/>
      <c r="GM3" s="368"/>
      <c r="GN3" s="368"/>
      <c r="GO3" s="368"/>
      <c r="GP3" s="365"/>
      <c r="GQ3" s="366"/>
      <c r="GR3" s="366"/>
      <c r="GS3" s="366"/>
      <c r="GT3" s="366"/>
      <c r="GU3" s="366"/>
      <c r="GV3" s="367">
        <f t="shared" ref="GV3:GV50" si="25">SUM(GP3:GU3)</f>
        <v>0</v>
      </c>
      <c r="GW3" s="366"/>
      <c r="GX3" s="366"/>
      <c r="GY3" s="366"/>
      <c r="GZ3" s="366"/>
      <c r="HA3" s="366"/>
      <c r="HB3" s="366"/>
      <c r="HC3" s="367">
        <f t="shared" ref="HC3:HC50" si="26">SUM(GW3:HB3)</f>
        <v>0</v>
      </c>
      <c r="HD3" s="365"/>
      <c r="HE3" s="366"/>
      <c r="HF3" s="366"/>
      <c r="HG3" s="366"/>
      <c r="HH3" s="366"/>
      <c r="HI3" s="366"/>
      <c r="HJ3" s="367">
        <f t="shared" ref="HJ3:HJ50" si="27">SUM(HD3:HI3)</f>
        <v>0</v>
      </c>
    </row>
    <row r="4" spans="1:218" s="369" customFormat="1" ht="21.75" customHeight="1" x14ac:dyDescent="0.6">
      <c r="A4" s="370" t="s">
        <v>59</v>
      </c>
      <c r="B4" s="371">
        <v>44</v>
      </c>
      <c r="C4" s="372">
        <v>4</v>
      </c>
      <c r="D4" s="372"/>
      <c r="E4" s="372"/>
      <c r="F4" s="372"/>
      <c r="G4" s="372">
        <v>1</v>
      </c>
      <c r="H4" s="364">
        <f t="shared" si="0"/>
        <v>49</v>
      </c>
      <c r="I4" s="371">
        <v>27</v>
      </c>
      <c r="J4" s="372">
        <v>4</v>
      </c>
      <c r="K4" s="372"/>
      <c r="L4" s="372"/>
      <c r="M4" s="372"/>
      <c r="N4" s="372"/>
      <c r="O4" s="364">
        <f t="shared" si="1"/>
        <v>31</v>
      </c>
      <c r="P4" s="371">
        <v>30</v>
      </c>
      <c r="Q4" s="372">
        <v>3</v>
      </c>
      <c r="R4" s="372"/>
      <c r="S4" s="372"/>
      <c r="T4" s="372"/>
      <c r="U4" s="372"/>
      <c r="V4" s="364">
        <f t="shared" si="2"/>
        <v>33</v>
      </c>
      <c r="W4" s="371"/>
      <c r="X4" s="372"/>
      <c r="Y4" s="372"/>
      <c r="Z4" s="372"/>
      <c r="AA4" s="372"/>
      <c r="AB4" s="372"/>
      <c r="AC4" s="364">
        <f t="shared" si="3"/>
        <v>0</v>
      </c>
      <c r="AD4" s="371">
        <v>51</v>
      </c>
      <c r="AE4" s="372">
        <v>14</v>
      </c>
      <c r="AF4" s="372"/>
      <c r="AG4" s="372"/>
      <c r="AH4" s="372"/>
      <c r="AI4" s="372"/>
      <c r="AJ4" s="364">
        <f t="shared" si="4"/>
        <v>65</v>
      </c>
      <c r="AK4" s="371">
        <v>180</v>
      </c>
      <c r="AL4" s="372">
        <v>24</v>
      </c>
      <c r="AM4" s="372"/>
      <c r="AN4" s="372"/>
      <c r="AO4" s="372">
        <v>7</v>
      </c>
      <c r="AP4" s="372"/>
      <c r="AQ4" s="364">
        <f t="shared" si="5"/>
        <v>211</v>
      </c>
      <c r="AR4" s="371">
        <v>26</v>
      </c>
      <c r="AS4" s="372">
        <v>3</v>
      </c>
      <c r="AT4" s="372"/>
      <c r="AU4" s="372"/>
      <c r="AV4" s="372"/>
      <c r="AW4" s="372"/>
      <c r="AX4" s="364">
        <f t="shared" si="6"/>
        <v>29</v>
      </c>
      <c r="AY4" s="372">
        <v>61</v>
      </c>
      <c r="AZ4" s="372">
        <v>13</v>
      </c>
      <c r="BA4" s="372"/>
      <c r="BB4" s="372"/>
      <c r="BC4" s="372"/>
      <c r="BD4" s="372"/>
      <c r="BE4" s="364">
        <f t="shared" si="7"/>
        <v>74</v>
      </c>
      <c r="BF4" s="371">
        <v>2</v>
      </c>
      <c r="BG4" s="372"/>
      <c r="BH4" s="372"/>
      <c r="BI4" s="372"/>
      <c r="BJ4" s="372"/>
      <c r="BK4" s="372"/>
      <c r="BL4" s="364">
        <f t="shared" si="8"/>
        <v>2</v>
      </c>
      <c r="BM4" s="371">
        <v>68</v>
      </c>
      <c r="BN4" s="372">
        <v>9</v>
      </c>
      <c r="BO4" s="372"/>
      <c r="BP4" s="372"/>
      <c r="BQ4" s="372"/>
      <c r="BR4" s="372"/>
      <c r="BS4" s="364">
        <f t="shared" si="9"/>
        <v>77</v>
      </c>
      <c r="BT4" s="371">
        <v>49</v>
      </c>
      <c r="BU4" s="372">
        <v>8</v>
      </c>
      <c r="BV4" s="372"/>
      <c r="BW4" s="372"/>
      <c r="BX4" s="372"/>
      <c r="BY4" s="372"/>
      <c r="BZ4" s="364">
        <f t="shared" si="10"/>
        <v>57</v>
      </c>
      <c r="CA4" s="372"/>
      <c r="CB4" s="372"/>
      <c r="CC4" s="372"/>
      <c r="CD4" s="372"/>
      <c r="CE4" s="372"/>
      <c r="CF4" s="372"/>
      <c r="CG4" s="364">
        <f t="shared" si="11"/>
        <v>0</v>
      </c>
      <c r="CH4" s="371">
        <v>56</v>
      </c>
      <c r="CI4" s="372">
        <v>3</v>
      </c>
      <c r="CJ4" s="372"/>
      <c r="CK4" s="372"/>
      <c r="CL4" s="372">
        <v>1</v>
      </c>
      <c r="CM4" s="372"/>
      <c r="CN4" s="364">
        <f t="shared" si="12"/>
        <v>60</v>
      </c>
      <c r="CO4" s="371">
        <v>146</v>
      </c>
      <c r="CP4" s="372">
        <v>21</v>
      </c>
      <c r="CQ4" s="372">
        <v>2</v>
      </c>
      <c r="CR4" s="372"/>
      <c r="CS4" s="372">
        <v>3</v>
      </c>
      <c r="CT4" s="372"/>
      <c r="CU4" s="364">
        <f t="shared" si="13"/>
        <v>172</v>
      </c>
      <c r="CV4" s="371"/>
      <c r="CW4" s="372"/>
      <c r="CX4" s="372"/>
      <c r="CY4" s="372"/>
      <c r="CZ4" s="372"/>
      <c r="DA4" s="372"/>
      <c r="DB4" s="364">
        <f t="shared" si="14"/>
        <v>0</v>
      </c>
      <c r="DC4" s="372"/>
      <c r="DD4" s="372"/>
      <c r="DE4" s="372"/>
      <c r="DF4" s="372"/>
      <c r="DG4" s="372"/>
      <c r="DH4" s="372"/>
      <c r="DI4" s="364">
        <f t="shared" si="15"/>
        <v>0</v>
      </c>
      <c r="DJ4" s="373"/>
      <c r="DK4" s="374"/>
      <c r="DL4" s="374"/>
      <c r="DM4" s="374"/>
      <c r="DN4" s="374"/>
      <c r="DO4" s="374"/>
      <c r="DP4" s="367">
        <f t="shared" si="16"/>
        <v>0</v>
      </c>
      <c r="DQ4" s="374"/>
      <c r="DR4" s="374"/>
      <c r="DS4" s="374"/>
      <c r="DT4" s="374"/>
      <c r="DU4" s="374"/>
      <c r="DV4" s="374"/>
      <c r="DW4" s="367">
        <f t="shared" si="17"/>
        <v>0</v>
      </c>
      <c r="DX4" s="373"/>
      <c r="DY4" s="374"/>
      <c r="DZ4" s="374"/>
      <c r="EA4" s="374"/>
      <c r="EB4" s="374"/>
      <c r="EC4" s="374"/>
      <c r="ED4" s="367">
        <f t="shared" si="18"/>
        <v>0</v>
      </c>
      <c r="EE4" s="375"/>
      <c r="EF4" s="375"/>
      <c r="EG4" s="375"/>
      <c r="EH4" s="375"/>
      <c r="EI4" s="375"/>
      <c r="EJ4" s="375"/>
      <c r="EK4" s="375"/>
      <c r="EL4" s="373"/>
      <c r="EM4" s="374"/>
      <c r="EN4" s="374"/>
      <c r="EO4" s="374"/>
      <c r="EP4" s="374"/>
      <c r="EQ4" s="374"/>
      <c r="ER4" s="367">
        <f t="shared" si="19"/>
        <v>0</v>
      </c>
      <c r="ES4" s="374"/>
      <c r="ET4" s="374"/>
      <c r="EU4" s="374"/>
      <c r="EV4" s="374"/>
      <c r="EW4" s="374"/>
      <c r="EX4" s="374"/>
      <c r="EY4" s="367">
        <f t="shared" si="20"/>
        <v>0</v>
      </c>
      <c r="EZ4" s="373"/>
      <c r="FA4" s="374"/>
      <c r="FB4" s="374"/>
      <c r="FC4" s="374"/>
      <c r="FD4" s="374"/>
      <c r="FE4" s="374"/>
      <c r="FF4" s="367">
        <f t="shared" si="21"/>
        <v>0</v>
      </c>
      <c r="FG4" s="375"/>
      <c r="FH4" s="375"/>
      <c r="FI4" s="375"/>
      <c r="FJ4" s="375"/>
      <c r="FK4" s="375"/>
      <c r="FL4" s="375"/>
      <c r="FM4" s="375"/>
      <c r="FN4" s="373"/>
      <c r="FO4" s="374"/>
      <c r="FP4" s="374"/>
      <c r="FQ4" s="374"/>
      <c r="FR4" s="374"/>
      <c r="FS4" s="374"/>
      <c r="FT4" s="367">
        <f t="shared" si="22"/>
        <v>0</v>
      </c>
      <c r="FU4" s="374"/>
      <c r="FV4" s="374"/>
      <c r="FW4" s="374"/>
      <c r="FX4" s="374"/>
      <c r="FY4" s="374"/>
      <c r="FZ4" s="374"/>
      <c r="GA4" s="367">
        <f t="shared" si="23"/>
        <v>0</v>
      </c>
      <c r="GB4" s="373"/>
      <c r="GC4" s="374"/>
      <c r="GD4" s="374"/>
      <c r="GE4" s="374"/>
      <c r="GF4" s="374"/>
      <c r="GG4" s="374"/>
      <c r="GH4" s="367">
        <f t="shared" si="24"/>
        <v>0</v>
      </c>
      <c r="GI4" s="375"/>
      <c r="GJ4" s="375"/>
      <c r="GK4" s="375"/>
      <c r="GL4" s="375"/>
      <c r="GM4" s="375"/>
      <c r="GN4" s="375"/>
      <c r="GO4" s="375"/>
      <c r="GP4" s="373"/>
      <c r="GQ4" s="374"/>
      <c r="GR4" s="374"/>
      <c r="GS4" s="374"/>
      <c r="GT4" s="374"/>
      <c r="GU4" s="374"/>
      <c r="GV4" s="367">
        <f t="shared" si="25"/>
        <v>0</v>
      </c>
      <c r="GW4" s="374"/>
      <c r="GX4" s="374"/>
      <c r="GY4" s="374"/>
      <c r="GZ4" s="374"/>
      <c r="HA4" s="374"/>
      <c r="HB4" s="374"/>
      <c r="HC4" s="367">
        <f t="shared" si="26"/>
        <v>0</v>
      </c>
      <c r="HD4" s="373"/>
      <c r="HE4" s="374"/>
      <c r="HF4" s="374"/>
      <c r="HG4" s="374"/>
      <c r="HH4" s="374"/>
      <c r="HI4" s="374"/>
      <c r="HJ4" s="367">
        <f t="shared" si="27"/>
        <v>0</v>
      </c>
    </row>
    <row r="5" spans="1:218" s="369" customFormat="1" ht="21.75" customHeight="1" x14ac:dyDescent="0.6">
      <c r="A5" s="370" t="s">
        <v>60</v>
      </c>
      <c r="B5" s="371">
        <v>41</v>
      </c>
      <c r="C5" s="372">
        <v>9</v>
      </c>
      <c r="D5" s="372"/>
      <c r="E5" s="372"/>
      <c r="F5" s="372">
        <v>2</v>
      </c>
      <c r="G5" s="372"/>
      <c r="H5" s="364">
        <f t="shared" si="0"/>
        <v>52</v>
      </c>
      <c r="I5" s="371">
        <v>21</v>
      </c>
      <c r="J5" s="372">
        <v>9</v>
      </c>
      <c r="K5" s="372"/>
      <c r="L5" s="372"/>
      <c r="M5" s="372"/>
      <c r="N5" s="372"/>
      <c r="O5" s="364">
        <f t="shared" si="1"/>
        <v>30</v>
      </c>
      <c r="P5" s="371">
        <v>27</v>
      </c>
      <c r="Q5" s="372">
        <v>5</v>
      </c>
      <c r="R5" s="372"/>
      <c r="S5" s="372"/>
      <c r="T5" s="372"/>
      <c r="U5" s="372"/>
      <c r="V5" s="364">
        <f t="shared" si="2"/>
        <v>32</v>
      </c>
      <c r="W5" s="371"/>
      <c r="X5" s="372"/>
      <c r="Y5" s="372"/>
      <c r="Z5" s="372"/>
      <c r="AA5" s="372"/>
      <c r="AB5" s="372"/>
      <c r="AC5" s="364">
        <f t="shared" si="3"/>
        <v>0</v>
      </c>
      <c r="AD5" s="371">
        <v>43</v>
      </c>
      <c r="AE5" s="372">
        <v>16</v>
      </c>
      <c r="AF5" s="372"/>
      <c r="AG5" s="372"/>
      <c r="AH5" s="372"/>
      <c r="AI5" s="372"/>
      <c r="AJ5" s="364">
        <f t="shared" si="4"/>
        <v>59</v>
      </c>
      <c r="AK5" s="371">
        <v>177</v>
      </c>
      <c r="AL5" s="372">
        <v>41</v>
      </c>
      <c r="AM5" s="372">
        <v>1</v>
      </c>
      <c r="AN5" s="372">
        <v>1</v>
      </c>
      <c r="AO5" s="372">
        <v>2</v>
      </c>
      <c r="AP5" s="372"/>
      <c r="AQ5" s="364">
        <f t="shared" si="5"/>
        <v>222</v>
      </c>
      <c r="AR5" s="371">
        <v>31</v>
      </c>
      <c r="AS5" s="372">
        <v>9</v>
      </c>
      <c r="AT5" s="372"/>
      <c r="AU5" s="372"/>
      <c r="AV5" s="372"/>
      <c r="AW5" s="372"/>
      <c r="AX5" s="364">
        <f t="shared" si="6"/>
        <v>40</v>
      </c>
      <c r="AY5" s="372">
        <v>57</v>
      </c>
      <c r="AZ5" s="372">
        <v>17</v>
      </c>
      <c r="BA5" s="372"/>
      <c r="BB5" s="372"/>
      <c r="BC5" s="372"/>
      <c r="BD5" s="372"/>
      <c r="BE5" s="364">
        <f t="shared" si="7"/>
        <v>74</v>
      </c>
      <c r="BF5" s="371">
        <v>3</v>
      </c>
      <c r="BG5" s="372">
        <v>1</v>
      </c>
      <c r="BH5" s="372"/>
      <c r="BI5" s="372"/>
      <c r="BJ5" s="372"/>
      <c r="BK5" s="372"/>
      <c r="BL5" s="364">
        <f t="shared" si="8"/>
        <v>4</v>
      </c>
      <c r="BM5" s="371">
        <v>70</v>
      </c>
      <c r="BN5" s="372">
        <v>13</v>
      </c>
      <c r="BO5" s="372"/>
      <c r="BP5" s="372"/>
      <c r="BQ5" s="372">
        <v>1</v>
      </c>
      <c r="BR5" s="372"/>
      <c r="BS5" s="364">
        <f t="shared" si="9"/>
        <v>84</v>
      </c>
      <c r="BT5" s="371">
        <v>60</v>
      </c>
      <c r="BU5" s="372">
        <v>12</v>
      </c>
      <c r="BV5" s="372"/>
      <c r="BW5" s="372"/>
      <c r="BX5" s="372"/>
      <c r="BY5" s="372"/>
      <c r="BZ5" s="364">
        <f t="shared" si="10"/>
        <v>72</v>
      </c>
      <c r="CA5" s="372"/>
      <c r="CB5" s="372"/>
      <c r="CC5" s="372"/>
      <c r="CD5" s="372"/>
      <c r="CE5" s="372"/>
      <c r="CF5" s="372"/>
      <c r="CG5" s="364">
        <f t="shared" si="11"/>
        <v>0</v>
      </c>
      <c r="CH5" s="371">
        <v>52</v>
      </c>
      <c r="CI5" s="372">
        <v>5</v>
      </c>
      <c r="CJ5" s="372"/>
      <c r="CK5" s="372"/>
      <c r="CL5" s="372"/>
      <c r="CM5" s="372"/>
      <c r="CN5" s="364">
        <f t="shared" si="12"/>
        <v>57</v>
      </c>
      <c r="CO5" s="371">
        <v>153</v>
      </c>
      <c r="CP5" s="372">
        <v>23</v>
      </c>
      <c r="CQ5" s="372">
        <v>1</v>
      </c>
      <c r="CR5" s="372"/>
      <c r="CS5" s="372">
        <v>1</v>
      </c>
      <c r="CT5" s="372"/>
      <c r="CU5" s="364">
        <f t="shared" si="13"/>
        <v>178</v>
      </c>
      <c r="CV5" s="371"/>
      <c r="CW5" s="372"/>
      <c r="CX5" s="372"/>
      <c r="CY5" s="372"/>
      <c r="CZ5" s="372"/>
      <c r="DA5" s="372"/>
      <c r="DB5" s="364">
        <f t="shared" si="14"/>
        <v>0</v>
      </c>
      <c r="DC5" s="372"/>
      <c r="DD5" s="372"/>
      <c r="DE5" s="372"/>
      <c r="DF5" s="372"/>
      <c r="DG5" s="372"/>
      <c r="DH5" s="372"/>
      <c r="DI5" s="364">
        <f t="shared" si="15"/>
        <v>0</v>
      </c>
      <c r="DJ5" s="373"/>
      <c r="DK5" s="374"/>
      <c r="DL5" s="374"/>
      <c r="DM5" s="374"/>
      <c r="DN5" s="374"/>
      <c r="DO5" s="374"/>
      <c r="DP5" s="367">
        <f t="shared" si="16"/>
        <v>0</v>
      </c>
      <c r="DQ5" s="374"/>
      <c r="DR5" s="374"/>
      <c r="DS5" s="374"/>
      <c r="DT5" s="374"/>
      <c r="DU5" s="374"/>
      <c r="DV5" s="374"/>
      <c r="DW5" s="367">
        <f t="shared" si="17"/>
        <v>0</v>
      </c>
      <c r="DX5" s="373"/>
      <c r="DY5" s="374"/>
      <c r="DZ5" s="374"/>
      <c r="EA5" s="374"/>
      <c r="EB5" s="374"/>
      <c r="EC5" s="374"/>
      <c r="ED5" s="367">
        <f t="shared" si="18"/>
        <v>0</v>
      </c>
      <c r="EE5" s="375"/>
      <c r="EF5" s="375"/>
      <c r="EG5" s="375"/>
      <c r="EH5" s="375"/>
      <c r="EI5" s="375"/>
      <c r="EJ5" s="375"/>
      <c r="EK5" s="375"/>
      <c r="EL5" s="373"/>
      <c r="EM5" s="374"/>
      <c r="EN5" s="374"/>
      <c r="EO5" s="374"/>
      <c r="EP5" s="374"/>
      <c r="EQ5" s="374"/>
      <c r="ER5" s="367">
        <f t="shared" si="19"/>
        <v>0</v>
      </c>
      <c r="ES5" s="374"/>
      <c r="ET5" s="374"/>
      <c r="EU5" s="374"/>
      <c r="EV5" s="374"/>
      <c r="EW5" s="374"/>
      <c r="EX5" s="374"/>
      <c r="EY5" s="367">
        <f t="shared" si="20"/>
        <v>0</v>
      </c>
      <c r="EZ5" s="373"/>
      <c r="FA5" s="374"/>
      <c r="FB5" s="374"/>
      <c r="FC5" s="374"/>
      <c r="FD5" s="374"/>
      <c r="FE5" s="374"/>
      <c r="FF5" s="367">
        <f t="shared" si="21"/>
        <v>0</v>
      </c>
      <c r="FG5" s="375"/>
      <c r="FH5" s="375"/>
      <c r="FI5" s="375"/>
      <c r="FJ5" s="375"/>
      <c r="FK5" s="375"/>
      <c r="FL5" s="375"/>
      <c r="FM5" s="375"/>
      <c r="FN5" s="373"/>
      <c r="FO5" s="374"/>
      <c r="FP5" s="374"/>
      <c r="FQ5" s="374"/>
      <c r="FR5" s="374"/>
      <c r="FS5" s="374"/>
      <c r="FT5" s="367">
        <f t="shared" si="22"/>
        <v>0</v>
      </c>
      <c r="FU5" s="374"/>
      <c r="FV5" s="374"/>
      <c r="FW5" s="374"/>
      <c r="FX5" s="374"/>
      <c r="FY5" s="374"/>
      <c r="FZ5" s="374"/>
      <c r="GA5" s="367">
        <f t="shared" si="23"/>
        <v>0</v>
      </c>
      <c r="GB5" s="373"/>
      <c r="GC5" s="374"/>
      <c r="GD5" s="374"/>
      <c r="GE5" s="374"/>
      <c r="GF5" s="374"/>
      <c r="GG5" s="374"/>
      <c r="GH5" s="367">
        <f t="shared" si="24"/>
        <v>0</v>
      </c>
      <c r="GI5" s="375"/>
      <c r="GJ5" s="375"/>
      <c r="GK5" s="375"/>
      <c r="GL5" s="375"/>
      <c r="GM5" s="375"/>
      <c r="GN5" s="375"/>
      <c r="GO5" s="375"/>
      <c r="GP5" s="373"/>
      <c r="GQ5" s="374"/>
      <c r="GR5" s="374"/>
      <c r="GS5" s="374"/>
      <c r="GT5" s="374"/>
      <c r="GU5" s="374"/>
      <c r="GV5" s="367">
        <f t="shared" si="25"/>
        <v>0</v>
      </c>
      <c r="GW5" s="374"/>
      <c r="GX5" s="374"/>
      <c r="GY5" s="374"/>
      <c r="GZ5" s="374"/>
      <c r="HA5" s="374"/>
      <c r="HB5" s="374"/>
      <c r="HC5" s="367">
        <f t="shared" si="26"/>
        <v>0</v>
      </c>
      <c r="HD5" s="373"/>
      <c r="HE5" s="374"/>
      <c r="HF5" s="374"/>
      <c r="HG5" s="374"/>
      <c r="HH5" s="374"/>
      <c r="HI5" s="374"/>
      <c r="HJ5" s="367">
        <f t="shared" si="27"/>
        <v>0</v>
      </c>
    </row>
    <row r="6" spans="1:218" s="369" customFormat="1" ht="21.75" customHeight="1" x14ac:dyDescent="0.6">
      <c r="A6" s="376" t="s">
        <v>61</v>
      </c>
      <c r="B6" s="377">
        <v>56</v>
      </c>
      <c r="C6" s="378">
        <v>5</v>
      </c>
      <c r="D6" s="378"/>
      <c r="E6" s="378"/>
      <c r="F6" s="378"/>
      <c r="G6" s="378"/>
      <c r="H6" s="364">
        <f t="shared" si="0"/>
        <v>61</v>
      </c>
      <c r="I6" s="377">
        <v>18</v>
      </c>
      <c r="J6" s="378">
        <v>11</v>
      </c>
      <c r="K6" s="378"/>
      <c r="L6" s="378"/>
      <c r="M6" s="378"/>
      <c r="N6" s="378"/>
      <c r="O6" s="364">
        <f t="shared" si="1"/>
        <v>29</v>
      </c>
      <c r="P6" s="377">
        <v>18</v>
      </c>
      <c r="Q6" s="378">
        <v>6</v>
      </c>
      <c r="R6" s="378"/>
      <c r="S6" s="378"/>
      <c r="T6" s="378"/>
      <c r="U6" s="378"/>
      <c r="V6" s="364">
        <f t="shared" si="2"/>
        <v>24</v>
      </c>
      <c r="W6" s="377"/>
      <c r="X6" s="378"/>
      <c r="Y6" s="378"/>
      <c r="Z6" s="378"/>
      <c r="AA6" s="378"/>
      <c r="AB6" s="378"/>
      <c r="AC6" s="364">
        <f t="shared" si="3"/>
        <v>0</v>
      </c>
      <c r="AD6" s="377">
        <v>48</v>
      </c>
      <c r="AE6" s="378">
        <v>10</v>
      </c>
      <c r="AF6" s="378"/>
      <c r="AG6" s="378"/>
      <c r="AH6" s="378"/>
      <c r="AI6" s="378"/>
      <c r="AJ6" s="364">
        <f t="shared" si="4"/>
        <v>58</v>
      </c>
      <c r="AK6" s="377">
        <v>168</v>
      </c>
      <c r="AL6" s="378">
        <v>37</v>
      </c>
      <c r="AM6" s="378"/>
      <c r="AN6" s="378"/>
      <c r="AO6" s="378">
        <v>4</v>
      </c>
      <c r="AP6" s="378"/>
      <c r="AQ6" s="364">
        <f t="shared" si="5"/>
        <v>209</v>
      </c>
      <c r="AR6" s="377">
        <v>23</v>
      </c>
      <c r="AS6" s="378">
        <v>5</v>
      </c>
      <c r="AT6" s="378"/>
      <c r="AU6" s="378"/>
      <c r="AV6" s="378"/>
      <c r="AW6" s="378"/>
      <c r="AX6" s="364">
        <f t="shared" si="6"/>
        <v>28</v>
      </c>
      <c r="AY6" s="378">
        <v>66</v>
      </c>
      <c r="AZ6" s="378">
        <v>12</v>
      </c>
      <c r="BA6" s="378">
        <v>1</v>
      </c>
      <c r="BB6" s="378"/>
      <c r="BC6" s="378">
        <v>2</v>
      </c>
      <c r="BD6" s="378"/>
      <c r="BE6" s="364">
        <f t="shared" si="7"/>
        <v>81</v>
      </c>
      <c r="BF6" s="377">
        <v>6</v>
      </c>
      <c r="BG6" s="378">
        <v>2</v>
      </c>
      <c r="BH6" s="378"/>
      <c r="BI6" s="378"/>
      <c r="BJ6" s="378"/>
      <c r="BK6" s="378"/>
      <c r="BL6" s="364">
        <f t="shared" si="8"/>
        <v>8</v>
      </c>
      <c r="BM6" s="377">
        <v>62</v>
      </c>
      <c r="BN6" s="378">
        <v>8</v>
      </c>
      <c r="BO6" s="378"/>
      <c r="BP6" s="378"/>
      <c r="BQ6" s="378"/>
      <c r="BR6" s="378"/>
      <c r="BS6" s="364">
        <f t="shared" si="9"/>
        <v>70</v>
      </c>
      <c r="BT6" s="377">
        <v>55</v>
      </c>
      <c r="BU6" s="378">
        <v>9</v>
      </c>
      <c r="BV6" s="378"/>
      <c r="BW6" s="378"/>
      <c r="BX6" s="378"/>
      <c r="BY6" s="378"/>
      <c r="BZ6" s="364">
        <f t="shared" si="10"/>
        <v>64</v>
      </c>
      <c r="CA6" s="378"/>
      <c r="CB6" s="378"/>
      <c r="CC6" s="378"/>
      <c r="CD6" s="378"/>
      <c r="CE6" s="378"/>
      <c r="CF6" s="378"/>
      <c r="CG6" s="364">
        <f t="shared" si="11"/>
        <v>0</v>
      </c>
      <c r="CH6" s="377">
        <v>60</v>
      </c>
      <c r="CI6" s="378">
        <v>7</v>
      </c>
      <c r="CJ6" s="378"/>
      <c r="CK6" s="378"/>
      <c r="CL6" s="378"/>
      <c r="CM6" s="378"/>
      <c r="CN6" s="364">
        <f t="shared" si="12"/>
        <v>67</v>
      </c>
      <c r="CO6" s="377">
        <v>150</v>
      </c>
      <c r="CP6" s="378">
        <v>25</v>
      </c>
      <c r="CQ6" s="378">
        <v>1</v>
      </c>
      <c r="CR6" s="378"/>
      <c r="CS6" s="378">
        <v>2</v>
      </c>
      <c r="CT6" s="378"/>
      <c r="CU6" s="364">
        <f t="shared" si="13"/>
        <v>178</v>
      </c>
      <c r="CV6" s="377"/>
      <c r="CW6" s="378"/>
      <c r="CX6" s="378"/>
      <c r="CY6" s="378"/>
      <c r="CZ6" s="378"/>
      <c r="DA6" s="378"/>
      <c r="DB6" s="364">
        <f t="shared" si="14"/>
        <v>0</v>
      </c>
      <c r="DC6" s="378"/>
      <c r="DD6" s="378"/>
      <c r="DE6" s="378"/>
      <c r="DF6" s="378"/>
      <c r="DG6" s="378"/>
      <c r="DH6" s="378"/>
      <c r="DI6" s="364">
        <f t="shared" si="15"/>
        <v>0</v>
      </c>
      <c r="DJ6" s="379"/>
      <c r="DK6" s="380"/>
      <c r="DL6" s="380"/>
      <c r="DM6" s="380"/>
      <c r="DN6" s="380"/>
      <c r="DO6" s="380"/>
      <c r="DP6" s="367">
        <f t="shared" si="16"/>
        <v>0</v>
      </c>
      <c r="DQ6" s="380"/>
      <c r="DR6" s="380"/>
      <c r="DS6" s="380"/>
      <c r="DT6" s="380"/>
      <c r="DU6" s="380"/>
      <c r="DV6" s="380"/>
      <c r="DW6" s="367">
        <f t="shared" si="17"/>
        <v>0</v>
      </c>
      <c r="DX6" s="379"/>
      <c r="DY6" s="380"/>
      <c r="DZ6" s="380"/>
      <c r="EA6" s="380"/>
      <c r="EB6" s="380"/>
      <c r="EC6" s="380"/>
      <c r="ED6" s="367">
        <f t="shared" si="18"/>
        <v>0</v>
      </c>
      <c r="EE6" s="375"/>
      <c r="EF6" s="375"/>
      <c r="EG6" s="375"/>
      <c r="EH6" s="375"/>
      <c r="EI6" s="375"/>
      <c r="EJ6" s="375"/>
      <c r="EK6" s="375"/>
      <c r="EL6" s="379"/>
      <c r="EM6" s="380"/>
      <c r="EN6" s="380"/>
      <c r="EO6" s="380"/>
      <c r="EP6" s="380"/>
      <c r="EQ6" s="380"/>
      <c r="ER6" s="367">
        <f t="shared" si="19"/>
        <v>0</v>
      </c>
      <c r="ES6" s="380"/>
      <c r="ET6" s="380"/>
      <c r="EU6" s="380"/>
      <c r="EV6" s="380"/>
      <c r="EW6" s="380"/>
      <c r="EX6" s="380"/>
      <c r="EY6" s="367">
        <f t="shared" si="20"/>
        <v>0</v>
      </c>
      <c r="EZ6" s="379"/>
      <c r="FA6" s="380"/>
      <c r="FB6" s="380"/>
      <c r="FC6" s="380"/>
      <c r="FD6" s="380"/>
      <c r="FE6" s="380"/>
      <c r="FF6" s="367">
        <f t="shared" si="21"/>
        <v>0</v>
      </c>
      <c r="FG6" s="375"/>
      <c r="FH6" s="375"/>
      <c r="FI6" s="375"/>
      <c r="FJ6" s="375"/>
      <c r="FK6" s="375"/>
      <c r="FL6" s="375"/>
      <c r="FM6" s="375"/>
      <c r="FN6" s="379"/>
      <c r="FO6" s="380"/>
      <c r="FP6" s="380"/>
      <c r="FQ6" s="380"/>
      <c r="FR6" s="380"/>
      <c r="FS6" s="380"/>
      <c r="FT6" s="367">
        <f t="shared" si="22"/>
        <v>0</v>
      </c>
      <c r="FU6" s="380"/>
      <c r="FV6" s="380"/>
      <c r="FW6" s="380"/>
      <c r="FX6" s="380"/>
      <c r="FY6" s="380"/>
      <c r="FZ6" s="380"/>
      <c r="GA6" s="367">
        <f t="shared" si="23"/>
        <v>0</v>
      </c>
      <c r="GB6" s="379"/>
      <c r="GC6" s="380"/>
      <c r="GD6" s="380"/>
      <c r="GE6" s="380"/>
      <c r="GF6" s="380"/>
      <c r="GG6" s="380"/>
      <c r="GH6" s="367">
        <f t="shared" si="24"/>
        <v>0</v>
      </c>
      <c r="GI6" s="375"/>
      <c r="GJ6" s="375"/>
      <c r="GK6" s="375"/>
      <c r="GL6" s="375"/>
      <c r="GM6" s="375"/>
      <c r="GN6" s="375"/>
      <c r="GO6" s="375"/>
      <c r="GP6" s="379"/>
      <c r="GQ6" s="380"/>
      <c r="GR6" s="380"/>
      <c r="GS6" s="380"/>
      <c r="GT6" s="380"/>
      <c r="GU6" s="380"/>
      <c r="GV6" s="367">
        <f t="shared" si="25"/>
        <v>0</v>
      </c>
      <c r="GW6" s="380"/>
      <c r="GX6" s="380"/>
      <c r="GY6" s="380"/>
      <c r="GZ6" s="380"/>
      <c r="HA6" s="380"/>
      <c r="HB6" s="380"/>
      <c r="HC6" s="367">
        <f t="shared" si="26"/>
        <v>0</v>
      </c>
      <c r="HD6" s="379"/>
      <c r="HE6" s="380"/>
      <c r="HF6" s="380"/>
      <c r="HG6" s="380"/>
      <c r="HH6" s="380"/>
      <c r="HI6" s="380"/>
      <c r="HJ6" s="367">
        <f t="shared" si="27"/>
        <v>0</v>
      </c>
    </row>
    <row r="7" spans="1:218" s="369" customFormat="1" ht="21.75" customHeight="1" x14ac:dyDescent="0.6">
      <c r="A7" s="361" t="s">
        <v>62</v>
      </c>
      <c r="B7" s="362">
        <v>52</v>
      </c>
      <c r="C7" s="363">
        <v>5</v>
      </c>
      <c r="D7" s="363">
        <v>1</v>
      </c>
      <c r="E7" s="363"/>
      <c r="F7" s="363"/>
      <c r="G7" s="363">
        <v>2</v>
      </c>
      <c r="H7" s="364">
        <f t="shared" si="0"/>
        <v>60</v>
      </c>
      <c r="I7" s="362">
        <v>19</v>
      </c>
      <c r="J7" s="363">
        <v>8</v>
      </c>
      <c r="K7" s="363"/>
      <c r="L7" s="363"/>
      <c r="M7" s="363"/>
      <c r="N7" s="363"/>
      <c r="O7" s="364">
        <f t="shared" si="1"/>
        <v>27</v>
      </c>
      <c r="P7" s="362">
        <v>15</v>
      </c>
      <c r="Q7" s="363">
        <v>9</v>
      </c>
      <c r="R7" s="363"/>
      <c r="S7" s="363"/>
      <c r="T7" s="363"/>
      <c r="U7" s="363"/>
      <c r="V7" s="364">
        <f t="shared" si="2"/>
        <v>24</v>
      </c>
      <c r="W7" s="362"/>
      <c r="X7" s="363"/>
      <c r="Y7" s="363"/>
      <c r="Z7" s="363"/>
      <c r="AA7" s="363"/>
      <c r="AB7" s="363"/>
      <c r="AC7" s="364">
        <f t="shared" si="3"/>
        <v>0</v>
      </c>
      <c r="AD7" s="362">
        <v>45</v>
      </c>
      <c r="AE7" s="363">
        <v>14</v>
      </c>
      <c r="AF7" s="363"/>
      <c r="AG7" s="363"/>
      <c r="AH7" s="363"/>
      <c r="AI7" s="363"/>
      <c r="AJ7" s="364">
        <f t="shared" si="4"/>
        <v>59</v>
      </c>
      <c r="AK7" s="362">
        <v>154</v>
      </c>
      <c r="AL7" s="363">
        <v>48</v>
      </c>
      <c r="AM7" s="363">
        <v>2</v>
      </c>
      <c r="AN7" s="363"/>
      <c r="AO7" s="363">
        <v>2</v>
      </c>
      <c r="AP7" s="363"/>
      <c r="AQ7" s="364">
        <f t="shared" si="5"/>
        <v>206</v>
      </c>
      <c r="AR7" s="362">
        <v>38</v>
      </c>
      <c r="AS7" s="363">
        <v>8</v>
      </c>
      <c r="AT7" s="363"/>
      <c r="AU7" s="363"/>
      <c r="AV7" s="363"/>
      <c r="AW7" s="363"/>
      <c r="AX7" s="364">
        <f t="shared" si="6"/>
        <v>46</v>
      </c>
      <c r="AY7" s="363">
        <v>60</v>
      </c>
      <c r="AZ7" s="363">
        <v>16</v>
      </c>
      <c r="BA7" s="363"/>
      <c r="BB7" s="363"/>
      <c r="BC7" s="363">
        <v>1</v>
      </c>
      <c r="BD7" s="363">
        <v>1</v>
      </c>
      <c r="BE7" s="364">
        <f t="shared" si="7"/>
        <v>78</v>
      </c>
      <c r="BF7" s="362">
        <v>2</v>
      </c>
      <c r="BG7" s="363">
        <v>2</v>
      </c>
      <c r="BH7" s="363"/>
      <c r="BI7" s="363"/>
      <c r="BJ7" s="363"/>
      <c r="BK7" s="363"/>
      <c r="BL7" s="364">
        <f t="shared" si="8"/>
        <v>4</v>
      </c>
      <c r="BM7" s="362">
        <v>58</v>
      </c>
      <c r="BN7" s="363">
        <v>10</v>
      </c>
      <c r="BO7" s="363"/>
      <c r="BP7" s="363"/>
      <c r="BQ7" s="363"/>
      <c r="BR7" s="363"/>
      <c r="BS7" s="364">
        <f t="shared" si="9"/>
        <v>68</v>
      </c>
      <c r="BT7" s="362">
        <v>63</v>
      </c>
      <c r="BU7" s="363">
        <v>17</v>
      </c>
      <c r="BV7" s="363"/>
      <c r="BW7" s="363"/>
      <c r="BX7" s="363"/>
      <c r="BY7" s="363"/>
      <c r="BZ7" s="364">
        <f t="shared" si="10"/>
        <v>80</v>
      </c>
      <c r="CA7" s="363"/>
      <c r="CB7" s="363"/>
      <c r="CC7" s="363"/>
      <c r="CD7" s="363"/>
      <c r="CE7" s="363"/>
      <c r="CF7" s="363"/>
      <c r="CG7" s="364">
        <f t="shared" si="11"/>
        <v>0</v>
      </c>
      <c r="CH7" s="362">
        <v>69</v>
      </c>
      <c r="CI7" s="363">
        <v>10</v>
      </c>
      <c r="CJ7" s="363"/>
      <c r="CK7" s="363"/>
      <c r="CL7" s="363">
        <v>1</v>
      </c>
      <c r="CM7" s="363"/>
      <c r="CN7" s="364">
        <f t="shared" si="12"/>
        <v>80</v>
      </c>
      <c r="CO7" s="362">
        <v>142</v>
      </c>
      <c r="CP7" s="363">
        <v>18</v>
      </c>
      <c r="CQ7" s="363">
        <v>2</v>
      </c>
      <c r="CR7" s="363"/>
      <c r="CS7" s="363">
        <v>2</v>
      </c>
      <c r="CT7" s="363"/>
      <c r="CU7" s="364">
        <f t="shared" si="13"/>
        <v>164</v>
      </c>
      <c r="CV7" s="362"/>
      <c r="CW7" s="363"/>
      <c r="CX7" s="363"/>
      <c r="CY7" s="363"/>
      <c r="CZ7" s="363"/>
      <c r="DA7" s="363"/>
      <c r="DB7" s="364">
        <f t="shared" si="14"/>
        <v>0</v>
      </c>
      <c r="DC7" s="363"/>
      <c r="DD7" s="363"/>
      <c r="DE7" s="363"/>
      <c r="DF7" s="363"/>
      <c r="DG7" s="363"/>
      <c r="DH7" s="363"/>
      <c r="DI7" s="364">
        <f t="shared" si="15"/>
        <v>0</v>
      </c>
      <c r="DJ7" s="365"/>
      <c r="DK7" s="366"/>
      <c r="DL7" s="366"/>
      <c r="DM7" s="366"/>
      <c r="DN7" s="366"/>
      <c r="DO7" s="366"/>
      <c r="DP7" s="367">
        <f t="shared" si="16"/>
        <v>0</v>
      </c>
      <c r="DQ7" s="366"/>
      <c r="DR7" s="366"/>
      <c r="DS7" s="366"/>
      <c r="DT7" s="366"/>
      <c r="DU7" s="366"/>
      <c r="DV7" s="366"/>
      <c r="DW7" s="367">
        <f t="shared" si="17"/>
        <v>0</v>
      </c>
      <c r="DX7" s="365"/>
      <c r="DY7" s="366"/>
      <c r="DZ7" s="366"/>
      <c r="EA7" s="366"/>
      <c r="EB7" s="366"/>
      <c r="EC7" s="366"/>
      <c r="ED7" s="367">
        <f t="shared" si="18"/>
        <v>0</v>
      </c>
      <c r="EE7" s="368"/>
      <c r="EF7" s="368"/>
      <c r="EG7" s="368"/>
      <c r="EH7" s="368"/>
      <c r="EI7" s="368"/>
      <c r="EJ7" s="368"/>
      <c r="EK7" s="368"/>
      <c r="EL7" s="365"/>
      <c r="EM7" s="366"/>
      <c r="EN7" s="366"/>
      <c r="EO7" s="366"/>
      <c r="EP7" s="366"/>
      <c r="EQ7" s="366"/>
      <c r="ER7" s="367">
        <f t="shared" si="19"/>
        <v>0</v>
      </c>
      <c r="ES7" s="366"/>
      <c r="ET7" s="366"/>
      <c r="EU7" s="366"/>
      <c r="EV7" s="366"/>
      <c r="EW7" s="366"/>
      <c r="EX7" s="366"/>
      <c r="EY7" s="367">
        <f t="shared" si="20"/>
        <v>0</v>
      </c>
      <c r="EZ7" s="365"/>
      <c r="FA7" s="366"/>
      <c r="FB7" s="366"/>
      <c r="FC7" s="366"/>
      <c r="FD7" s="366"/>
      <c r="FE7" s="366"/>
      <c r="FF7" s="367">
        <f t="shared" si="21"/>
        <v>0</v>
      </c>
      <c r="FG7" s="368"/>
      <c r="FH7" s="368"/>
      <c r="FI7" s="368"/>
      <c r="FJ7" s="368"/>
      <c r="FK7" s="368"/>
      <c r="FL7" s="368"/>
      <c r="FM7" s="368"/>
      <c r="FN7" s="365"/>
      <c r="FO7" s="366"/>
      <c r="FP7" s="366"/>
      <c r="FQ7" s="366"/>
      <c r="FR7" s="366"/>
      <c r="FS7" s="366"/>
      <c r="FT7" s="367">
        <f t="shared" si="22"/>
        <v>0</v>
      </c>
      <c r="FU7" s="366"/>
      <c r="FV7" s="366"/>
      <c r="FW7" s="366"/>
      <c r="FX7" s="366"/>
      <c r="FY7" s="366"/>
      <c r="FZ7" s="366"/>
      <c r="GA7" s="367">
        <f t="shared" si="23"/>
        <v>0</v>
      </c>
      <c r="GB7" s="365"/>
      <c r="GC7" s="366"/>
      <c r="GD7" s="366"/>
      <c r="GE7" s="366"/>
      <c r="GF7" s="366"/>
      <c r="GG7" s="366"/>
      <c r="GH7" s="367">
        <f t="shared" si="24"/>
        <v>0</v>
      </c>
      <c r="GI7" s="368"/>
      <c r="GJ7" s="368"/>
      <c r="GK7" s="368"/>
      <c r="GL7" s="368"/>
      <c r="GM7" s="368"/>
      <c r="GN7" s="368"/>
      <c r="GO7" s="368"/>
      <c r="GP7" s="365"/>
      <c r="GQ7" s="366"/>
      <c r="GR7" s="366"/>
      <c r="GS7" s="366"/>
      <c r="GT7" s="366"/>
      <c r="GU7" s="366"/>
      <c r="GV7" s="367">
        <f t="shared" si="25"/>
        <v>0</v>
      </c>
      <c r="GW7" s="366"/>
      <c r="GX7" s="366"/>
      <c r="GY7" s="366"/>
      <c r="GZ7" s="366"/>
      <c r="HA7" s="366"/>
      <c r="HB7" s="366"/>
      <c r="HC7" s="367">
        <f t="shared" si="26"/>
        <v>0</v>
      </c>
      <c r="HD7" s="365"/>
      <c r="HE7" s="366"/>
      <c r="HF7" s="366"/>
      <c r="HG7" s="366"/>
      <c r="HH7" s="366"/>
      <c r="HI7" s="366"/>
      <c r="HJ7" s="367">
        <f t="shared" si="27"/>
        <v>0</v>
      </c>
    </row>
    <row r="8" spans="1:218" s="369" customFormat="1" ht="21.75" customHeight="1" x14ac:dyDescent="0.6">
      <c r="A8" s="370" t="s">
        <v>63</v>
      </c>
      <c r="B8" s="371">
        <v>47</v>
      </c>
      <c r="C8" s="372">
        <v>8</v>
      </c>
      <c r="D8" s="372"/>
      <c r="E8" s="372"/>
      <c r="F8" s="372">
        <v>1</v>
      </c>
      <c r="G8" s="372"/>
      <c r="H8" s="364">
        <f t="shared" si="0"/>
        <v>56</v>
      </c>
      <c r="I8" s="371">
        <v>23</v>
      </c>
      <c r="J8" s="372">
        <v>2</v>
      </c>
      <c r="K8" s="372"/>
      <c r="L8" s="372"/>
      <c r="M8" s="372"/>
      <c r="N8" s="372"/>
      <c r="O8" s="364">
        <f t="shared" si="1"/>
        <v>25</v>
      </c>
      <c r="P8" s="371">
        <v>23</v>
      </c>
      <c r="Q8" s="372">
        <v>4</v>
      </c>
      <c r="R8" s="372"/>
      <c r="S8" s="372"/>
      <c r="T8" s="372"/>
      <c r="U8" s="372"/>
      <c r="V8" s="364">
        <f t="shared" si="2"/>
        <v>27</v>
      </c>
      <c r="W8" s="371"/>
      <c r="X8" s="372"/>
      <c r="Y8" s="372"/>
      <c r="Z8" s="372"/>
      <c r="AA8" s="372"/>
      <c r="AB8" s="372"/>
      <c r="AC8" s="364">
        <f t="shared" si="3"/>
        <v>0</v>
      </c>
      <c r="AD8" s="371">
        <v>39</v>
      </c>
      <c r="AE8" s="372">
        <v>11</v>
      </c>
      <c r="AF8" s="372"/>
      <c r="AG8" s="372"/>
      <c r="AH8" s="372">
        <v>1</v>
      </c>
      <c r="AI8" s="372"/>
      <c r="AJ8" s="364">
        <f t="shared" si="4"/>
        <v>51</v>
      </c>
      <c r="AK8" s="371">
        <v>147</v>
      </c>
      <c r="AL8" s="372">
        <v>55</v>
      </c>
      <c r="AM8" s="372"/>
      <c r="AN8" s="372"/>
      <c r="AO8" s="372">
        <v>6</v>
      </c>
      <c r="AP8" s="372"/>
      <c r="AQ8" s="364">
        <f t="shared" si="5"/>
        <v>208</v>
      </c>
      <c r="AR8" s="371">
        <v>30</v>
      </c>
      <c r="AS8" s="372">
        <v>4</v>
      </c>
      <c r="AT8" s="372"/>
      <c r="AU8" s="372"/>
      <c r="AV8" s="372">
        <v>1</v>
      </c>
      <c r="AW8" s="372">
        <v>1</v>
      </c>
      <c r="AX8" s="364">
        <f t="shared" si="6"/>
        <v>36</v>
      </c>
      <c r="AY8" s="372">
        <v>58</v>
      </c>
      <c r="AZ8" s="372">
        <v>13</v>
      </c>
      <c r="BA8" s="372"/>
      <c r="BB8" s="372"/>
      <c r="BC8" s="372"/>
      <c r="BD8" s="372">
        <v>2</v>
      </c>
      <c r="BE8" s="364">
        <f t="shared" si="7"/>
        <v>73</v>
      </c>
      <c r="BF8" s="371">
        <v>1</v>
      </c>
      <c r="BG8" s="372">
        <v>3</v>
      </c>
      <c r="BH8" s="372"/>
      <c r="BI8" s="372"/>
      <c r="BJ8" s="372"/>
      <c r="BK8" s="372"/>
      <c r="BL8" s="364">
        <f t="shared" si="8"/>
        <v>4</v>
      </c>
      <c r="BM8" s="371">
        <v>60</v>
      </c>
      <c r="BN8" s="372">
        <v>14</v>
      </c>
      <c r="BO8" s="372"/>
      <c r="BP8" s="372"/>
      <c r="BQ8" s="372"/>
      <c r="BR8" s="372"/>
      <c r="BS8" s="364">
        <f t="shared" si="9"/>
        <v>74</v>
      </c>
      <c r="BT8" s="371">
        <v>76</v>
      </c>
      <c r="BU8" s="372">
        <v>24</v>
      </c>
      <c r="BV8" s="372"/>
      <c r="BW8" s="372"/>
      <c r="BX8" s="372"/>
      <c r="BY8" s="372"/>
      <c r="BZ8" s="364">
        <f t="shared" si="10"/>
        <v>100</v>
      </c>
      <c r="CA8" s="372"/>
      <c r="CB8" s="372"/>
      <c r="CC8" s="372"/>
      <c r="CD8" s="372"/>
      <c r="CE8" s="372"/>
      <c r="CF8" s="372"/>
      <c r="CG8" s="364">
        <f t="shared" si="11"/>
        <v>0</v>
      </c>
      <c r="CH8" s="371">
        <v>58</v>
      </c>
      <c r="CI8" s="372">
        <v>8</v>
      </c>
      <c r="CJ8" s="372"/>
      <c r="CK8" s="372"/>
      <c r="CL8" s="372"/>
      <c r="CM8" s="372"/>
      <c r="CN8" s="364">
        <f t="shared" si="12"/>
        <v>66</v>
      </c>
      <c r="CO8" s="371">
        <v>138</v>
      </c>
      <c r="CP8" s="372">
        <v>12</v>
      </c>
      <c r="CQ8" s="372"/>
      <c r="CR8" s="372"/>
      <c r="CS8" s="372">
        <v>3</v>
      </c>
      <c r="CT8" s="372"/>
      <c r="CU8" s="364">
        <f t="shared" si="13"/>
        <v>153</v>
      </c>
      <c r="CV8" s="371"/>
      <c r="CW8" s="372"/>
      <c r="CX8" s="372"/>
      <c r="CY8" s="372"/>
      <c r="CZ8" s="372"/>
      <c r="DA8" s="372"/>
      <c r="DB8" s="364">
        <f t="shared" si="14"/>
        <v>0</v>
      </c>
      <c r="DC8" s="372"/>
      <c r="DD8" s="372"/>
      <c r="DE8" s="372"/>
      <c r="DF8" s="372"/>
      <c r="DG8" s="372"/>
      <c r="DH8" s="372"/>
      <c r="DI8" s="364">
        <f t="shared" si="15"/>
        <v>0</v>
      </c>
      <c r="DJ8" s="373"/>
      <c r="DK8" s="374"/>
      <c r="DL8" s="374"/>
      <c r="DM8" s="374"/>
      <c r="DN8" s="374"/>
      <c r="DO8" s="374"/>
      <c r="DP8" s="367">
        <f t="shared" si="16"/>
        <v>0</v>
      </c>
      <c r="DQ8" s="374"/>
      <c r="DR8" s="374"/>
      <c r="DS8" s="374"/>
      <c r="DT8" s="374"/>
      <c r="DU8" s="374"/>
      <c r="DV8" s="374"/>
      <c r="DW8" s="367">
        <f t="shared" si="17"/>
        <v>0</v>
      </c>
      <c r="DX8" s="373"/>
      <c r="DY8" s="374"/>
      <c r="DZ8" s="374"/>
      <c r="EA8" s="374"/>
      <c r="EB8" s="374"/>
      <c r="EC8" s="374"/>
      <c r="ED8" s="367">
        <f t="shared" si="18"/>
        <v>0</v>
      </c>
      <c r="EE8" s="375"/>
      <c r="EF8" s="375"/>
      <c r="EG8" s="375"/>
      <c r="EH8" s="375"/>
      <c r="EI8" s="375"/>
      <c r="EJ8" s="375"/>
      <c r="EK8" s="375"/>
      <c r="EL8" s="373"/>
      <c r="EM8" s="374"/>
      <c r="EN8" s="374"/>
      <c r="EO8" s="374"/>
      <c r="EP8" s="374"/>
      <c r="EQ8" s="374"/>
      <c r="ER8" s="367">
        <f t="shared" si="19"/>
        <v>0</v>
      </c>
      <c r="ES8" s="374"/>
      <c r="ET8" s="374"/>
      <c r="EU8" s="374"/>
      <c r="EV8" s="374"/>
      <c r="EW8" s="374"/>
      <c r="EX8" s="374"/>
      <c r="EY8" s="367">
        <f t="shared" si="20"/>
        <v>0</v>
      </c>
      <c r="EZ8" s="373"/>
      <c r="FA8" s="374"/>
      <c r="FB8" s="374"/>
      <c r="FC8" s="374"/>
      <c r="FD8" s="374"/>
      <c r="FE8" s="374"/>
      <c r="FF8" s="367">
        <f t="shared" si="21"/>
        <v>0</v>
      </c>
      <c r="FG8" s="375"/>
      <c r="FH8" s="375"/>
      <c r="FI8" s="375"/>
      <c r="FJ8" s="375"/>
      <c r="FK8" s="375"/>
      <c r="FL8" s="375"/>
      <c r="FM8" s="375"/>
      <c r="FN8" s="373"/>
      <c r="FO8" s="374"/>
      <c r="FP8" s="374"/>
      <c r="FQ8" s="374"/>
      <c r="FR8" s="374"/>
      <c r="FS8" s="374"/>
      <c r="FT8" s="367">
        <f t="shared" si="22"/>
        <v>0</v>
      </c>
      <c r="FU8" s="374"/>
      <c r="FV8" s="374"/>
      <c r="FW8" s="374"/>
      <c r="FX8" s="374"/>
      <c r="FY8" s="374"/>
      <c r="FZ8" s="374"/>
      <c r="GA8" s="367">
        <f t="shared" si="23"/>
        <v>0</v>
      </c>
      <c r="GB8" s="373"/>
      <c r="GC8" s="374"/>
      <c r="GD8" s="374"/>
      <c r="GE8" s="374"/>
      <c r="GF8" s="374"/>
      <c r="GG8" s="374"/>
      <c r="GH8" s="367">
        <f t="shared" si="24"/>
        <v>0</v>
      </c>
      <c r="GI8" s="375"/>
      <c r="GJ8" s="375"/>
      <c r="GK8" s="375"/>
      <c r="GL8" s="375"/>
      <c r="GM8" s="375"/>
      <c r="GN8" s="375"/>
      <c r="GO8" s="375"/>
      <c r="GP8" s="373"/>
      <c r="GQ8" s="374"/>
      <c r="GR8" s="374"/>
      <c r="GS8" s="374"/>
      <c r="GT8" s="374"/>
      <c r="GU8" s="374"/>
      <c r="GV8" s="367">
        <f t="shared" si="25"/>
        <v>0</v>
      </c>
      <c r="GW8" s="374"/>
      <c r="GX8" s="374"/>
      <c r="GY8" s="374"/>
      <c r="GZ8" s="374"/>
      <c r="HA8" s="374"/>
      <c r="HB8" s="374"/>
      <c r="HC8" s="367">
        <f t="shared" si="26"/>
        <v>0</v>
      </c>
      <c r="HD8" s="373"/>
      <c r="HE8" s="374"/>
      <c r="HF8" s="374"/>
      <c r="HG8" s="374"/>
      <c r="HH8" s="374"/>
      <c r="HI8" s="374"/>
      <c r="HJ8" s="367">
        <f t="shared" si="27"/>
        <v>0</v>
      </c>
    </row>
    <row r="9" spans="1:218" s="369" customFormat="1" ht="21.75" customHeight="1" x14ac:dyDescent="0.6">
      <c r="A9" s="370" t="s">
        <v>64</v>
      </c>
      <c r="B9" s="371">
        <v>41</v>
      </c>
      <c r="C9" s="372">
        <v>4</v>
      </c>
      <c r="D9" s="372"/>
      <c r="E9" s="372"/>
      <c r="F9" s="372">
        <v>1</v>
      </c>
      <c r="G9" s="372"/>
      <c r="H9" s="364">
        <f t="shared" si="0"/>
        <v>46</v>
      </c>
      <c r="I9" s="371">
        <v>14</v>
      </c>
      <c r="J9" s="372">
        <v>13</v>
      </c>
      <c r="K9" s="372"/>
      <c r="L9" s="372"/>
      <c r="M9" s="372"/>
      <c r="N9" s="372"/>
      <c r="O9" s="364">
        <f t="shared" si="1"/>
        <v>27</v>
      </c>
      <c r="P9" s="371">
        <v>21</v>
      </c>
      <c r="Q9" s="372">
        <v>6</v>
      </c>
      <c r="R9" s="372"/>
      <c r="S9" s="372"/>
      <c r="T9" s="372"/>
      <c r="U9" s="372"/>
      <c r="V9" s="364">
        <f t="shared" si="2"/>
        <v>27</v>
      </c>
      <c r="W9" s="371"/>
      <c r="X9" s="372"/>
      <c r="Y9" s="372"/>
      <c r="Z9" s="372"/>
      <c r="AA9" s="372"/>
      <c r="AB9" s="372"/>
      <c r="AC9" s="364">
        <f t="shared" si="3"/>
        <v>0</v>
      </c>
      <c r="AD9" s="371">
        <v>44</v>
      </c>
      <c r="AE9" s="372">
        <v>16</v>
      </c>
      <c r="AF9" s="372"/>
      <c r="AG9" s="372"/>
      <c r="AH9" s="372"/>
      <c r="AI9" s="372"/>
      <c r="AJ9" s="364">
        <f t="shared" si="4"/>
        <v>60</v>
      </c>
      <c r="AK9" s="371">
        <v>138</v>
      </c>
      <c r="AL9" s="372">
        <v>43</v>
      </c>
      <c r="AM9" s="372"/>
      <c r="AN9" s="372"/>
      <c r="AO9" s="372">
        <v>6</v>
      </c>
      <c r="AP9" s="372">
        <v>1</v>
      </c>
      <c r="AQ9" s="364">
        <f t="shared" si="5"/>
        <v>188</v>
      </c>
      <c r="AR9" s="371">
        <v>42</v>
      </c>
      <c r="AS9" s="372">
        <v>6</v>
      </c>
      <c r="AT9" s="372"/>
      <c r="AU9" s="372"/>
      <c r="AV9" s="372"/>
      <c r="AW9" s="372"/>
      <c r="AX9" s="364">
        <f t="shared" si="6"/>
        <v>48</v>
      </c>
      <c r="AY9" s="372">
        <v>53</v>
      </c>
      <c r="AZ9" s="372">
        <v>19</v>
      </c>
      <c r="BA9" s="372"/>
      <c r="BB9" s="372"/>
      <c r="BC9" s="372">
        <v>3</v>
      </c>
      <c r="BD9" s="372"/>
      <c r="BE9" s="364">
        <f t="shared" si="7"/>
        <v>75</v>
      </c>
      <c r="BF9" s="371">
        <v>4</v>
      </c>
      <c r="BG9" s="372"/>
      <c r="BH9" s="372"/>
      <c r="BI9" s="372"/>
      <c r="BJ9" s="372"/>
      <c r="BK9" s="372"/>
      <c r="BL9" s="364">
        <f t="shared" si="8"/>
        <v>4</v>
      </c>
      <c r="BM9" s="371">
        <v>50</v>
      </c>
      <c r="BN9" s="372">
        <v>11</v>
      </c>
      <c r="BO9" s="372">
        <v>1</v>
      </c>
      <c r="BP9" s="372"/>
      <c r="BQ9" s="372">
        <v>1</v>
      </c>
      <c r="BR9" s="372"/>
      <c r="BS9" s="364">
        <f t="shared" si="9"/>
        <v>63</v>
      </c>
      <c r="BT9" s="371">
        <v>59</v>
      </c>
      <c r="BU9" s="372">
        <v>12</v>
      </c>
      <c r="BV9" s="372"/>
      <c r="BW9" s="372"/>
      <c r="BX9" s="372"/>
      <c r="BY9" s="372"/>
      <c r="BZ9" s="364">
        <f t="shared" si="10"/>
        <v>71</v>
      </c>
      <c r="CA9" s="372"/>
      <c r="CB9" s="372"/>
      <c r="CC9" s="372"/>
      <c r="CD9" s="372"/>
      <c r="CE9" s="372"/>
      <c r="CF9" s="372"/>
      <c r="CG9" s="364">
        <f t="shared" si="11"/>
        <v>0</v>
      </c>
      <c r="CH9" s="371">
        <v>64</v>
      </c>
      <c r="CI9" s="372">
        <v>12</v>
      </c>
      <c r="CJ9" s="372"/>
      <c r="CK9" s="372"/>
      <c r="CL9" s="372"/>
      <c r="CM9" s="372"/>
      <c r="CN9" s="364">
        <f t="shared" si="12"/>
        <v>76</v>
      </c>
      <c r="CO9" s="371">
        <v>125</v>
      </c>
      <c r="CP9" s="372">
        <v>15</v>
      </c>
      <c r="CQ9" s="372"/>
      <c r="CR9" s="372">
        <v>1</v>
      </c>
      <c r="CS9" s="372">
        <v>5</v>
      </c>
      <c r="CT9" s="372"/>
      <c r="CU9" s="364">
        <f t="shared" si="13"/>
        <v>146</v>
      </c>
      <c r="CV9" s="371"/>
      <c r="CW9" s="372"/>
      <c r="CX9" s="372"/>
      <c r="CY9" s="372"/>
      <c r="CZ9" s="372"/>
      <c r="DA9" s="372"/>
      <c r="DB9" s="364">
        <f t="shared" si="14"/>
        <v>0</v>
      </c>
      <c r="DC9" s="372"/>
      <c r="DD9" s="372"/>
      <c r="DE9" s="372"/>
      <c r="DF9" s="372"/>
      <c r="DG9" s="372"/>
      <c r="DH9" s="372"/>
      <c r="DI9" s="364">
        <f t="shared" si="15"/>
        <v>0</v>
      </c>
      <c r="DJ9" s="373"/>
      <c r="DK9" s="374"/>
      <c r="DL9" s="374"/>
      <c r="DM9" s="374"/>
      <c r="DN9" s="374"/>
      <c r="DO9" s="374"/>
      <c r="DP9" s="367">
        <f t="shared" si="16"/>
        <v>0</v>
      </c>
      <c r="DQ9" s="374"/>
      <c r="DR9" s="374"/>
      <c r="DS9" s="374"/>
      <c r="DT9" s="374"/>
      <c r="DU9" s="374"/>
      <c r="DV9" s="374"/>
      <c r="DW9" s="367">
        <f t="shared" si="17"/>
        <v>0</v>
      </c>
      <c r="DX9" s="373"/>
      <c r="DY9" s="374"/>
      <c r="DZ9" s="374"/>
      <c r="EA9" s="374"/>
      <c r="EB9" s="374"/>
      <c r="EC9" s="374"/>
      <c r="ED9" s="367">
        <f t="shared" si="18"/>
        <v>0</v>
      </c>
      <c r="EE9" s="375"/>
      <c r="EF9" s="375"/>
      <c r="EG9" s="375"/>
      <c r="EH9" s="375"/>
      <c r="EI9" s="375"/>
      <c r="EJ9" s="375"/>
      <c r="EK9" s="375"/>
      <c r="EL9" s="373"/>
      <c r="EM9" s="374"/>
      <c r="EN9" s="374"/>
      <c r="EO9" s="374"/>
      <c r="EP9" s="374"/>
      <c r="EQ9" s="374"/>
      <c r="ER9" s="367">
        <f t="shared" si="19"/>
        <v>0</v>
      </c>
      <c r="ES9" s="374"/>
      <c r="ET9" s="374"/>
      <c r="EU9" s="374"/>
      <c r="EV9" s="374"/>
      <c r="EW9" s="374"/>
      <c r="EX9" s="374"/>
      <c r="EY9" s="367">
        <f t="shared" si="20"/>
        <v>0</v>
      </c>
      <c r="EZ9" s="373"/>
      <c r="FA9" s="374"/>
      <c r="FB9" s="374"/>
      <c r="FC9" s="374"/>
      <c r="FD9" s="374"/>
      <c r="FE9" s="374"/>
      <c r="FF9" s="367">
        <f t="shared" si="21"/>
        <v>0</v>
      </c>
      <c r="FG9" s="375"/>
      <c r="FH9" s="375"/>
      <c r="FI9" s="375"/>
      <c r="FJ9" s="375"/>
      <c r="FK9" s="375"/>
      <c r="FL9" s="375"/>
      <c r="FM9" s="375"/>
      <c r="FN9" s="373"/>
      <c r="FO9" s="374"/>
      <c r="FP9" s="374"/>
      <c r="FQ9" s="374"/>
      <c r="FR9" s="374"/>
      <c r="FS9" s="374"/>
      <c r="FT9" s="367">
        <f t="shared" si="22"/>
        <v>0</v>
      </c>
      <c r="FU9" s="374"/>
      <c r="FV9" s="374"/>
      <c r="FW9" s="374"/>
      <c r="FX9" s="374"/>
      <c r="FY9" s="374"/>
      <c r="FZ9" s="374"/>
      <c r="GA9" s="367">
        <f t="shared" si="23"/>
        <v>0</v>
      </c>
      <c r="GB9" s="373"/>
      <c r="GC9" s="374"/>
      <c r="GD9" s="374"/>
      <c r="GE9" s="374"/>
      <c r="GF9" s="374"/>
      <c r="GG9" s="374"/>
      <c r="GH9" s="367">
        <f t="shared" si="24"/>
        <v>0</v>
      </c>
      <c r="GI9" s="375"/>
      <c r="GJ9" s="375"/>
      <c r="GK9" s="375"/>
      <c r="GL9" s="375"/>
      <c r="GM9" s="375"/>
      <c r="GN9" s="375"/>
      <c r="GO9" s="375"/>
      <c r="GP9" s="373"/>
      <c r="GQ9" s="374"/>
      <c r="GR9" s="374"/>
      <c r="GS9" s="374"/>
      <c r="GT9" s="374"/>
      <c r="GU9" s="374"/>
      <c r="GV9" s="367">
        <f t="shared" si="25"/>
        <v>0</v>
      </c>
      <c r="GW9" s="374"/>
      <c r="GX9" s="374"/>
      <c r="GY9" s="374"/>
      <c r="GZ9" s="374"/>
      <c r="HA9" s="374"/>
      <c r="HB9" s="374"/>
      <c r="HC9" s="367">
        <f t="shared" si="26"/>
        <v>0</v>
      </c>
      <c r="HD9" s="373"/>
      <c r="HE9" s="374"/>
      <c r="HF9" s="374"/>
      <c r="HG9" s="374"/>
      <c r="HH9" s="374"/>
      <c r="HI9" s="374"/>
      <c r="HJ9" s="367">
        <f t="shared" si="27"/>
        <v>0</v>
      </c>
    </row>
    <row r="10" spans="1:218" s="369" customFormat="1" ht="21.75" customHeight="1" x14ac:dyDescent="0.6">
      <c r="A10" s="376" t="s">
        <v>65</v>
      </c>
      <c r="B10" s="377">
        <v>45</v>
      </c>
      <c r="C10" s="378">
        <v>4</v>
      </c>
      <c r="D10" s="378"/>
      <c r="E10" s="378"/>
      <c r="F10" s="378"/>
      <c r="G10" s="378"/>
      <c r="H10" s="364">
        <f t="shared" si="0"/>
        <v>49</v>
      </c>
      <c r="I10" s="377">
        <v>25</v>
      </c>
      <c r="J10" s="378">
        <v>7</v>
      </c>
      <c r="K10" s="378"/>
      <c r="L10" s="378"/>
      <c r="M10" s="378"/>
      <c r="N10" s="378"/>
      <c r="O10" s="364">
        <f t="shared" si="1"/>
        <v>32</v>
      </c>
      <c r="P10" s="377">
        <v>16</v>
      </c>
      <c r="Q10" s="378">
        <v>8</v>
      </c>
      <c r="R10" s="378"/>
      <c r="S10" s="378"/>
      <c r="T10" s="378"/>
      <c r="U10" s="378"/>
      <c r="V10" s="364">
        <f t="shared" si="2"/>
        <v>24</v>
      </c>
      <c r="W10" s="377"/>
      <c r="X10" s="378"/>
      <c r="Y10" s="378"/>
      <c r="Z10" s="378"/>
      <c r="AA10" s="378"/>
      <c r="AB10" s="378"/>
      <c r="AC10" s="364">
        <f t="shared" si="3"/>
        <v>0</v>
      </c>
      <c r="AD10" s="377">
        <v>41</v>
      </c>
      <c r="AE10" s="378">
        <v>12</v>
      </c>
      <c r="AF10" s="378"/>
      <c r="AG10" s="378"/>
      <c r="AH10" s="378"/>
      <c r="AI10" s="378"/>
      <c r="AJ10" s="364">
        <f t="shared" si="4"/>
        <v>53</v>
      </c>
      <c r="AK10" s="377">
        <v>163</v>
      </c>
      <c r="AL10" s="378">
        <v>52</v>
      </c>
      <c r="AM10" s="378">
        <v>1</v>
      </c>
      <c r="AN10" s="378"/>
      <c r="AO10" s="378">
        <v>4</v>
      </c>
      <c r="AP10" s="378"/>
      <c r="AQ10" s="364">
        <f t="shared" si="5"/>
        <v>220</v>
      </c>
      <c r="AR10" s="377">
        <v>36</v>
      </c>
      <c r="AS10" s="378">
        <v>3</v>
      </c>
      <c r="AT10" s="378"/>
      <c r="AU10" s="378"/>
      <c r="AV10" s="378">
        <v>2</v>
      </c>
      <c r="AW10" s="378"/>
      <c r="AX10" s="364">
        <f t="shared" si="6"/>
        <v>41</v>
      </c>
      <c r="AY10" s="378">
        <v>51</v>
      </c>
      <c r="AZ10" s="378">
        <v>11</v>
      </c>
      <c r="BA10" s="378"/>
      <c r="BB10" s="378"/>
      <c r="BC10" s="378">
        <v>1</v>
      </c>
      <c r="BD10" s="378"/>
      <c r="BE10" s="364">
        <f t="shared" si="7"/>
        <v>63</v>
      </c>
      <c r="BF10" s="377">
        <v>7</v>
      </c>
      <c r="BG10" s="378"/>
      <c r="BH10" s="378"/>
      <c r="BI10" s="378"/>
      <c r="BJ10" s="378"/>
      <c r="BK10" s="378"/>
      <c r="BL10" s="364">
        <f t="shared" si="8"/>
        <v>7</v>
      </c>
      <c r="BM10" s="377">
        <v>48</v>
      </c>
      <c r="BN10" s="378">
        <v>16</v>
      </c>
      <c r="BO10" s="378"/>
      <c r="BP10" s="378"/>
      <c r="BQ10" s="378">
        <v>1</v>
      </c>
      <c r="BR10" s="378"/>
      <c r="BS10" s="364">
        <f t="shared" si="9"/>
        <v>65</v>
      </c>
      <c r="BT10" s="377">
        <v>65</v>
      </c>
      <c r="BU10" s="378">
        <v>20</v>
      </c>
      <c r="BV10" s="378"/>
      <c r="BW10" s="378"/>
      <c r="BX10" s="378"/>
      <c r="BY10" s="378"/>
      <c r="BZ10" s="364">
        <f t="shared" si="10"/>
        <v>85</v>
      </c>
      <c r="CA10" s="378"/>
      <c r="CB10" s="378"/>
      <c r="CC10" s="378"/>
      <c r="CD10" s="378"/>
      <c r="CE10" s="378"/>
      <c r="CF10" s="378"/>
      <c r="CG10" s="364">
        <f t="shared" si="11"/>
        <v>0</v>
      </c>
      <c r="CH10" s="377">
        <v>52</v>
      </c>
      <c r="CI10" s="378">
        <v>5</v>
      </c>
      <c r="CJ10" s="378"/>
      <c r="CK10" s="378"/>
      <c r="CL10" s="378">
        <v>2</v>
      </c>
      <c r="CM10" s="378"/>
      <c r="CN10" s="364">
        <f t="shared" si="12"/>
        <v>59</v>
      </c>
      <c r="CO10" s="377">
        <v>130</v>
      </c>
      <c r="CP10" s="378">
        <v>17</v>
      </c>
      <c r="CQ10" s="378">
        <v>1</v>
      </c>
      <c r="CR10" s="378"/>
      <c r="CS10" s="378">
        <v>2</v>
      </c>
      <c r="CT10" s="378"/>
      <c r="CU10" s="364">
        <f t="shared" si="13"/>
        <v>150</v>
      </c>
      <c r="CV10" s="377"/>
      <c r="CW10" s="378"/>
      <c r="CX10" s="378"/>
      <c r="CY10" s="378"/>
      <c r="CZ10" s="378"/>
      <c r="DA10" s="378"/>
      <c r="DB10" s="364">
        <f t="shared" si="14"/>
        <v>0</v>
      </c>
      <c r="DC10" s="378"/>
      <c r="DD10" s="378"/>
      <c r="DE10" s="378"/>
      <c r="DF10" s="378"/>
      <c r="DG10" s="378"/>
      <c r="DH10" s="378"/>
      <c r="DI10" s="364">
        <f t="shared" si="15"/>
        <v>0</v>
      </c>
      <c r="DJ10" s="379"/>
      <c r="DK10" s="380"/>
      <c r="DL10" s="380"/>
      <c r="DM10" s="380"/>
      <c r="DN10" s="380"/>
      <c r="DO10" s="380"/>
      <c r="DP10" s="367">
        <f t="shared" si="16"/>
        <v>0</v>
      </c>
      <c r="DQ10" s="380"/>
      <c r="DR10" s="380"/>
      <c r="DS10" s="380"/>
      <c r="DT10" s="380"/>
      <c r="DU10" s="380"/>
      <c r="DV10" s="380"/>
      <c r="DW10" s="367">
        <f t="shared" si="17"/>
        <v>0</v>
      </c>
      <c r="DX10" s="379"/>
      <c r="DY10" s="380"/>
      <c r="DZ10" s="380"/>
      <c r="EA10" s="380"/>
      <c r="EB10" s="380"/>
      <c r="EC10" s="380"/>
      <c r="ED10" s="367">
        <f t="shared" si="18"/>
        <v>0</v>
      </c>
      <c r="EE10" s="375"/>
      <c r="EF10" s="375"/>
      <c r="EG10" s="375"/>
      <c r="EH10" s="375"/>
      <c r="EI10" s="375"/>
      <c r="EJ10" s="375"/>
      <c r="EK10" s="375"/>
      <c r="EL10" s="379"/>
      <c r="EM10" s="380"/>
      <c r="EN10" s="380"/>
      <c r="EO10" s="380"/>
      <c r="EP10" s="380"/>
      <c r="EQ10" s="380"/>
      <c r="ER10" s="367">
        <f t="shared" si="19"/>
        <v>0</v>
      </c>
      <c r="ES10" s="380"/>
      <c r="ET10" s="380"/>
      <c r="EU10" s="380"/>
      <c r="EV10" s="380"/>
      <c r="EW10" s="380"/>
      <c r="EX10" s="380"/>
      <c r="EY10" s="367">
        <f t="shared" si="20"/>
        <v>0</v>
      </c>
      <c r="EZ10" s="379"/>
      <c r="FA10" s="380"/>
      <c r="FB10" s="380"/>
      <c r="FC10" s="380"/>
      <c r="FD10" s="380"/>
      <c r="FE10" s="380"/>
      <c r="FF10" s="367">
        <f t="shared" si="21"/>
        <v>0</v>
      </c>
      <c r="FG10" s="375"/>
      <c r="FH10" s="375"/>
      <c r="FI10" s="375"/>
      <c r="FJ10" s="375"/>
      <c r="FK10" s="375"/>
      <c r="FL10" s="375"/>
      <c r="FM10" s="375"/>
      <c r="FN10" s="379"/>
      <c r="FO10" s="380"/>
      <c r="FP10" s="380"/>
      <c r="FQ10" s="380"/>
      <c r="FR10" s="380"/>
      <c r="FS10" s="380"/>
      <c r="FT10" s="367">
        <f t="shared" si="22"/>
        <v>0</v>
      </c>
      <c r="FU10" s="380"/>
      <c r="FV10" s="380"/>
      <c r="FW10" s="380"/>
      <c r="FX10" s="380"/>
      <c r="FY10" s="380"/>
      <c r="FZ10" s="380"/>
      <c r="GA10" s="367">
        <f t="shared" si="23"/>
        <v>0</v>
      </c>
      <c r="GB10" s="379"/>
      <c r="GC10" s="380"/>
      <c r="GD10" s="380"/>
      <c r="GE10" s="380"/>
      <c r="GF10" s="380"/>
      <c r="GG10" s="380"/>
      <c r="GH10" s="367">
        <f t="shared" si="24"/>
        <v>0</v>
      </c>
      <c r="GI10" s="375"/>
      <c r="GJ10" s="375"/>
      <c r="GK10" s="375"/>
      <c r="GL10" s="375"/>
      <c r="GM10" s="375"/>
      <c r="GN10" s="375"/>
      <c r="GO10" s="375"/>
      <c r="GP10" s="379"/>
      <c r="GQ10" s="380"/>
      <c r="GR10" s="380"/>
      <c r="GS10" s="380"/>
      <c r="GT10" s="380"/>
      <c r="GU10" s="380"/>
      <c r="GV10" s="367">
        <f t="shared" si="25"/>
        <v>0</v>
      </c>
      <c r="GW10" s="380"/>
      <c r="GX10" s="380"/>
      <c r="GY10" s="380"/>
      <c r="GZ10" s="380"/>
      <c r="HA10" s="380"/>
      <c r="HB10" s="380"/>
      <c r="HC10" s="367">
        <f t="shared" si="26"/>
        <v>0</v>
      </c>
      <c r="HD10" s="379"/>
      <c r="HE10" s="380"/>
      <c r="HF10" s="380"/>
      <c r="HG10" s="380"/>
      <c r="HH10" s="380"/>
      <c r="HI10" s="380"/>
      <c r="HJ10" s="367">
        <f t="shared" si="27"/>
        <v>0</v>
      </c>
    </row>
    <row r="11" spans="1:218" s="369" customFormat="1" ht="21.75" customHeight="1" x14ac:dyDescent="0.6">
      <c r="A11" s="361" t="s">
        <v>66</v>
      </c>
      <c r="B11" s="362">
        <v>38</v>
      </c>
      <c r="C11" s="363">
        <v>6</v>
      </c>
      <c r="D11" s="363"/>
      <c r="E11" s="363"/>
      <c r="F11" s="363">
        <v>2</v>
      </c>
      <c r="G11" s="363"/>
      <c r="H11" s="364">
        <f t="shared" si="0"/>
        <v>46</v>
      </c>
      <c r="I11" s="362">
        <v>48</v>
      </c>
      <c r="J11" s="363">
        <v>11</v>
      </c>
      <c r="K11" s="363"/>
      <c r="L11" s="363"/>
      <c r="M11" s="363"/>
      <c r="N11" s="363"/>
      <c r="O11" s="364">
        <f t="shared" si="1"/>
        <v>59</v>
      </c>
      <c r="P11" s="362">
        <v>17</v>
      </c>
      <c r="Q11" s="363">
        <v>8</v>
      </c>
      <c r="R11" s="363"/>
      <c r="S11" s="363"/>
      <c r="T11" s="363"/>
      <c r="U11" s="363"/>
      <c r="V11" s="364">
        <f t="shared" si="2"/>
        <v>25</v>
      </c>
      <c r="W11" s="362"/>
      <c r="X11" s="363"/>
      <c r="Y11" s="363"/>
      <c r="Z11" s="363"/>
      <c r="AA11" s="363"/>
      <c r="AB11" s="363"/>
      <c r="AC11" s="364">
        <f t="shared" si="3"/>
        <v>0</v>
      </c>
      <c r="AD11" s="362">
        <v>36</v>
      </c>
      <c r="AE11" s="363">
        <v>9</v>
      </c>
      <c r="AF11" s="363"/>
      <c r="AG11" s="363"/>
      <c r="AH11" s="363"/>
      <c r="AI11" s="363"/>
      <c r="AJ11" s="364">
        <f t="shared" si="4"/>
        <v>45</v>
      </c>
      <c r="AK11" s="362">
        <v>170</v>
      </c>
      <c r="AL11" s="363">
        <v>44</v>
      </c>
      <c r="AM11" s="363"/>
      <c r="AN11" s="363"/>
      <c r="AO11" s="363">
        <v>6</v>
      </c>
      <c r="AP11" s="363"/>
      <c r="AQ11" s="364">
        <f t="shared" si="5"/>
        <v>220</v>
      </c>
      <c r="AR11" s="362">
        <v>45</v>
      </c>
      <c r="AS11" s="363">
        <v>7</v>
      </c>
      <c r="AT11" s="363"/>
      <c r="AU11" s="363"/>
      <c r="AV11" s="363">
        <v>1</v>
      </c>
      <c r="AW11" s="363"/>
      <c r="AX11" s="364">
        <f t="shared" si="6"/>
        <v>53</v>
      </c>
      <c r="AY11" s="363">
        <v>47</v>
      </c>
      <c r="AZ11" s="363">
        <v>14</v>
      </c>
      <c r="BA11" s="363"/>
      <c r="BB11" s="363"/>
      <c r="BC11" s="363">
        <v>2</v>
      </c>
      <c r="BD11" s="363"/>
      <c r="BE11" s="364">
        <f t="shared" si="7"/>
        <v>63</v>
      </c>
      <c r="BF11" s="362">
        <v>3</v>
      </c>
      <c r="BG11" s="363">
        <v>1</v>
      </c>
      <c r="BH11" s="363"/>
      <c r="BI11" s="363"/>
      <c r="BJ11" s="363"/>
      <c r="BK11" s="363"/>
      <c r="BL11" s="364">
        <f t="shared" si="8"/>
        <v>4</v>
      </c>
      <c r="BM11" s="362">
        <v>58</v>
      </c>
      <c r="BN11" s="363">
        <v>11</v>
      </c>
      <c r="BO11" s="363"/>
      <c r="BP11" s="363"/>
      <c r="BQ11" s="363">
        <v>1</v>
      </c>
      <c r="BR11" s="363"/>
      <c r="BS11" s="364">
        <f t="shared" si="9"/>
        <v>70</v>
      </c>
      <c r="BT11" s="362">
        <v>70</v>
      </c>
      <c r="BU11" s="363">
        <v>10</v>
      </c>
      <c r="BV11" s="363"/>
      <c r="BW11" s="363"/>
      <c r="BX11" s="363"/>
      <c r="BY11" s="363"/>
      <c r="BZ11" s="364">
        <f t="shared" si="10"/>
        <v>80</v>
      </c>
      <c r="CA11" s="363"/>
      <c r="CB11" s="363"/>
      <c r="CC11" s="363"/>
      <c r="CD11" s="363"/>
      <c r="CE11" s="363"/>
      <c r="CF11" s="363"/>
      <c r="CG11" s="364">
        <f t="shared" si="11"/>
        <v>0</v>
      </c>
      <c r="CH11" s="362">
        <v>59</v>
      </c>
      <c r="CI11" s="363">
        <v>9</v>
      </c>
      <c r="CJ11" s="363"/>
      <c r="CK11" s="363"/>
      <c r="CL11" s="363">
        <v>1</v>
      </c>
      <c r="CM11" s="363"/>
      <c r="CN11" s="364">
        <f t="shared" si="12"/>
        <v>69</v>
      </c>
      <c r="CO11" s="362">
        <v>122</v>
      </c>
      <c r="CP11" s="363">
        <v>23</v>
      </c>
      <c r="CQ11" s="363"/>
      <c r="CR11" s="363"/>
      <c r="CS11" s="363">
        <v>1</v>
      </c>
      <c r="CT11" s="363"/>
      <c r="CU11" s="364">
        <f t="shared" si="13"/>
        <v>146</v>
      </c>
      <c r="CV11" s="362"/>
      <c r="CW11" s="363"/>
      <c r="CX11" s="363"/>
      <c r="CY11" s="363"/>
      <c r="CZ11" s="363"/>
      <c r="DA11" s="363"/>
      <c r="DB11" s="364">
        <f t="shared" si="14"/>
        <v>0</v>
      </c>
      <c r="DC11" s="363"/>
      <c r="DD11" s="363"/>
      <c r="DE11" s="363"/>
      <c r="DF11" s="363"/>
      <c r="DG11" s="363"/>
      <c r="DH11" s="363"/>
      <c r="DI11" s="364">
        <f t="shared" si="15"/>
        <v>0</v>
      </c>
      <c r="DJ11" s="365"/>
      <c r="DK11" s="366"/>
      <c r="DL11" s="366"/>
      <c r="DM11" s="366"/>
      <c r="DN11" s="366"/>
      <c r="DO11" s="366"/>
      <c r="DP11" s="367">
        <f t="shared" si="16"/>
        <v>0</v>
      </c>
      <c r="DQ11" s="366"/>
      <c r="DR11" s="366"/>
      <c r="DS11" s="366"/>
      <c r="DT11" s="366"/>
      <c r="DU11" s="366"/>
      <c r="DV11" s="366"/>
      <c r="DW11" s="367">
        <f t="shared" si="17"/>
        <v>0</v>
      </c>
      <c r="DX11" s="365"/>
      <c r="DY11" s="366"/>
      <c r="DZ11" s="366"/>
      <c r="EA11" s="366"/>
      <c r="EB11" s="366"/>
      <c r="EC11" s="366"/>
      <c r="ED11" s="367">
        <f t="shared" si="18"/>
        <v>0</v>
      </c>
      <c r="EE11" s="368"/>
      <c r="EF11" s="368"/>
      <c r="EG11" s="368"/>
      <c r="EH11" s="368"/>
      <c r="EI11" s="368"/>
      <c r="EJ11" s="368"/>
      <c r="EK11" s="368"/>
      <c r="EL11" s="365"/>
      <c r="EM11" s="366"/>
      <c r="EN11" s="366"/>
      <c r="EO11" s="366"/>
      <c r="EP11" s="366"/>
      <c r="EQ11" s="366"/>
      <c r="ER11" s="367">
        <f t="shared" si="19"/>
        <v>0</v>
      </c>
      <c r="ES11" s="366"/>
      <c r="ET11" s="366"/>
      <c r="EU11" s="366"/>
      <c r="EV11" s="366"/>
      <c r="EW11" s="366"/>
      <c r="EX11" s="366"/>
      <c r="EY11" s="367">
        <f t="shared" si="20"/>
        <v>0</v>
      </c>
      <c r="EZ11" s="365"/>
      <c r="FA11" s="366"/>
      <c r="FB11" s="366"/>
      <c r="FC11" s="366"/>
      <c r="FD11" s="366"/>
      <c r="FE11" s="366"/>
      <c r="FF11" s="367">
        <f t="shared" si="21"/>
        <v>0</v>
      </c>
      <c r="FG11" s="368"/>
      <c r="FH11" s="368"/>
      <c r="FI11" s="368"/>
      <c r="FJ11" s="368"/>
      <c r="FK11" s="368"/>
      <c r="FL11" s="368"/>
      <c r="FM11" s="368"/>
      <c r="FN11" s="365"/>
      <c r="FO11" s="366"/>
      <c r="FP11" s="366"/>
      <c r="FQ11" s="366"/>
      <c r="FR11" s="366"/>
      <c r="FS11" s="366"/>
      <c r="FT11" s="367">
        <f t="shared" si="22"/>
        <v>0</v>
      </c>
      <c r="FU11" s="366"/>
      <c r="FV11" s="366"/>
      <c r="FW11" s="366"/>
      <c r="FX11" s="366"/>
      <c r="FY11" s="366"/>
      <c r="FZ11" s="366"/>
      <c r="GA11" s="367">
        <f t="shared" si="23"/>
        <v>0</v>
      </c>
      <c r="GB11" s="365"/>
      <c r="GC11" s="366"/>
      <c r="GD11" s="366"/>
      <c r="GE11" s="366"/>
      <c r="GF11" s="366"/>
      <c r="GG11" s="366"/>
      <c r="GH11" s="367">
        <f t="shared" si="24"/>
        <v>0</v>
      </c>
      <c r="GI11" s="368"/>
      <c r="GJ11" s="368"/>
      <c r="GK11" s="368"/>
      <c r="GL11" s="368"/>
      <c r="GM11" s="368"/>
      <c r="GN11" s="368"/>
      <c r="GO11" s="368"/>
      <c r="GP11" s="365"/>
      <c r="GQ11" s="366"/>
      <c r="GR11" s="366"/>
      <c r="GS11" s="366"/>
      <c r="GT11" s="366"/>
      <c r="GU11" s="366"/>
      <c r="GV11" s="367">
        <f t="shared" si="25"/>
        <v>0</v>
      </c>
      <c r="GW11" s="366"/>
      <c r="GX11" s="366"/>
      <c r="GY11" s="366"/>
      <c r="GZ11" s="366"/>
      <c r="HA11" s="366"/>
      <c r="HB11" s="366"/>
      <c r="HC11" s="367">
        <f t="shared" si="26"/>
        <v>0</v>
      </c>
      <c r="HD11" s="365"/>
      <c r="HE11" s="366"/>
      <c r="HF11" s="366"/>
      <c r="HG11" s="366"/>
      <c r="HH11" s="366"/>
      <c r="HI11" s="366"/>
      <c r="HJ11" s="367">
        <f t="shared" si="27"/>
        <v>0</v>
      </c>
    </row>
    <row r="12" spans="1:218" s="369" customFormat="1" ht="21.75" customHeight="1" x14ac:dyDescent="0.6">
      <c r="A12" s="370" t="s">
        <v>67</v>
      </c>
      <c r="B12" s="371">
        <v>42</v>
      </c>
      <c r="C12" s="372">
        <v>5</v>
      </c>
      <c r="D12" s="372"/>
      <c r="E12" s="372"/>
      <c r="F12" s="372"/>
      <c r="G12" s="372">
        <v>1</v>
      </c>
      <c r="H12" s="364">
        <f t="shared" si="0"/>
        <v>48</v>
      </c>
      <c r="I12" s="371">
        <v>57</v>
      </c>
      <c r="J12" s="372">
        <v>8</v>
      </c>
      <c r="K12" s="372"/>
      <c r="L12" s="372"/>
      <c r="M12" s="372"/>
      <c r="N12" s="372"/>
      <c r="O12" s="364">
        <f t="shared" si="1"/>
        <v>65</v>
      </c>
      <c r="P12" s="371">
        <v>19</v>
      </c>
      <c r="Q12" s="372">
        <v>7</v>
      </c>
      <c r="R12" s="372"/>
      <c r="S12" s="372"/>
      <c r="T12" s="372">
        <v>1</v>
      </c>
      <c r="U12" s="372"/>
      <c r="V12" s="364">
        <f t="shared" si="2"/>
        <v>27</v>
      </c>
      <c r="W12" s="371"/>
      <c r="X12" s="372"/>
      <c r="Y12" s="372"/>
      <c r="Z12" s="372"/>
      <c r="AA12" s="372"/>
      <c r="AB12" s="372"/>
      <c r="AC12" s="364">
        <f t="shared" si="3"/>
        <v>0</v>
      </c>
      <c r="AD12" s="371">
        <v>42</v>
      </c>
      <c r="AE12" s="372">
        <v>12</v>
      </c>
      <c r="AF12" s="372"/>
      <c r="AG12" s="372"/>
      <c r="AH12" s="372"/>
      <c r="AI12" s="372"/>
      <c r="AJ12" s="364">
        <f t="shared" si="4"/>
        <v>54</v>
      </c>
      <c r="AK12" s="371">
        <v>149</v>
      </c>
      <c r="AL12" s="372">
        <v>36</v>
      </c>
      <c r="AM12" s="372"/>
      <c r="AN12" s="372"/>
      <c r="AO12" s="372">
        <v>2</v>
      </c>
      <c r="AP12" s="372"/>
      <c r="AQ12" s="364">
        <f t="shared" si="5"/>
        <v>187</v>
      </c>
      <c r="AR12" s="371">
        <v>33</v>
      </c>
      <c r="AS12" s="372">
        <v>10</v>
      </c>
      <c r="AT12" s="372"/>
      <c r="AU12" s="372"/>
      <c r="AV12" s="372">
        <v>3</v>
      </c>
      <c r="AW12" s="372"/>
      <c r="AX12" s="364">
        <f t="shared" si="6"/>
        <v>46</v>
      </c>
      <c r="AY12" s="372">
        <v>52</v>
      </c>
      <c r="AZ12" s="372">
        <v>17</v>
      </c>
      <c r="BA12" s="372">
        <v>1</v>
      </c>
      <c r="BB12" s="372"/>
      <c r="BC12" s="372"/>
      <c r="BD12" s="372">
        <v>1</v>
      </c>
      <c r="BE12" s="364">
        <f t="shared" si="7"/>
        <v>71</v>
      </c>
      <c r="BF12" s="371">
        <v>5</v>
      </c>
      <c r="BG12" s="372">
        <v>4</v>
      </c>
      <c r="BH12" s="372"/>
      <c r="BI12" s="372"/>
      <c r="BJ12" s="372"/>
      <c r="BK12" s="372"/>
      <c r="BL12" s="364">
        <f t="shared" si="8"/>
        <v>9</v>
      </c>
      <c r="BM12" s="371">
        <v>45</v>
      </c>
      <c r="BN12" s="372">
        <v>16</v>
      </c>
      <c r="BO12" s="372"/>
      <c r="BP12" s="372"/>
      <c r="BQ12" s="372"/>
      <c r="BR12" s="372"/>
      <c r="BS12" s="364">
        <f t="shared" si="9"/>
        <v>61</v>
      </c>
      <c r="BT12" s="371">
        <v>47</v>
      </c>
      <c r="BU12" s="372">
        <v>14</v>
      </c>
      <c r="BV12" s="372"/>
      <c r="BW12" s="372"/>
      <c r="BX12" s="372"/>
      <c r="BY12" s="372"/>
      <c r="BZ12" s="364">
        <f t="shared" si="10"/>
        <v>61</v>
      </c>
      <c r="CA12" s="372"/>
      <c r="CB12" s="372"/>
      <c r="CC12" s="372"/>
      <c r="CD12" s="372"/>
      <c r="CE12" s="372"/>
      <c r="CF12" s="372"/>
      <c r="CG12" s="364">
        <f t="shared" si="11"/>
        <v>0</v>
      </c>
      <c r="CH12" s="371">
        <v>46</v>
      </c>
      <c r="CI12" s="372">
        <v>11</v>
      </c>
      <c r="CJ12" s="372"/>
      <c r="CK12" s="372"/>
      <c r="CL12" s="372"/>
      <c r="CM12" s="372"/>
      <c r="CN12" s="364">
        <f t="shared" si="12"/>
        <v>57</v>
      </c>
      <c r="CO12" s="371">
        <v>118</v>
      </c>
      <c r="CP12" s="372">
        <v>20</v>
      </c>
      <c r="CQ12" s="372">
        <v>1</v>
      </c>
      <c r="CR12" s="372"/>
      <c r="CS12" s="372">
        <v>2</v>
      </c>
      <c r="CT12" s="372"/>
      <c r="CU12" s="364">
        <f t="shared" si="13"/>
        <v>141</v>
      </c>
      <c r="CV12" s="371"/>
      <c r="CW12" s="372"/>
      <c r="CX12" s="372"/>
      <c r="CY12" s="372"/>
      <c r="CZ12" s="372"/>
      <c r="DA12" s="372"/>
      <c r="DB12" s="364">
        <f t="shared" si="14"/>
        <v>0</v>
      </c>
      <c r="DC12" s="372"/>
      <c r="DD12" s="372"/>
      <c r="DE12" s="372"/>
      <c r="DF12" s="372"/>
      <c r="DG12" s="372"/>
      <c r="DH12" s="372"/>
      <c r="DI12" s="364">
        <f t="shared" si="15"/>
        <v>0</v>
      </c>
      <c r="DJ12" s="373"/>
      <c r="DK12" s="374"/>
      <c r="DL12" s="374"/>
      <c r="DM12" s="374"/>
      <c r="DN12" s="374"/>
      <c r="DO12" s="374"/>
      <c r="DP12" s="367">
        <f t="shared" si="16"/>
        <v>0</v>
      </c>
      <c r="DQ12" s="374"/>
      <c r="DR12" s="374"/>
      <c r="DS12" s="374"/>
      <c r="DT12" s="374"/>
      <c r="DU12" s="374"/>
      <c r="DV12" s="374"/>
      <c r="DW12" s="367">
        <f t="shared" si="17"/>
        <v>0</v>
      </c>
      <c r="DX12" s="373"/>
      <c r="DY12" s="374"/>
      <c r="DZ12" s="374"/>
      <c r="EA12" s="374"/>
      <c r="EB12" s="374"/>
      <c r="EC12" s="374"/>
      <c r="ED12" s="367">
        <f t="shared" si="18"/>
        <v>0</v>
      </c>
      <c r="EE12" s="375"/>
      <c r="EF12" s="375"/>
      <c r="EG12" s="375"/>
      <c r="EH12" s="375"/>
      <c r="EI12" s="375"/>
      <c r="EJ12" s="375"/>
      <c r="EK12" s="375"/>
      <c r="EL12" s="373"/>
      <c r="EM12" s="374"/>
      <c r="EN12" s="374"/>
      <c r="EO12" s="374"/>
      <c r="EP12" s="374"/>
      <c r="EQ12" s="374"/>
      <c r="ER12" s="367">
        <f t="shared" si="19"/>
        <v>0</v>
      </c>
      <c r="ES12" s="374"/>
      <c r="ET12" s="374"/>
      <c r="EU12" s="374"/>
      <c r="EV12" s="374"/>
      <c r="EW12" s="374"/>
      <c r="EX12" s="374"/>
      <c r="EY12" s="367">
        <f t="shared" si="20"/>
        <v>0</v>
      </c>
      <c r="EZ12" s="373"/>
      <c r="FA12" s="374"/>
      <c r="FB12" s="374"/>
      <c r="FC12" s="374"/>
      <c r="FD12" s="374"/>
      <c r="FE12" s="374"/>
      <c r="FF12" s="367">
        <f t="shared" si="21"/>
        <v>0</v>
      </c>
      <c r="FG12" s="375"/>
      <c r="FH12" s="375"/>
      <c r="FI12" s="375"/>
      <c r="FJ12" s="375"/>
      <c r="FK12" s="375"/>
      <c r="FL12" s="375"/>
      <c r="FM12" s="375"/>
      <c r="FN12" s="373"/>
      <c r="FO12" s="374"/>
      <c r="FP12" s="374"/>
      <c r="FQ12" s="374"/>
      <c r="FR12" s="374"/>
      <c r="FS12" s="374"/>
      <c r="FT12" s="367">
        <f t="shared" si="22"/>
        <v>0</v>
      </c>
      <c r="FU12" s="374"/>
      <c r="FV12" s="374"/>
      <c r="FW12" s="374"/>
      <c r="FX12" s="374"/>
      <c r="FY12" s="374"/>
      <c r="FZ12" s="374"/>
      <c r="GA12" s="367">
        <f t="shared" si="23"/>
        <v>0</v>
      </c>
      <c r="GB12" s="373"/>
      <c r="GC12" s="374"/>
      <c r="GD12" s="374"/>
      <c r="GE12" s="374"/>
      <c r="GF12" s="374"/>
      <c r="GG12" s="374"/>
      <c r="GH12" s="367">
        <f t="shared" si="24"/>
        <v>0</v>
      </c>
      <c r="GI12" s="375"/>
      <c r="GJ12" s="375"/>
      <c r="GK12" s="375"/>
      <c r="GL12" s="375"/>
      <c r="GM12" s="375"/>
      <c r="GN12" s="375"/>
      <c r="GO12" s="375"/>
      <c r="GP12" s="373"/>
      <c r="GQ12" s="374"/>
      <c r="GR12" s="374"/>
      <c r="GS12" s="374"/>
      <c r="GT12" s="374"/>
      <c r="GU12" s="374"/>
      <c r="GV12" s="367">
        <f t="shared" si="25"/>
        <v>0</v>
      </c>
      <c r="GW12" s="374"/>
      <c r="GX12" s="374"/>
      <c r="GY12" s="374"/>
      <c r="GZ12" s="374"/>
      <c r="HA12" s="374"/>
      <c r="HB12" s="374"/>
      <c r="HC12" s="367">
        <f t="shared" si="26"/>
        <v>0</v>
      </c>
      <c r="HD12" s="373"/>
      <c r="HE12" s="374"/>
      <c r="HF12" s="374"/>
      <c r="HG12" s="374"/>
      <c r="HH12" s="374"/>
      <c r="HI12" s="374"/>
      <c r="HJ12" s="367">
        <f t="shared" si="27"/>
        <v>0</v>
      </c>
    </row>
    <row r="13" spans="1:218" s="369" customFormat="1" ht="21.75" customHeight="1" x14ac:dyDescent="0.6">
      <c r="A13" s="370" t="s">
        <v>68</v>
      </c>
      <c r="B13" s="371">
        <v>37</v>
      </c>
      <c r="C13" s="372">
        <v>9</v>
      </c>
      <c r="D13" s="372"/>
      <c r="E13" s="372"/>
      <c r="F13" s="372"/>
      <c r="G13" s="372"/>
      <c r="H13" s="364">
        <f t="shared" si="0"/>
        <v>46</v>
      </c>
      <c r="I13" s="371">
        <v>66</v>
      </c>
      <c r="J13" s="372">
        <v>6</v>
      </c>
      <c r="K13" s="372"/>
      <c r="L13" s="372"/>
      <c r="M13" s="372"/>
      <c r="N13" s="372"/>
      <c r="O13" s="364">
        <f t="shared" si="1"/>
        <v>72</v>
      </c>
      <c r="P13" s="371">
        <v>21</v>
      </c>
      <c r="Q13" s="372">
        <v>10</v>
      </c>
      <c r="R13" s="372"/>
      <c r="S13" s="372"/>
      <c r="T13" s="372"/>
      <c r="U13" s="372"/>
      <c r="V13" s="364">
        <f t="shared" si="2"/>
        <v>31</v>
      </c>
      <c r="W13" s="371"/>
      <c r="X13" s="372"/>
      <c r="Y13" s="372"/>
      <c r="Z13" s="372"/>
      <c r="AA13" s="372"/>
      <c r="AB13" s="372"/>
      <c r="AC13" s="364">
        <f t="shared" si="3"/>
        <v>0</v>
      </c>
      <c r="AD13" s="371">
        <v>38</v>
      </c>
      <c r="AE13" s="372">
        <v>8</v>
      </c>
      <c r="AF13" s="372"/>
      <c r="AG13" s="372"/>
      <c r="AH13" s="372"/>
      <c r="AI13" s="372"/>
      <c r="AJ13" s="364">
        <f t="shared" si="4"/>
        <v>46</v>
      </c>
      <c r="AK13" s="371">
        <v>151</v>
      </c>
      <c r="AL13" s="372">
        <v>51</v>
      </c>
      <c r="AM13" s="372"/>
      <c r="AN13" s="372">
        <v>1</v>
      </c>
      <c r="AO13" s="372">
        <v>9</v>
      </c>
      <c r="AP13" s="372"/>
      <c r="AQ13" s="364">
        <f t="shared" si="5"/>
        <v>212</v>
      </c>
      <c r="AR13" s="371">
        <v>39</v>
      </c>
      <c r="AS13" s="372">
        <v>6</v>
      </c>
      <c r="AT13" s="372"/>
      <c r="AU13" s="372"/>
      <c r="AV13" s="372"/>
      <c r="AW13" s="372">
        <v>1</v>
      </c>
      <c r="AX13" s="364">
        <f t="shared" si="6"/>
        <v>46</v>
      </c>
      <c r="AY13" s="372">
        <v>55</v>
      </c>
      <c r="AZ13" s="372">
        <v>23</v>
      </c>
      <c r="BA13" s="372"/>
      <c r="BB13" s="372"/>
      <c r="BC13" s="372">
        <v>1</v>
      </c>
      <c r="BD13" s="372"/>
      <c r="BE13" s="364">
        <f t="shared" si="7"/>
        <v>79</v>
      </c>
      <c r="BF13" s="371">
        <v>2</v>
      </c>
      <c r="BG13" s="372"/>
      <c r="BH13" s="372"/>
      <c r="BI13" s="372"/>
      <c r="BJ13" s="372">
        <v>1</v>
      </c>
      <c r="BK13" s="372"/>
      <c r="BL13" s="364">
        <f t="shared" si="8"/>
        <v>3</v>
      </c>
      <c r="BM13" s="371">
        <v>65</v>
      </c>
      <c r="BN13" s="372">
        <v>18</v>
      </c>
      <c r="BO13" s="372"/>
      <c r="BP13" s="372"/>
      <c r="BQ13" s="372"/>
      <c r="BR13" s="372"/>
      <c r="BS13" s="364">
        <f t="shared" si="9"/>
        <v>83</v>
      </c>
      <c r="BT13" s="371">
        <v>52</v>
      </c>
      <c r="BU13" s="372">
        <v>22</v>
      </c>
      <c r="BV13" s="372"/>
      <c r="BW13" s="372"/>
      <c r="BX13" s="372"/>
      <c r="BY13" s="372"/>
      <c r="BZ13" s="364">
        <f t="shared" si="10"/>
        <v>74</v>
      </c>
      <c r="CA13" s="372"/>
      <c r="CB13" s="372"/>
      <c r="CC13" s="372"/>
      <c r="CD13" s="372"/>
      <c r="CE13" s="372"/>
      <c r="CF13" s="372"/>
      <c r="CG13" s="364">
        <f t="shared" si="11"/>
        <v>0</v>
      </c>
      <c r="CH13" s="371">
        <v>50</v>
      </c>
      <c r="CI13" s="372">
        <v>8</v>
      </c>
      <c r="CJ13" s="372"/>
      <c r="CK13" s="372"/>
      <c r="CL13" s="372"/>
      <c r="CM13" s="372"/>
      <c r="CN13" s="364">
        <f t="shared" si="12"/>
        <v>58</v>
      </c>
      <c r="CO13" s="371">
        <v>105</v>
      </c>
      <c r="CP13" s="372">
        <v>28</v>
      </c>
      <c r="CQ13" s="372"/>
      <c r="CR13" s="372">
        <v>1</v>
      </c>
      <c r="CS13" s="372">
        <v>2</v>
      </c>
      <c r="CT13" s="372"/>
      <c r="CU13" s="364">
        <f t="shared" si="13"/>
        <v>136</v>
      </c>
      <c r="CV13" s="371"/>
      <c r="CW13" s="372"/>
      <c r="CX13" s="372"/>
      <c r="CY13" s="372"/>
      <c r="CZ13" s="372"/>
      <c r="DA13" s="372"/>
      <c r="DB13" s="364">
        <f t="shared" si="14"/>
        <v>0</v>
      </c>
      <c r="DC13" s="372"/>
      <c r="DD13" s="372"/>
      <c r="DE13" s="372"/>
      <c r="DF13" s="372"/>
      <c r="DG13" s="372"/>
      <c r="DH13" s="372"/>
      <c r="DI13" s="364">
        <f t="shared" si="15"/>
        <v>0</v>
      </c>
      <c r="DJ13" s="373"/>
      <c r="DK13" s="374"/>
      <c r="DL13" s="374"/>
      <c r="DM13" s="374"/>
      <c r="DN13" s="374"/>
      <c r="DO13" s="374"/>
      <c r="DP13" s="367">
        <f t="shared" si="16"/>
        <v>0</v>
      </c>
      <c r="DQ13" s="374"/>
      <c r="DR13" s="374"/>
      <c r="DS13" s="374"/>
      <c r="DT13" s="374"/>
      <c r="DU13" s="374"/>
      <c r="DV13" s="374"/>
      <c r="DW13" s="367">
        <f t="shared" si="17"/>
        <v>0</v>
      </c>
      <c r="DX13" s="373"/>
      <c r="DY13" s="374"/>
      <c r="DZ13" s="374"/>
      <c r="EA13" s="374"/>
      <c r="EB13" s="374"/>
      <c r="EC13" s="374"/>
      <c r="ED13" s="367">
        <f t="shared" si="18"/>
        <v>0</v>
      </c>
      <c r="EE13" s="375"/>
      <c r="EF13" s="375"/>
      <c r="EG13" s="375"/>
      <c r="EH13" s="375"/>
      <c r="EI13" s="375"/>
      <c r="EJ13" s="375"/>
      <c r="EK13" s="375"/>
      <c r="EL13" s="373"/>
      <c r="EM13" s="374"/>
      <c r="EN13" s="374"/>
      <c r="EO13" s="374"/>
      <c r="EP13" s="374"/>
      <c r="EQ13" s="374"/>
      <c r="ER13" s="367">
        <f t="shared" si="19"/>
        <v>0</v>
      </c>
      <c r="ES13" s="374"/>
      <c r="ET13" s="374"/>
      <c r="EU13" s="374"/>
      <c r="EV13" s="374"/>
      <c r="EW13" s="374"/>
      <c r="EX13" s="374"/>
      <c r="EY13" s="367">
        <f t="shared" si="20"/>
        <v>0</v>
      </c>
      <c r="EZ13" s="373"/>
      <c r="FA13" s="374"/>
      <c r="FB13" s="374"/>
      <c r="FC13" s="374"/>
      <c r="FD13" s="374"/>
      <c r="FE13" s="374"/>
      <c r="FF13" s="367">
        <f t="shared" si="21"/>
        <v>0</v>
      </c>
      <c r="FG13" s="375"/>
      <c r="FH13" s="375"/>
      <c r="FI13" s="375"/>
      <c r="FJ13" s="375"/>
      <c r="FK13" s="375"/>
      <c r="FL13" s="375"/>
      <c r="FM13" s="375"/>
      <c r="FN13" s="373"/>
      <c r="FO13" s="374"/>
      <c r="FP13" s="374"/>
      <c r="FQ13" s="374"/>
      <c r="FR13" s="374"/>
      <c r="FS13" s="374"/>
      <c r="FT13" s="367">
        <f t="shared" si="22"/>
        <v>0</v>
      </c>
      <c r="FU13" s="374"/>
      <c r="FV13" s="374"/>
      <c r="FW13" s="374"/>
      <c r="FX13" s="374"/>
      <c r="FY13" s="374"/>
      <c r="FZ13" s="374"/>
      <c r="GA13" s="367">
        <f t="shared" si="23"/>
        <v>0</v>
      </c>
      <c r="GB13" s="373"/>
      <c r="GC13" s="374"/>
      <c r="GD13" s="374"/>
      <c r="GE13" s="374"/>
      <c r="GF13" s="374"/>
      <c r="GG13" s="374"/>
      <c r="GH13" s="367">
        <f t="shared" si="24"/>
        <v>0</v>
      </c>
      <c r="GI13" s="375"/>
      <c r="GJ13" s="375"/>
      <c r="GK13" s="375"/>
      <c r="GL13" s="375"/>
      <c r="GM13" s="375"/>
      <c r="GN13" s="375"/>
      <c r="GO13" s="375"/>
      <c r="GP13" s="373"/>
      <c r="GQ13" s="374"/>
      <c r="GR13" s="374"/>
      <c r="GS13" s="374"/>
      <c r="GT13" s="374"/>
      <c r="GU13" s="374"/>
      <c r="GV13" s="367">
        <f t="shared" si="25"/>
        <v>0</v>
      </c>
      <c r="GW13" s="374"/>
      <c r="GX13" s="374"/>
      <c r="GY13" s="374"/>
      <c r="GZ13" s="374"/>
      <c r="HA13" s="374"/>
      <c r="HB13" s="374"/>
      <c r="HC13" s="367">
        <f t="shared" si="26"/>
        <v>0</v>
      </c>
      <c r="HD13" s="373"/>
      <c r="HE13" s="374"/>
      <c r="HF13" s="374"/>
      <c r="HG13" s="374"/>
      <c r="HH13" s="374"/>
      <c r="HI13" s="374"/>
      <c r="HJ13" s="367">
        <f t="shared" si="27"/>
        <v>0</v>
      </c>
    </row>
    <row r="14" spans="1:218" s="369" customFormat="1" ht="21.75" customHeight="1" x14ac:dyDescent="0.6">
      <c r="A14" s="376" t="s">
        <v>69</v>
      </c>
      <c r="B14" s="377">
        <v>31</v>
      </c>
      <c r="C14" s="378">
        <v>10</v>
      </c>
      <c r="D14" s="378"/>
      <c r="E14" s="378"/>
      <c r="F14" s="378">
        <v>1</v>
      </c>
      <c r="G14" s="378"/>
      <c r="H14" s="364">
        <f t="shared" si="0"/>
        <v>42</v>
      </c>
      <c r="I14" s="377">
        <v>41</v>
      </c>
      <c r="J14" s="378">
        <v>13</v>
      </c>
      <c r="K14" s="378"/>
      <c r="L14" s="378"/>
      <c r="M14" s="378"/>
      <c r="N14" s="378"/>
      <c r="O14" s="364">
        <f t="shared" si="1"/>
        <v>54</v>
      </c>
      <c r="P14" s="377">
        <v>18</v>
      </c>
      <c r="Q14" s="378">
        <v>6</v>
      </c>
      <c r="R14" s="378"/>
      <c r="S14" s="378"/>
      <c r="T14" s="378"/>
      <c r="U14" s="378"/>
      <c r="V14" s="364">
        <f t="shared" si="2"/>
        <v>24</v>
      </c>
      <c r="W14" s="377"/>
      <c r="X14" s="378"/>
      <c r="Y14" s="378"/>
      <c r="Z14" s="378"/>
      <c r="AA14" s="378"/>
      <c r="AB14" s="378"/>
      <c r="AC14" s="364">
        <f t="shared" si="3"/>
        <v>0</v>
      </c>
      <c r="AD14" s="377">
        <v>41</v>
      </c>
      <c r="AE14" s="378">
        <v>16</v>
      </c>
      <c r="AF14" s="378"/>
      <c r="AG14" s="378"/>
      <c r="AH14" s="378"/>
      <c r="AI14" s="378"/>
      <c r="AJ14" s="364">
        <f t="shared" si="4"/>
        <v>57</v>
      </c>
      <c r="AK14" s="377">
        <v>135</v>
      </c>
      <c r="AL14" s="378">
        <v>48</v>
      </c>
      <c r="AM14" s="378">
        <v>1</v>
      </c>
      <c r="AN14" s="378"/>
      <c r="AO14" s="378">
        <v>6</v>
      </c>
      <c r="AP14" s="378"/>
      <c r="AQ14" s="364">
        <f t="shared" si="5"/>
        <v>190</v>
      </c>
      <c r="AR14" s="377">
        <v>30</v>
      </c>
      <c r="AS14" s="378">
        <v>9</v>
      </c>
      <c r="AT14" s="378"/>
      <c r="AU14" s="378"/>
      <c r="AV14" s="378">
        <v>1</v>
      </c>
      <c r="AW14" s="378"/>
      <c r="AX14" s="364">
        <f t="shared" si="6"/>
        <v>40</v>
      </c>
      <c r="AY14" s="378">
        <v>44</v>
      </c>
      <c r="AZ14" s="378">
        <v>15</v>
      </c>
      <c r="BA14" s="378"/>
      <c r="BB14" s="378"/>
      <c r="BC14" s="378">
        <v>1</v>
      </c>
      <c r="BD14" s="378"/>
      <c r="BE14" s="364">
        <f t="shared" si="7"/>
        <v>60</v>
      </c>
      <c r="BF14" s="377">
        <v>6</v>
      </c>
      <c r="BG14" s="378">
        <v>2</v>
      </c>
      <c r="BH14" s="378"/>
      <c r="BI14" s="378"/>
      <c r="BJ14" s="378"/>
      <c r="BK14" s="378"/>
      <c r="BL14" s="364">
        <f t="shared" si="8"/>
        <v>8</v>
      </c>
      <c r="BM14" s="377">
        <v>58</v>
      </c>
      <c r="BN14" s="378">
        <v>12</v>
      </c>
      <c r="BO14" s="378"/>
      <c r="BP14" s="378"/>
      <c r="BQ14" s="378">
        <v>1</v>
      </c>
      <c r="BR14" s="378"/>
      <c r="BS14" s="364">
        <f t="shared" si="9"/>
        <v>71</v>
      </c>
      <c r="BT14" s="377">
        <v>36</v>
      </c>
      <c r="BU14" s="378">
        <v>10</v>
      </c>
      <c r="BV14" s="378"/>
      <c r="BW14" s="378"/>
      <c r="BX14" s="378"/>
      <c r="BY14" s="378"/>
      <c r="BZ14" s="364">
        <f t="shared" si="10"/>
        <v>46</v>
      </c>
      <c r="CA14" s="378"/>
      <c r="CB14" s="378"/>
      <c r="CC14" s="378"/>
      <c r="CD14" s="378"/>
      <c r="CE14" s="378"/>
      <c r="CF14" s="378"/>
      <c r="CG14" s="364">
        <f t="shared" si="11"/>
        <v>0</v>
      </c>
      <c r="CH14" s="377">
        <v>42</v>
      </c>
      <c r="CI14" s="378">
        <v>5</v>
      </c>
      <c r="CJ14" s="378"/>
      <c r="CK14" s="378"/>
      <c r="CL14" s="378">
        <v>1</v>
      </c>
      <c r="CM14" s="378"/>
      <c r="CN14" s="364">
        <f t="shared" si="12"/>
        <v>48</v>
      </c>
      <c r="CO14" s="377">
        <v>110</v>
      </c>
      <c r="CP14" s="378">
        <v>22</v>
      </c>
      <c r="CQ14" s="378">
        <v>2</v>
      </c>
      <c r="CR14" s="378"/>
      <c r="CS14" s="378">
        <v>1</v>
      </c>
      <c r="CT14" s="378"/>
      <c r="CU14" s="364">
        <f t="shared" si="13"/>
        <v>135</v>
      </c>
      <c r="CV14" s="377"/>
      <c r="CW14" s="378"/>
      <c r="CX14" s="378"/>
      <c r="CY14" s="378"/>
      <c r="CZ14" s="378"/>
      <c r="DA14" s="378"/>
      <c r="DB14" s="364">
        <f t="shared" si="14"/>
        <v>0</v>
      </c>
      <c r="DC14" s="378"/>
      <c r="DD14" s="378"/>
      <c r="DE14" s="378"/>
      <c r="DF14" s="378"/>
      <c r="DG14" s="378"/>
      <c r="DH14" s="378"/>
      <c r="DI14" s="364">
        <f t="shared" si="15"/>
        <v>0</v>
      </c>
      <c r="DJ14" s="379"/>
      <c r="DK14" s="380"/>
      <c r="DL14" s="380"/>
      <c r="DM14" s="380"/>
      <c r="DN14" s="380"/>
      <c r="DO14" s="380"/>
      <c r="DP14" s="367">
        <f t="shared" si="16"/>
        <v>0</v>
      </c>
      <c r="DQ14" s="380"/>
      <c r="DR14" s="380"/>
      <c r="DS14" s="380"/>
      <c r="DT14" s="380"/>
      <c r="DU14" s="380"/>
      <c r="DV14" s="380"/>
      <c r="DW14" s="367">
        <f t="shared" si="17"/>
        <v>0</v>
      </c>
      <c r="DX14" s="379"/>
      <c r="DY14" s="380"/>
      <c r="DZ14" s="380"/>
      <c r="EA14" s="380"/>
      <c r="EB14" s="380"/>
      <c r="EC14" s="380"/>
      <c r="ED14" s="367">
        <f t="shared" si="18"/>
        <v>0</v>
      </c>
      <c r="EE14" s="375"/>
      <c r="EF14" s="375"/>
      <c r="EG14" s="375"/>
      <c r="EH14" s="375"/>
      <c r="EI14" s="375"/>
      <c r="EJ14" s="375"/>
      <c r="EK14" s="375"/>
      <c r="EL14" s="379"/>
      <c r="EM14" s="380"/>
      <c r="EN14" s="380"/>
      <c r="EO14" s="380"/>
      <c r="EP14" s="380"/>
      <c r="EQ14" s="380"/>
      <c r="ER14" s="367">
        <f t="shared" si="19"/>
        <v>0</v>
      </c>
      <c r="ES14" s="380"/>
      <c r="ET14" s="380"/>
      <c r="EU14" s="380"/>
      <c r="EV14" s="380"/>
      <c r="EW14" s="380"/>
      <c r="EX14" s="380"/>
      <c r="EY14" s="367">
        <f t="shared" si="20"/>
        <v>0</v>
      </c>
      <c r="EZ14" s="379"/>
      <c r="FA14" s="380"/>
      <c r="FB14" s="380"/>
      <c r="FC14" s="380"/>
      <c r="FD14" s="380"/>
      <c r="FE14" s="380"/>
      <c r="FF14" s="367">
        <f t="shared" si="21"/>
        <v>0</v>
      </c>
      <c r="FG14" s="375"/>
      <c r="FH14" s="375"/>
      <c r="FI14" s="375"/>
      <c r="FJ14" s="375"/>
      <c r="FK14" s="375"/>
      <c r="FL14" s="375"/>
      <c r="FM14" s="375"/>
      <c r="FN14" s="379"/>
      <c r="FO14" s="380"/>
      <c r="FP14" s="380"/>
      <c r="FQ14" s="380"/>
      <c r="FR14" s="380"/>
      <c r="FS14" s="380"/>
      <c r="FT14" s="367">
        <f t="shared" si="22"/>
        <v>0</v>
      </c>
      <c r="FU14" s="380"/>
      <c r="FV14" s="380"/>
      <c r="FW14" s="380"/>
      <c r="FX14" s="380"/>
      <c r="FY14" s="380"/>
      <c r="FZ14" s="380"/>
      <c r="GA14" s="367">
        <f t="shared" si="23"/>
        <v>0</v>
      </c>
      <c r="GB14" s="379"/>
      <c r="GC14" s="380"/>
      <c r="GD14" s="380"/>
      <c r="GE14" s="380"/>
      <c r="GF14" s="380"/>
      <c r="GG14" s="380"/>
      <c r="GH14" s="367">
        <f t="shared" si="24"/>
        <v>0</v>
      </c>
      <c r="GI14" s="375"/>
      <c r="GJ14" s="375"/>
      <c r="GK14" s="375"/>
      <c r="GL14" s="375"/>
      <c r="GM14" s="375"/>
      <c r="GN14" s="375"/>
      <c r="GO14" s="375"/>
      <c r="GP14" s="379"/>
      <c r="GQ14" s="380"/>
      <c r="GR14" s="380"/>
      <c r="GS14" s="380"/>
      <c r="GT14" s="380"/>
      <c r="GU14" s="380"/>
      <c r="GV14" s="367">
        <f t="shared" si="25"/>
        <v>0</v>
      </c>
      <c r="GW14" s="380"/>
      <c r="GX14" s="380"/>
      <c r="GY14" s="380"/>
      <c r="GZ14" s="380"/>
      <c r="HA14" s="380"/>
      <c r="HB14" s="380"/>
      <c r="HC14" s="367">
        <f t="shared" si="26"/>
        <v>0</v>
      </c>
      <c r="HD14" s="379"/>
      <c r="HE14" s="380"/>
      <c r="HF14" s="380"/>
      <c r="HG14" s="380"/>
      <c r="HH14" s="380"/>
      <c r="HI14" s="380"/>
      <c r="HJ14" s="367">
        <f t="shared" si="27"/>
        <v>0</v>
      </c>
    </row>
    <row r="15" spans="1:218" s="369" customFormat="1" ht="21.75" customHeight="1" x14ac:dyDescent="0.6">
      <c r="A15" s="361" t="s">
        <v>70</v>
      </c>
      <c r="B15" s="362">
        <v>34</v>
      </c>
      <c r="C15" s="363">
        <v>7</v>
      </c>
      <c r="D15" s="363"/>
      <c r="E15" s="363"/>
      <c r="F15" s="363"/>
      <c r="G15" s="363">
        <v>3</v>
      </c>
      <c r="H15" s="364">
        <f t="shared" si="0"/>
        <v>44</v>
      </c>
      <c r="I15" s="362">
        <v>38</v>
      </c>
      <c r="J15" s="363">
        <v>5</v>
      </c>
      <c r="K15" s="363"/>
      <c r="L15" s="363"/>
      <c r="M15" s="363"/>
      <c r="N15" s="363"/>
      <c r="O15" s="364">
        <f t="shared" si="1"/>
        <v>43</v>
      </c>
      <c r="P15" s="362">
        <v>27</v>
      </c>
      <c r="Q15" s="363">
        <v>12</v>
      </c>
      <c r="R15" s="363"/>
      <c r="S15" s="363"/>
      <c r="T15" s="363"/>
      <c r="U15" s="363"/>
      <c r="V15" s="364">
        <f t="shared" si="2"/>
        <v>39</v>
      </c>
      <c r="W15" s="362"/>
      <c r="X15" s="363"/>
      <c r="Y15" s="363"/>
      <c r="Z15" s="363"/>
      <c r="AA15" s="363"/>
      <c r="AB15" s="363"/>
      <c r="AC15" s="364">
        <f t="shared" si="3"/>
        <v>0</v>
      </c>
      <c r="AD15" s="362">
        <v>44</v>
      </c>
      <c r="AE15" s="363">
        <v>18</v>
      </c>
      <c r="AF15" s="363"/>
      <c r="AG15" s="363"/>
      <c r="AH15" s="363"/>
      <c r="AI15" s="363"/>
      <c r="AJ15" s="364">
        <f t="shared" si="4"/>
        <v>62</v>
      </c>
      <c r="AK15" s="362">
        <v>122</v>
      </c>
      <c r="AL15" s="363">
        <v>36</v>
      </c>
      <c r="AM15" s="363">
        <v>1</v>
      </c>
      <c r="AN15" s="363"/>
      <c r="AO15" s="363">
        <v>7</v>
      </c>
      <c r="AP15" s="363"/>
      <c r="AQ15" s="364">
        <f t="shared" si="5"/>
        <v>166</v>
      </c>
      <c r="AR15" s="362">
        <v>24</v>
      </c>
      <c r="AS15" s="363">
        <v>8</v>
      </c>
      <c r="AT15" s="363"/>
      <c r="AU15" s="363"/>
      <c r="AV15" s="363"/>
      <c r="AW15" s="363"/>
      <c r="AX15" s="364">
        <f t="shared" si="6"/>
        <v>32</v>
      </c>
      <c r="AY15" s="362">
        <v>47</v>
      </c>
      <c r="AZ15" s="363">
        <v>24</v>
      </c>
      <c r="BA15" s="363"/>
      <c r="BB15" s="363"/>
      <c r="BC15" s="363"/>
      <c r="BD15" s="363">
        <v>2</v>
      </c>
      <c r="BE15" s="364">
        <f t="shared" si="7"/>
        <v>73</v>
      </c>
      <c r="BF15" s="362">
        <v>4</v>
      </c>
      <c r="BG15" s="363"/>
      <c r="BH15" s="363"/>
      <c r="BI15" s="363"/>
      <c r="BJ15" s="363"/>
      <c r="BK15" s="363"/>
      <c r="BL15" s="364">
        <f t="shared" si="8"/>
        <v>4</v>
      </c>
      <c r="BM15" s="362">
        <v>58</v>
      </c>
      <c r="BN15" s="363">
        <v>14</v>
      </c>
      <c r="BO15" s="363"/>
      <c r="BP15" s="363"/>
      <c r="BQ15" s="363"/>
      <c r="BR15" s="363"/>
      <c r="BS15" s="364">
        <f t="shared" si="9"/>
        <v>72</v>
      </c>
      <c r="BT15" s="362">
        <v>50</v>
      </c>
      <c r="BU15" s="363">
        <v>13</v>
      </c>
      <c r="BV15" s="363"/>
      <c r="BW15" s="363"/>
      <c r="BX15" s="363"/>
      <c r="BY15" s="363"/>
      <c r="BZ15" s="364">
        <f t="shared" si="10"/>
        <v>63</v>
      </c>
      <c r="CA15" s="362"/>
      <c r="CB15" s="363"/>
      <c r="CC15" s="363"/>
      <c r="CD15" s="363"/>
      <c r="CE15" s="363"/>
      <c r="CF15" s="363"/>
      <c r="CG15" s="364">
        <f t="shared" si="11"/>
        <v>0</v>
      </c>
      <c r="CH15" s="362">
        <v>35</v>
      </c>
      <c r="CI15" s="363">
        <v>9</v>
      </c>
      <c r="CJ15" s="363"/>
      <c r="CK15" s="363"/>
      <c r="CL15" s="363">
        <v>2</v>
      </c>
      <c r="CM15" s="363"/>
      <c r="CN15" s="364">
        <f t="shared" si="12"/>
        <v>46</v>
      </c>
      <c r="CO15" s="362">
        <v>112</v>
      </c>
      <c r="CP15" s="363">
        <v>25</v>
      </c>
      <c r="CQ15" s="363">
        <v>1</v>
      </c>
      <c r="CR15" s="363"/>
      <c r="CS15" s="363">
        <v>1</v>
      </c>
      <c r="CT15" s="363">
        <v>1</v>
      </c>
      <c r="CU15" s="364">
        <f t="shared" si="13"/>
        <v>140</v>
      </c>
      <c r="CV15" s="362"/>
      <c r="CW15" s="363"/>
      <c r="CX15" s="363"/>
      <c r="CY15" s="363"/>
      <c r="CZ15" s="363"/>
      <c r="DA15" s="363"/>
      <c r="DB15" s="364">
        <f t="shared" si="14"/>
        <v>0</v>
      </c>
      <c r="DC15" s="362"/>
      <c r="DD15" s="363"/>
      <c r="DE15" s="363"/>
      <c r="DF15" s="363"/>
      <c r="DG15" s="363"/>
      <c r="DH15" s="363"/>
      <c r="DI15" s="364">
        <f t="shared" si="15"/>
        <v>0</v>
      </c>
      <c r="DJ15" s="365"/>
      <c r="DK15" s="366"/>
      <c r="DL15" s="366"/>
      <c r="DM15" s="366"/>
      <c r="DN15" s="366"/>
      <c r="DO15" s="366"/>
      <c r="DP15" s="367">
        <f t="shared" si="16"/>
        <v>0</v>
      </c>
      <c r="DQ15" s="365"/>
      <c r="DR15" s="366"/>
      <c r="DS15" s="366"/>
      <c r="DT15" s="366"/>
      <c r="DU15" s="366"/>
      <c r="DV15" s="366"/>
      <c r="DW15" s="367">
        <f t="shared" si="17"/>
        <v>0</v>
      </c>
      <c r="DX15" s="365"/>
      <c r="DY15" s="366"/>
      <c r="DZ15" s="366"/>
      <c r="EA15" s="366"/>
      <c r="EB15" s="366"/>
      <c r="EC15" s="366"/>
      <c r="ED15" s="367">
        <f t="shared" si="18"/>
        <v>0</v>
      </c>
      <c r="EE15" s="368"/>
      <c r="EF15" s="368"/>
      <c r="EG15" s="368"/>
      <c r="EH15" s="368"/>
      <c r="EI15" s="368"/>
      <c r="EJ15" s="368"/>
      <c r="EK15" s="368"/>
      <c r="EL15" s="365"/>
      <c r="EM15" s="366"/>
      <c r="EN15" s="366"/>
      <c r="EO15" s="366"/>
      <c r="EP15" s="366"/>
      <c r="EQ15" s="366"/>
      <c r="ER15" s="367">
        <f t="shared" si="19"/>
        <v>0</v>
      </c>
      <c r="ES15" s="365"/>
      <c r="ET15" s="366"/>
      <c r="EU15" s="366"/>
      <c r="EV15" s="366"/>
      <c r="EW15" s="366"/>
      <c r="EX15" s="366"/>
      <c r="EY15" s="367">
        <f t="shared" si="20"/>
        <v>0</v>
      </c>
      <c r="EZ15" s="365"/>
      <c r="FA15" s="366"/>
      <c r="FB15" s="366"/>
      <c r="FC15" s="366"/>
      <c r="FD15" s="366"/>
      <c r="FE15" s="366"/>
      <c r="FF15" s="367">
        <f t="shared" si="21"/>
        <v>0</v>
      </c>
      <c r="FG15" s="368"/>
      <c r="FH15" s="368"/>
      <c r="FI15" s="368"/>
      <c r="FJ15" s="368"/>
      <c r="FK15" s="368"/>
      <c r="FL15" s="368"/>
      <c r="FM15" s="368"/>
      <c r="FN15" s="365"/>
      <c r="FO15" s="366"/>
      <c r="FP15" s="366"/>
      <c r="FQ15" s="366"/>
      <c r="FR15" s="366"/>
      <c r="FS15" s="366"/>
      <c r="FT15" s="367">
        <f t="shared" si="22"/>
        <v>0</v>
      </c>
      <c r="FU15" s="365"/>
      <c r="FV15" s="366"/>
      <c r="FW15" s="366"/>
      <c r="FX15" s="366"/>
      <c r="FY15" s="366"/>
      <c r="FZ15" s="366"/>
      <c r="GA15" s="367">
        <f t="shared" si="23"/>
        <v>0</v>
      </c>
      <c r="GB15" s="365"/>
      <c r="GC15" s="366"/>
      <c r="GD15" s="366"/>
      <c r="GE15" s="366"/>
      <c r="GF15" s="366"/>
      <c r="GG15" s="366"/>
      <c r="GH15" s="367">
        <f t="shared" si="24"/>
        <v>0</v>
      </c>
      <c r="GI15" s="368"/>
      <c r="GJ15" s="368"/>
      <c r="GK15" s="368"/>
      <c r="GL15" s="368"/>
      <c r="GM15" s="368"/>
      <c r="GN15" s="368"/>
      <c r="GO15" s="368"/>
      <c r="GP15" s="365"/>
      <c r="GQ15" s="366"/>
      <c r="GR15" s="366"/>
      <c r="GS15" s="366"/>
      <c r="GT15" s="366"/>
      <c r="GU15" s="366"/>
      <c r="GV15" s="367">
        <f t="shared" si="25"/>
        <v>0</v>
      </c>
      <c r="GW15" s="365"/>
      <c r="GX15" s="366"/>
      <c r="GY15" s="366"/>
      <c r="GZ15" s="366"/>
      <c r="HA15" s="366"/>
      <c r="HB15" s="366"/>
      <c r="HC15" s="367">
        <f t="shared" si="26"/>
        <v>0</v>
      </c>
      <c r="HD15" s="365"/>
      <c r="HE15" s="366"/>
      <c r="HF15" s="366"/>
      <c r="HG15" s="366"/>
      <c r="HH15" s="366"/>
      <c r="HI15" s="366"/>
      <c r="HJ15" s="367">
        <f t="shared" si="27"/>
        <v>0</v>
      </c>
    </row>
    <row r="16" spans="1:218" s="369" customFormat="1" ht="21.75" customHeight="1" x14ac:dyDescent="0.6">
      <c r="A16" s="370" t="s">
        <v>71</v>
      </c>
      <c r="B16" s="371">
        <v>26</v>
      </c>
      <c r="C16" s="372">
        <v>4</v>
      </c>
      <c r="D16" s="372"/>
      <c r="E16" s="372"/>
      <c r="F16" s="372"/>
      <c r="G16" s="372"/>
      <c r="H16" s="364">
        <f t="shared" si="0"/>
        <v>30</v>
      </c>
      <c r="I16" s="371">
        <v>53</v>
      </c>
      <c r="J16" s="372">
        <v>12</v>
      </c>
      <c r="K16" s="372"/>
      <c r="L16" s="372"/>
      <c r="M16" s="372"/>
      <c r="N16" s="372"/>
      <c r="O16" s="364">
        <f t="shared" si="1"/>
        <v>65</v>
      </c>
      <c r="P16" s="371">
        <v>30</v>
      </c>
      <c r="Q16" s="372">
        <v>8</v>
      </c>
      <c r="R16" s="372"/>
      <c r="S16" s="372"/>
      <c r="T16" s="372"/>
      <c r="U16" s="372"/>
      <c r="V16" s="364">
        <f t="shared" si="2"/>
        <v>38</v>
      </c>
      <c r="W16" s="371"/>
      <c r="X16" s="372"/>
      <c r="Y16" s="372"/>
      <c r="Z16" s="372"/>
      <c r="AA16" s="372"/>
      <c r="AB16" s="372"/>
      <c r="AC16" s="364">
        <f t="shared" si="3"/>
        <v>0</v>
      </c>
      <c r="AD16" s="371">
        <v>52</v>
      </c>
      <c r="AE16" s="372">
        <v>22</v>
      </c>
      <c r="AF16" s="372">
        <v>1</v>
      </c>
      <c r="AG16" s="372"/>
      <c r="AH16" s="372"/>
      <c r="AI16" s="372"/>
      <c r="AJ16" s="364">
        <f t="shared" si="4"/>
        <v>75</v>
      </c>
      <c r="AK16" s="371">
        <v>119</v>
      </c>
      <c r="AL16" s="372">
        <v>52</v>
      </c>
      <c r="AM16" s="372"/>
      <c r="AN16" s="372"/>
      <c r="AO16" s="372">
        <v>5</v>
      </c>
      <c r="AP16" s="372"/>
      <c r="AQ16" s="364">
        <f t="shared" si="5"/>
        <v>176</v>
      </c>
      <c r="AR16" s="371">
        <v>18</v>
      </c>
      <c r="AS16" s="372">
        <v>5</v>
      </c>
      <c r="AT16" s="372"/>
      <c r="AU16" s="372"/>
      <c r="AV16" s="372">
        <v>1</v>
      </c>
      <c r="AW16" s="372"/>
      <c r="AX16" s="364">
        <f t="shared" si="6"/>
        <v>24</v>
      </c>
      <c r="AY16" s="371">
        <v>41</v>
      </c>
      <c r="AZ16" s="372">
        <v>21</v>
      </c>
      <c r="BA16" s="372"/>
      <c r="BB16" s="372"/>
      <c r="BC16" s="372">
        <v>3</v>
      </c>
      <c r="BD16" s="372"/>
      <c r="BE16" s="364">
        <f t="shared" si="7"/>
        <v>65</v>
      </c>
      <c r="BF16" s="371">
        <v>3</v>
      </c>
      <c r="BG16" s="372"/>
      <c r="BH16" s="372"/>
      <c r="BI16" s="372"/>
      <c r="BJ16" s="372"/>
      <c r="BK16" s="372"/>
      <c r="BL16" s="364">
        <f t="shared" si="8"/>
        <v>3</v>
      </c>
      <c r="BM16" s="371">
        <v>63</v>
      </c>
      <c r="BN16" s="372">
        <v>10</v>
      </c>
      <c r="BO16" s="372"/>
      <c r="BP16" s="372"/>
      <c r="BQ16" s="372">
        <v>2</v>
      </c>
      <c r="BR16" s="372"/>
      <c r="BS16" s="364">
        <f t="shared" si="9"/>
        <v>75</v>
      </c>
      <c r="BT16" s="371">
        <v>72</v>
      </c>
      <c r="BU16" s="372">
        <v>9</v>
      </c>
      <c r="BV16" s="372"/>
      <c r="BW16" s="372"/>
      <c r="BX16" s="372"/>
      <c r="BY16" s="372"/>
      <c r="BZ16" s="364">
        <f t="shared" si="10"/>
        <v>81</v>
      </c>
      <c r="CA16" s="371"/>
      <c r="CB16" s="372"/>
      <c r="CC16" s="372"/>
      <c r="CD16" s="372"/>
      <c r="CE16" s="372"/>
      <c r="CF16" s="372"/>
      <c r="CG16" s="364">
        <f t="shared" si="11"/>
        <v>0</v>
      </c>
      <c r="CH16" s="371">
        <v>20</v>
      </c>
      <c r="CI16" s="372">
        <v>6</v>
      </c>
      <c r="CJ16" s="372"/>
      <c r="CK16" s="372"/>
      <c r="CL16" s="372"/>
      <c r="CM16" s="372"/>
      <c r="CN16" s="364">
        <f t="shared" si="12"/>
        <v>26</v>
      </c>
      <c r="CO16" s="371">
        <v>108</v>
      </c>
      <c r="CP16" s="372">
        <v>18</v>
      </c>
      <c r="CQ16" s="372"/>
      <c r="CR16" s="372"/>
      <c r="CS16" s="372">
        <v>3</v>
      </c>
      <c r="CT16" s="372"/>
      <c r="CU16" s="364">
        <f t="shared" si="13"/>
        <v>129</v>
      </c>
      <c r="CV16" s="371"/>
      <c r="CW16" s="372"/>
      <c r="CX16" s="372"/>
      <c r="CY16" s="372"/>
      <c r="CZ16" s="372"/>
      <c r="DA16" s="372"/>
      <c r="DB16" s="364">
        <f t="shared" si="14"/>
        <v>0</v>
      </c>
      <c r="DC16" s="371"/>
      <c r="DD16" s="372"/>
      <c r="DE16" s="372"/>
      <c r="DF16" s="372"/>
      <c r="DG16" s="372"/>
      <c r="DH16" s="372"/>
      <c r="DI16" s="364">
        <f t="shared" si="15"/>
        <v>0</v>
      </c>
      <c r="DJ16" s="373"/>
      <c r="DK16" s="374"/>
      <c r="DL16" s="374"/>
      <c r="DM16" s="374"/>
      <c r="DN16" s="374"/>
      <c r="DO16" s="374"/>
      <c r="DP16" s="367">
        <f t="shared" si="16"/>
        <v>0</v>
      </c>
      <c r="DQ16" s="373"/>
      <c r="DR16" s="374"/>
      <c r="DS16" s="374"/>
      <c r="DT16" s="374"/>
      <c r="DU16" s="374"/>
      <c r="DV16" s="374"/>
      <c r="DW16" s="367">
        <f t="shared" si="17"/>
        <v>0</v>
      </c>
      <c r="DX16" s="373"/>
      <c r="DY16" s="374"/>
      <c r="DZ16" s="374"/>
      <c r="EA16" s="374"/>
      <c r="EB16" s="374"/>
      <c r="EC16" s="374"/>
      <c r="ED16" s="367">
        <f t="shared" si="18"/>
        <v>0</v>
      </c>
      <c r="EE16" s="375"/>
      <c r="EF16" s="375"/>
      <c r="EG16" s="375"/>
      <c r="EH16" s="375"/>
      <c r="EI16" s="375"/>
      <c r="EJ16" s="375"/>
      <c r="EK16" s="375"/>
      <c r="EL16" s="373"/>
      <c r="EM16" s="374"/>
      <c r="EN16" s="374"/>
      <c r="EO16" s="374"/>
      <c r="EP16" s="374"/>
      <c r="EQ16" s="374"/>
      <c r="ER16" s="367">
        <f t="shared" si="19"/>
        <v>0</v>
      </c>
      <c r="ES16" s="373"/>
      <c r="ET16" s="374"/>
      <c r="EU16" s="374"/>
      <c r="EV16" s="374"/>
      <c r="EW16" s="374"/>
      <c r="EX16" s="374"/>
      <c r="EY16" s="367">
        <f t="shared" si="20"/>
        <v>0</v>
      </c>
      <c r="EZ16" s="373"/>
      <c r="FA16" s="374"/>
      <c r="FB16" s="374"/>
      <c r="FC16" s="374"/>
      <c r="FD16" s="374"/>
      <c r="FE16" s="374"/>
      <c r="FF16" s="367">
        <f t="shared" si="21"/>
        <v>0</v>
      </c>
      <c r="FG16" s="375"/>
      <c r="FH16" s="375"/>
      <c r="FI16" s="375"/>
      <c r="FJ16" s="375"/>
      <c r="FK16" s="375"/>
      <c r="FL16" s="375"/>
      <c r="FM16" s="375"/>
      <c r="FN16" s="373"/>
      <c r="FO16" s="374"/>
      <c r="FP16" s="374"/>
      <c r="FQ16" s="374"/>
      <c r="FR16" s="374"/>
      <c r="FS16" s="374"/>
      <c r="FT16" s="367">
        <f t="shared" si="22"/>
        <v>0</v>
      </c>
      <c r="FU16" s="373"/>
      <c r="FV16" s="374"/>
      <c r="FW16" s="374"/>
      <c r="FX16" s="374"/>
      <c r="FY16" s="374"/>
      <c r="FZ16" s="374"/>
      <c r="GA16" s="367">
        <f t="shared" si="23"/>
        <v>0</v>
      </c>
      <c r="GB16" s="373"/>
      <c r="GC16" s="374"/>
      <c r="GD16" s="374"/>
      <c r="GE16" s="374"/>
      <c r="GF16" s="374"/>
      <c r="GG16" s="374"/>
      <c r="GH16" s="367">
        <f t="shared" si="24"/>
        <v>0</v>
      </c>
      <c r="GI16" s="375"/>
      <c r="GJ16" s="375"/>
      <c r="GK16" s="375"/>
      <c r="GL16" s="375"/>
      <c r="GM16" s="375"/>
      <c r="GN16" s="375"/>
      <c r="GO16" s="375"/>
      <c r="GP16" s="373"/>
      <c r="GQ16" s="374"/>
      <c r="GR16" s="374"/>
      <c r="GS16" s="374"/>
      <c r="GT16" s="374"/>
      <c r="GU16" s="374"/>
      <c r="GV16" s="367">
        <f t="shared" si="25"/>
        <v>0</v>
      </c>
      <c r="GW16" s="373"/>
      <c r="GX16" s="374"/>
      <c r="GY16" s="374"/>
      <c r="GZ16" s="374"/>
      <c r="HA16" s="374"/>
      <c r="HB16" s="374"/>
      <c r="HC16" s="367">
        <f t="shared" si="26"/>
        <v>0</v>
      </c>
      <c r="HD16" s="373"/>
      <c r="HE16" s="374"/>
      <c r="HF16" s="374"/>
      <c r="HG16" s="374"/>
      <c r="HH16" s="374"/>
      <c r="HI16" s="374"/>
      <c r="HJ16" s="367">
        <f t="shared" si="27"/>
        <v>0</v>
      </c>
    </row>
    <row r="17" spans="1:218" s="369" customFormat="1" ht="21.75" customHeight="1" x14ac:dyDescent="0.6">
      <c r="A17" s="370" t="s">
        <v>72</v>
      </c>
      <c r="B17" s="371">
        <v>29</v>
      </c>
      <c r="C17" s="372">
        <v>8</v>
      </c>
      <c r="D17" s="372"/>
      <c r="E17" s="372"/>
      <c r="F17" s="372">
        <v>1</v>
      </c>
      <c r="G17" s="372"/>
      <c r="H17" s="364">
        <f t="shared" si="0"/>
        <v>38</v>
      </c>
      <c r="I17" s="371">
        <v>46</v>
      </c>
      <c r="J17" s="372">
        <v>7</v>
      </c>
      <c r="K17" s="372"/>
      <c r="L17" s="372"/>
      <c r="M17" s="372"/>
      <c r="N17" s="372"/>
      <c r="O17" s="364">
        <f t="shared" si="1"/>
        <v>53</v>
      </c>
      <c r="P17" s="371">
        <v>26</v>
      </c>
      <c r="Q17" s="372">
        <v>11</v>
      </c>
      <c r="R17" s="372"/>
      <c r="S17" s="372"/>
      <c r="T17" s="372"/>
      <c r="U17" s="372"/>
      <c r="V17" s="364">
        <f t="shared" si="2"/>
        <v>37</v>
      </c>
      <c r="W17" s="371"/>
      <c r="X17" s="372"/>
      <c r="Y17" s="372"/>
      <c r="Z17" s="372"/>
      <c r="AA17" s="372"/>
      <c r="AB17" s="372"/>
      <c r="AC17" s="364">
        <f t="shared" si="3"/>
        <v>0</v>
      </c>
      <c r="AD17" s="371">
        <v>49</v>
      </c>
      <c r="AE17" s="372">
        <v>19</v>
      </c>
      <c r="AF17" s="372"/>
      <c r="AG17" s="372"/>
      <c r="AH17" s="372"/>
      <c r="AI17" s="372"/>
      <c r="AJ17" s="364">
        <f t="shared" si="4"/>
        <v>68</v>
      </c>
      <c r="AK17" s="371">
        <v>137</v>
      </c>
      <c r="AL17" s="372">
        <v>49</v>
      </c>
      <c r="AM17" s="372"/>
      <c r="AN17" s="372"/>
      <c r="AO17" s="372">
        <v>8</v>
      </c>
      <c r="AP17" s="372"/>
      <c r="AQ17" s="364">
        <f t="shared" si="5"/>
        <v>194</v>
      </c>
      <c r="AR17" s="371">
        <v>27</v>
      </c>
      <c r="AS17" s="372">
        <v>10</v>
      </c>
      <c r="AT17" s="372"/>
      <c r="AU17" s="372"/>
      <c r="AV17" s="372">
        <v>1</v>
      </c>
      <c r="AW17" s="372"/>
      <c r="AX17" s="364">
        <f t="shared" si="6"/>
        <v>38</v>
      </c>
      <c r="AY17" s="371">
        <v>36</v>
      </c>
      <c r="AZ17" s="372">
        <v>16</v>
      </c>
      <c r="BA17" s="372"/>
      <c r="BB17" s="372"/>
      <c r="BC17" s="372"/>
      <c r="BD17" s="372"/>
      <c r="BE17" s="364">
        <f t="shared" si="7"/>
        <v>52</v>
      </c>
      <c r="BF17" s="371">
        <v>8</v>
      </c>
      <c r="BG17" s="372">
        <v>3</v>
      </c>
      <c r="BH17" s="372"/>
      <c r="BI17" s="372"/>
      <c r="BJ17" s="372"/>
      <c r="BK17" s="372"/>
      <c r="BL17" s="364">
        <f t="shared" si="8"/>
        <v>11</v>
      </c>
      <c r="BM17" s="371">
        <v>51</v>
      </c>
      <c r="BN17" s="372">
        <v>15</v>
      </c>
      <c r="BO17" s="372"/>
      <c r="BP17" s="372"/>
      <c r="BQ17" s="372"/>
      <c r="BR17" s="372"/>
      <c r="BS17" s="364">
        <f t="shared" si="9"/>
        <v>66</v>
      </c>
      <c r="BT17" s="371">
        <v>65</v>
      </c>
      <c r="BU17" s="372">
        <v>20</v>
      </c>
      <c r="BV17" s="372"/>
      <c r="BW17" s="372"/>
      <c r="BX17" s="372"/>
      <c r="BY17" s="372"/>
      <c r="BZ17" s="364">
        <f t="shared" si="10"/>
        <v>85</v>
      </c>
      <c r="CA17" s="371"/>
      <c r="CB17" s="372"/>
      <c r="CC17" s="372"/>
      <c r="CD17" s="372"/>
      <c r="CE17" s="372"/>
      <c r="CF17" s="372"/>
      <c r="CG17" s="364">
        <f t="shared" si="11"/>
        <v>0</v>
      </c>
      <c r="CH17" s="371">
        <v>28</v>
      </c>
      <c r="CI17" s="372">
        <v>10</v>
      </c>
      <c r="CJ17" s="372"/>
      <c r="CK17" s="372"/>
      <c r="CL17" s="372">
        <v>1</v>
      </c>
      <c r="CM17" s="372"/>
      <c r="CN17" s="364">
        <f t="shared" si="12"/>
        <v>39</v>
      </c>
      <c r="CO17" s="371">
        <v>95</v>
      </c>
      <c r="CP17" s="372">
        <v>23</v>
      </c>
      <c r="CQ17" s="372"/>
      <c r="CR17" s="372"/>
      <c r="CS17" s="372">
        <v>2</v>
      </c>
      <c r="CT17" s="372"/>
      <c r="CU17" s="364">
        <f t="shared" si="13"/>
        <v>120</v>
      </c>
      <c r="CV17" s="371"/>
      <c r="CW17" s="372"/>
      <c r="CX17" s="372"/>
      <c r="CY17" s="372"/>
      <c r="CZ17" s="372"/>
      <c r="DA17" s="372"/>
      <c r="DB17" s="364">
        <f t="shared" si="14"/>
        <v>0</v>
      </c>
      <c r="DC17" s="371"/>
      <c r="DD17" s="372"/>
      <c r="DE17" s="372"/>
      <c r="DF17" s="372"/>
      <c r="DG17" s="372"/>
      <c r="DH17" s="372"/>
      <c r="DI17" s="364">
        <f t="shared" si="15"/>
        <v>0</v>
      </c>
      <c r="DJ17" s="373"/>
      <c r="DK17" s="374"/>
      <c r="DL17" s="374"/>
      <c r="DM17" s="374"/>
      <c r="DN17" s="374"/>
      <c r="DO17" s="374"/>
      <c r="DP17" s="367">
        <f t="shared" si="16"/>
        <v>0</v>
      </c>
      <c r="DQ17" s="373"/>
      <c r="DR17" s="374"/>
      <c r="DS17" s="374"/>
      <c r="DT17" s="374"/>
      <c r="DU17" s="374"/>
      <c r="DV17" s="374"/>
      <c r="DW17" s="367">
        <f t="shared" si="17"/>
        <v>0</v>
      </c>
      <c r="DX17" s="373"/>
      <c r="DY17" s="374"/>
      <c r="DZ17" s="374"/>
      <c r="EA17" s="374"/>
      <c r="EB17" s="374"/>
      <c r="EC17" s="374"/>
      <c r="ED17" s="367">
        <f t="shared" si="18"/>
        <v>0</v>
      </c>
      <c r="EE17" s="375"/>
      <c r="EF17" s="375"/>
      <c r="EG17" s="375"/>
      <c r="EH17" s="375"/>
      <c r="EI17" s="375"/>
      <c r="EJ17" s="375"/>
      <c r="EK17" s="375"/>
      <c r="EL17" s="373"/>
      <c r="EM17" s="374"/>
      <c r="EN17" s="374"/>
      <c r="EO17" s="374"/>
      <c r="EP17" s="374"/>
      <c r="EQ17" s="374"/>
      <c r="ER17" s="367">
        <f t="shared" si="19"/>
        <v>0</v>
      </c>
      <c r="ES17" s="373"/>
      <c r="ET17" s="374"/>
      <c r="EU17" s="374"/>
      <c r="EV17" s="374"/>
      <c r="EW17" s="374"/>
      <c r="EX17" s="374"/>
      <c r="EY17" s="367">
        <f t="shared" si="20"/>
        <v>0</v>
      </c>
      <c r="EZ17" s="373"/>
      <c r="FA17" s="374"/>
      <c r="FB17" s="374"/>
      <c r="FC17" s="374"/>
      <c r="FD17" s="374"/>
      <c r="FE17" s="374"/>
      <c r="FF17" s="367">
        <f t="shared" si="21"/>
        <v>0</v>
      </c>
      <c r="FG17" s="375"/>
      <c r="FH17" s="375"/>
      <c r="FI17" s="375"/>
      <c r="FJ17" s="375"/>
      <c r="FK17" s="375"/>
      <c r="FL17" s="375"/>
      <c r="FM17" s="375"/>
      <c r="FN17" s="373"/>
      <c r="FO17" s="374"/>
      <c r="FP17" s="374"/>
      <c r="FQ17" s="374"/>
      <c r="FR17" s="374"/>
      <c r="FS17" s="374"/>
      <c r="FT17" s="367">
        <f t="shared" si="22"/>
        <v>0</v>
      </c>
      <c r="FU17" s="373"/>
      <c r="FV17" s="374"/>
      <c r="FW17" s="374"/>
      <c r="FX17" s="374"/>
      <c r="FY17" s="374"/>
      <c r="FZ17" s="374"/>
      <c r="GA17" s="367">
        <f t="shared" si="23"/>
        <v>0</v>
      </c>
      <c r="GB17" s="373"/>
      <c r="GC17" s="374"/>
      <c r="GD17" s="374"/>
      <c r="GE17" s="374"/>
      <c r="GF17" s="374"/>
      <c r="GG17" s="374"/>
      <c r="GH17" s="367">
        <f t="shared" si="24"/>
        <v>0</v>
      </c>
      <c r="GI17" s="375"/>
      <c r="GJ17" s="375"/>
      <c r="GK17" s="375"/>
      <c r="GL17" s="375"/>
      <c r="GM17" s="375"/>
      <c r="GN17" s="375"/>
      <c r="GO17" s="375"/>
      <c r="GP17" s="373"/>
      <c r="GQ17" s="374"/>
      <c r="GR17" s="374"/>
      <c r="GS17" s="374"/>
      <c r="GT17" s="374"/>
      <c r="GU17" s="374"/>
      <c r="GV17" s="367">
        <f t="shared" si="25"/>
        <v>0</v>
      </c>
      <c r="GW17" s="373"/>
      <c r="GX17" s="374"/>
      <c r="GY17" s="374"/>
      <c r="GZ17" s="374"/>
      <c r="HA17" s="374"/>
      <c r="HB17" s="374"/>
      <c r="HC17" s="367">
        <f t="shared" si="26"/>
        <v>0</v>
      </c>
      <c r="HD17" s="373"/>
      <c r="HE17" s="374"/>
      <c r="HF17" s="374"/>
      <c r="HG17" s="374"/>
      <c r="HH17" s="374"/>
      <c r="HI17" s="374"/>
      <c r="HJ17" s="367">
        <f t="shared" si="27"/>
        <v>0</v>
      </c>
    </row>
    <row r="18" spans="1:218" s="369" customFormat="1" ht="21.75" customHeight="1" x14ac:dyDescent="0.6">
      <c r="A18" s="376" t="s">
        <v>73</v>
      </c>
      <c r="B18" s="377">
        <v>37</v>
      </c>
      <c r="C18" s="378">
        <v>5</v>
      </c>
      <c r="D18" s="378"/>
      <c r="E18" s="378"/>
      <c r="F18" s="378">
        <v>1</v>
      </c>
      <c r="G18" s="378"/>
      <c r="H18" s="364">
        <f t="shared" si="0"/>
        <v>43</v>
      </c>
      <c r="I18" s="377">
        <v>51</v>
      </c>
      <c r="J18" s="378">
        <v>10</v>
      </c>
      <c r="K18" s="378"/>
      <c r="L18" s="378"/>
      <c r="M18" s="378"/>
      <c r="N18" s="378"/>
      <c r="O18" s="364">
        <f t="shared" si="1"/>
        <v>61</v>
      </c>
      <c r="P18" s="377">
        <v>19</v>
      </c>
      <c r="Q18" s="378">
        <v>9</v>
      </c>
      <c r="R18" s="378"/>
      <c r="S18" s="378"/>
      <c r="T18" s="378"/>
      <c r="U18" s="378"/>
      <c r="V18" s="364">
        <f t="shared" si="2"/>
        <v>28</v>
      </c>
      <c r="W18" s="377"/>
      <c r="X18" s="378"/>
      <c r="Y18" s="378"/>
      <c r="Z18" s="378"/>
      <c r="AA18" s="378"/>
      <c r="AB18" s="378"/>
      <c r="AC18" s="364">
        <f t="shared" si="3"/>
        <v>0</v>
      </c>
      <c r="AD18" s="377">
        <v>55</v>
      </c>
      <c r="AE18" s="378">
        <v>26</v>
      </c>
      <c r="AF18" s="378">
        <v>1</v>
      </c>
      <c r="AG18" s="378"/>
      <c r="AH18" s="378"/>
      <c r="AI18" s="378"/>
      <c r="AJ18" s="364">
        <f t="shared" si="4"/>
        <v>82</v>
      </c>
      <c r="AK18" s="377">
        <v>146</v>
      </c>
      <c r="AL18" s="378">
        <v>51</v>
      </c>
      <c r="AM18" s="378"/>
      <c r="AN18" s="378">
        <v>1</v>
      </c>
      <c r="AO18" s="378">
        <v>4</v>
      </c>
      <c r="AP18" s="378"/>
      <c r="AQ18" s="364">
        <f t="shared" si="5"/>
        <v>202</v>
      </c>
      <c r="AR18" s="377">
        <v>20</v>
      </c>
      <c r="AS18" s="378">
        <v>7</v>
      </c>
      <c r="AT18" s="378"/>
      <c r="AU18" s="378"/>
      <c r="AV18" s="378"/>
      <c r="AW18" s="378"/>
      <c r="AX18" s="364">
        <f t="shared" si="6"/>
        <v>27</v>
      </c>
      <c r="AY18" s="377">
        <v>43</v>
      </c>
      <c r="AZ18" s="378">
        <v>19</v>
      </c>
      <c r="BA18" s="378"/>
      <c r="BB18" s="378"/>
      <c r="BC18" s="378">
        <v>1</v>
      </c>
      <c r="BD18" s="378"/>
      <c r="BE18" s="364">
        <f t="shared" si="7"/>
        <v>63</v>
      </c>
      <c r="BF18" s="377">
        <v>2</v>
      </c>
      <c r="BG18" s="378">
        <v>1</v>
      </c>
      <c r="BH18" s="378"/>
      <c r="BI18" s="378"/>
      <c r="BJ18" s="378"/>
      <c r="BK18" s="378"/>
      <c r="BL18" s="364">
        <f t="shared" si="8"/>
        <v>3</v>
      </c>
      <c r="BM18" s="377">
        <v>48</v>
      </c>
      <c r="BN18" s="378">
        <v>16</v>
      </c>
      <c r="BO18" s="378"/>
      <c r="BP18" s="378"/>
      <c r="BQ18" s="378">
        <v>1</v>
      </c>
      <c r="BR18" s="378"/>
      <c r="BS18" s="364">
        <f t="shared" si="9"/>
        <v>65</v>
      </c>
      <c r="BT18" s="377">
        <v>59</v>
      </c>
      <c r="BU18" s="378">
        <v>12</v>
      </c>
      <c r="BV18" s="378"/>
      <c r="BW18" s="378"/>
      <c r="BX18" s="378"/>
      <c r="BY18" s="378"/>
      <c r="BZ18" s="364">
        <f t="shared" si="10"/>
        <v>71</v>
      </c>
      <c r="CA18" s="377"/>
      <c r="CB18" s="378"/>
      <c r="CC18" s="378"/>
      <c r="CD18" s="378"/>
      <c r="CE18" s="378"/>
      <c r="CF18" s="378"/>
      <c r="CG18" s="364">
        <f t="shared" si="11"/>
        <v>0</v>
      </c>
      <c r="CH18" s="377">
        <v>22</v>
      </c>
      <c r="CI18" s="378">
        <v>8</v>
      </c>
      <c r="CJ18" s="378"/>
      <c r="CK18" s="378"/>
      <c r="CL18" s="378"/>
      <c r="CM18" s="378"/>
      <c r="CN18" s="364">
        <f t="shared" si="12"/>
        <v>30</v>
      </c>
      <c r="CO18" s="377">
        <v>102</v>
      </c>
      <c r="CP18" s="378">
        <v>20</v>
      </c>
      <c r="CQ18" s="378">
        <v>1</v>
      </c>
      <c r="CR18" s="378">
        <v>1</v>
      </c>
      <c r="CS18" s="378">
        <v>2</v>
      </c>
      <c r="CT18" s="378"/>
      <c r="CU18" s="364">
        <f t="shared" si="13"/>
        <v>126</v>
      </c>
      <c r="CV18" s="377"/>
      <c r="CW18" s="378"/>
      <c r="CX18" s="378"/>
      <c r="CY18" s="378"/>
      <c r="CZ18" s="378"/>
      <c r="DA18" s="378"/>
      <c r="DB18" s="364">
        <f t="shared" si="14"/>
        <v>0</v>
      </c>
      <c r="DC18" s="377"/>
      <c r="DD18" s="378"/>
      <c r="DE18" s="378"/>
      <c r="DF18" s="378"/>
      <c r="DG18" s="378"/>
      <c r="DH18" s="378"/>
      <c r="DI18" s="364">
        <f t="shared" si="15"/>
        <v>0</v>
      </c>
      <c r="DJ18" s="379"/>
      <c r="DK18" s="380"/>
      <c r="DL18" s="380"/>
      <c r="DM18" s="380"/>
      <c r="DN18" s="380"/>
      <c r="DO18" s="380"/>
      <c r="DP18" s="367">
        <f t="shared" si="16"/>
        <v>0</v>
      </c>
      <c r="DQ18" s="379"/>
      <c r="DR18" s="380"/>
      <c r="DS18" s="380"/>
      <c r="DT18" s="380"/>
      <c r="DU18" s="380"/>
      <c r="DV18" s="380"/>
      <c r="DW18" s="367">
        <f t="shared" si="17"/>
        <v>0</v>
      </c>
      <c r="DX18" s="379"/>
      <c r="DY18" s="380"/>
      <c r="DZ18" s="380"/>
      <c r="EA18" s="380"/>
      <c r="EB18" s="380"/>
      <c r="EC18" s="380"/>
      <c r="ED18" s="367">
        <f t="shared" si="18"/>
        <v>0</v>
      </c>
      <c r="EE18" s="375"/>
      <c r="EF18" s="375"/>
      <c r="EG18" s="375"/>
      <c r="EH18" s="375"/>
      <c r="EI18" s="375"/>
      <c r="EJ18" s="375"/>
      <c r="EK18" s="375"/>
      <c r="EL18" s="379"/>
      <c r="EM18" s="380"/>
      <c r="EN18" s="380"/>
      <c r="EO18" s="380"/>
      <c r="EP18" s="380"/>
      <c r="EQ18" s="380"/>
      <c r="ER18" s="367">
        <f t="shared" si="19"/>
        <v>0</v>
      </c>
      <c r="ES18" s="379"/>
      <c r="ET18" s="380"/>
      <c r="EU18" s="380"/>
      <c r="EV18" s="380"/>
      <c r="EW18" s="380"/>
      <c r="EX18" s="380"/>
      <c r="EY18" s="367">
        <f t="shared" si="20"/>
        <v>0</v>
      </c>
      <c r="EZ18" s="379"/>
      <c r="FA18" s="380"/>
      <c r="FB18" s="380"/>
      <c r="FC18" s="380"/>
      <c r="FD18" s="380"/>
      <c r="FE18" s="380"/>
      <c r="FF18" s="367">
        <f t="shared" si="21"/>
        <v>0</v>
      </c>
      <c r="FG18" s="375"/>
      <c r="FH18" s="375"/>
      <c r="FI18" s="375"/>
      <c r="FJ18" s="375"/>
      <c r="FK18" s="375"/>
      <c r="FL18" s="375"/>
      <c r="FM18" s="375"/>
      <c r="FN18" s="379"/>
      <c r="FO18" s="380"/>
      <c r="FP18" s="380"/>
      <c r="FQ18" s="380"/>
      <c r="FR18" s="380"/>
      <c r="FS18" s="380"/>
      <c r="FT18" s="367">
        <f t="shared" si="22"/>
        <v>0</v>
      </c>
      <c r="FU18" s="379"/>
      <c r="FV18" s="380"/>
      <c r="FW18" s="380"/>
      <c r="FX18" s="380"/>
      <c r="FY18" s="380"/>
      <c r="FZ18" s="380"/>
      <c r="GA18" s="367">
        <f t="shared" si="23"/>
        <v>0</v>
      </c>
      <c r="GB18" s="379"/>
      <c r="GC18" s="380"/>
      <c r="GD18" s="380"/>
      <c r="GE18" s="380"/>
      <c r="GF18" s="380"/>
      <c r="GG18" s="380"/>
      <c r="GH18" s="367">
        <f t="shared" si="24"/>
        <v>0</v>
      </c>
      <c r="GI18" s="375"/>
      <c r="GJ18" s="375"/>
      <c r="GK18" s="375"/>
      <c r="GL18" s="375"/>
      <c r="GM18" s="375"/>
      <c r="GN18" s="375"/>
      <c r="GO18" s="375"/>
      <c r="GP18" s="379"/>
      <c r="GQ18" s="380"/>
      <c r="GR18" s="380"/>
      <c r="GS18" s="380"/>
      <c r="GT18" s="380"/>
      <c r="GU18" s="380"/>
      <c r="GV18" s="367">
        <f t="shared" si="25"/>
        <v>0</v>
      </c>
      <c r="GW18" s="379"/>
      <c r="GX18" s="380"/>
      <c r="GY18" s="380"/>
      <c r="GZ18" s="380"/>
      <c r="HA18" s="380"/>
      <c r="HB18" s="380"/>
      <c r="HC18" s="367">
        <f t="shared" si="26"/>
        <v>0</v>
      </c>
      <c r="HD18" s="379"/>
      <c r="HE18" s="380"/>
      <c r="HF18" s="380"/>
      <c r="HG18" s="380"/>
      <c r="HH18" s="380"/>
      <c r="HI18" s="380"/>
      <c r="HJ18" s="367">
        <f t="shared" si="27"/>
        <v>0</v>
      </c>
    </row>
    <row r="19" spans="1:218" s="369" customFormat="1" ht="21.75" customHeight="1" x14ac:dyDescent="0.6">
      <c r="A19" s="361" t="s">
        <v>74</v>
      </c>
      <c r="B19" s="362">
        <v>32</v>
      </c>
      <c r="C19" s="363">
        <v>5</v>
      </c>
      <c r="D19" s="363"/>
      <c r="E19" s="363"/>
      <c r="F19" s="363"/>
      <c r="G19" s="363">
        <v>2</v>
      </c>
      <c r="H19" s="364">
        <f t="shared" si="0"/>
        <v>39</v>
      </c>
      <c r="I19" s="362">
        <v>46</v>
      </c>
      <c r="J19" s="363">
        <v>9</v>
      </c>
      <c r="K19" s="363"/>
      <c r="L19" s="363"/>
      <c r="M19" s="363"/>
      <c r="N19" s="363"/>
      <c r="O19" s="364">
        <f t="shared" si="1"/>
        <v>55</v>
      </c>
      <c r="P19" s="362">
        <v>22</v>
      </c>
      <c r="Q19" s="363">
        <v>7</v>
      </c>
      <c r="R19" s="363"/>
      <c r="S19" s="363"/>
      <c r="T19" s="363">
        <v>1</v>
      </c>
      <c r="U19" s="363"/>
      <c r="V19" s="364">
        <f t="shared" si="2"/>
        <v>30</v>
      </c>
      <c r="W19" s="362"/>
      <c r="X19" s="363"/>
      <c r="Y19" s="363"/>
      <c r="Z19" s="363"/>
      <c r="AA19" s="363"/>
      <c r="AB19" s="363"/>
      <c r="AC19" s="364">
        <f t="shared" si="3"/>
        <v>0</v>
      </c>
      <c r="AD19" s="362">
        <v>63</v>
      </c>
      <c r="AE19" s="363">
        <v>18</v>
      </c>
      <c r="AF19" s="363"/>
      <c r="AG19" s="363"/>
      <c r="AH19" s="363"/>
      <c r="AI19" s="363"/>
      <c r="AJ19" s="364">
        <f t="shared" si="4"/>
        <v>81</v>
      </c>
      <c r="AK19" s="362">
        <v>139</v>
      </c>
      <c r="AL19" s="363">
        <v>43</v>
      </c>
      <c r="AM19" s="363"/>
      <c r="AN19" s="363"/>
      <c r="AO19" s="363">
        <v>2</v>
      </c>
      <c r="AP19" s="363"/>
      <c r="AQ19" s="364">
        <f t="shared" si="5"/>
        <v>184</v>
      </c>
      <c r="AR19" s="362">
        <v>18</v>
      </c>
      <c r="AS19" s="363">
        <v>5</v>
      </c>
      <c r="AT19" s="363"/>
      <c r="AU19" s="363"/>
      <c r="AV19" s="363"/>
      <c r="AW19" s="363"/>
      <c r="AX19" s="364">
        <f t="shared" si="6"/>
        <v>23</v>
      </c>
      <c r="AY19" s="362">
        <v>35</v>
      </c>
      <c r="AZ19" s="363">
        <v>13</v>
      </c>
      <c r="BA19" s="363"/>
      <c r="BB19" s="363"/>
      <c r="BC19" s="363">
        <v>2</v>
      </c>
      <c r="BD19" s="363"/>
      <c r="BE19" s="364">
        <f t="shared" si="7"/>
        <v>50</v>
      </c>
      <c r="BF19" s="362">
        <v>5</v>
      </c>
      <c r="BG19" s="363"/>
      <c r="BH19" s="363"/>
      <c r="BI19" s="363"/>
      <c r="BJ19" s="363"/>
      <c r="BK19" s="363"/>
      <c r="BL19" s="364">
        <f t="shared" si="8"/>
        <v>5</v>
      </c>
      <c r="BM19" s="362">
        <v>59</v>
      </c>
      <c r="BN19" s="363">
        <v>11</v>
      </c>
      <c r="BO19" s="363"/>
      <c r="BP19" s="363"/>
      <c r="BQ19" s="363">
        <v>1</v>
      </c>
      <c r="BR19" s="363"/>
      <c r="BS19" s="364">
        <f t="shared" si="9"/>
        <v>71</v>
      </c>
      <c r="BT19" s="362">
        <v>76</v>
      </c>
      <c r="BU19" s="363">
        <v>10</v>
      </c>
      <c r="BV19" s="363"/>
      <c r="BW19" s="363"/>
      <c r="BX19" s="363"/>
      <c r="BY19" s="363"/>
      <c r="BZ19" s="364">
        <f t="shared" si="10"/>
        <v>86</v>
      </c>
      <c r="CA19" s="362"/>
      <c r="CB19" s="363"/>
      <c r="CC19" s="363"/>
      <c r="CD19" s="363"/>
      <c r="CE19" s="363"/>
      <c r="CF19" s="363"/>
      <c r="CG19" s="364">
        <f t="shared" si="11"/>
        <v>0</v>
      </c>
      <c r="CH19" s="362">
        <v>15</v>
      </c>
      <c r="CI19" s="363">
        <v>5</v>
      </c>
      <c r="CJ19" s="363"/>
      <c r="CK19" s="363"/>
      <c r="CL19" s="363"/>
      <c r="CM19" s="363">
        <v>1</v>
      </c>
      <c r="CN19" s="364">
        <f t="shared" si="12"/>
        <v>21</v>
      </c>
      <c r="CO19" s="362">
        <v>113</v>
      </c>
      <c r="CP19" s="363">
        <v>27</v>
      </c>
      <c r="CQ19" s="363"/>
      <c r="CR19" s="363"/>
      <c r="CS19" s="363">
        <v>1</v>
      </c>
      <c r="CT19" s="363">
        <v>1</v>
      </c>
      <c r="CU19" s="364">
        <f t="shared" si="13"/>
        <v>142</v>
      </c>
      <c r="CV19" s="362"/>
      <c r="CW19" s="363"/>
      <c r="CX19" s="363"/>
      <c r="CY19" s="363"/>
      <c r="CZ19" s="363"/>
      <c r="DA19" s="363"/>
      <c r="DB19" s="364">
        <f t="shared" si="14"/>
        <v>0</v>
      </c>
      <c r="DC19" s="362"/>
      <c r="DD19" s="363"/>
      <c r="DE19" s="363"/>
      <c r="DF19" s="363"/>
      <c r="DG19" s="363"/>
      <c r="DH19" s="363"/>
      <c r="DI19" s="364">
        <f t="shared" si="15"/>
        <v>0</v>
      </c>
      <c r="DJ19" s="365"/>
      <c r="DK19" s="366"/>
      <c r="DL19" s="366"/>
      <c r="DM19" s="366"/>
      <c r="DN19" s="366"/>
      <c r="DO19" s="366"/>
      <c r="DP19" s="367">
        <f t="shared" si="16"/>
        <v>0</v>
      </c>
      <c r="DQ19" s="365"/>
      <c r="DR19" s="366"/>
      <c r="DS19" s="366"/>
      <c r="DT19" s="366"/>
      <c r="DU19" s="366"/>
      <c r="DV19" s="366"/>
      <c r="DW19" s="367">
        <f t="shared" si="17"/>
        <v>0</v>
      </c>
      <c r="DX19" s="365"/>
      <c r="DY19" s="366"/>
      <c r="DZ19" s="366"/>
      <c r="EA19" s="366"/>
      <c r="EB19" s="366"/>
      <c r="EC19" s="366"/>
      <c r="ED19" s="367">
        <f t="shared" si="18"/>
        <v>0</v>
      </c>
      <c r="EE19" s="368"/>
      <c r="EF19" s="368"/>
      <c r="EG19" s="368"/>
      <c r="EH19" s="368"/>
      <c r="EI19" s="368"/>
      <c r="EJ19" s="368"/>
      <c r="EK19" s="368"/>
      <c r="EL19" s="365"/>
      <c r="EM19" s="366"/>
      <c r="EN19" s="366"/>
      <c r="EO19" s="366"/>
      <c r="EP19" s="366"/>
      <c r="EQ19" s="366"/>
      <c r="ER19" s="367">
        <f t="shared" si="19"/>
        <v>0</v>
      </c>
      <c r="ES19" s="365"/>
      <c r="ET19" s="366"/>
      <c r="EU19" s="366"/>
      <c r="EV19" s="366"/>
      <c r="EW19" s="366"/>
      <c r="EX19" s="366"/>
      <c r="EY19" s="367">
        <f t="shared" si="20"/>
        <v>0</v>
      </c>
      <c r="EZ19" s="365"/>
      <c r="FA19" s="366"/>
      <c r="FB19" s="366"/>
      <c r="FC19" s="366"/>
      <c r="FD19" s="366"/>
      <c r="FE19" s="366"/>
      <c r="FF19" s="367">
        <f t="shared" si="21"/>
        <v>0</v>
      </c>
      <c r="FG19" s="368"/>
      <c r="FH19" s="368"/>
      <c r="FI19" s="368"/>
      <c r="FJ19" s="368"/>
      <c r="FK19" s="368"/>
      <c r="FL19" s="368"/>
      <c r="FM19" s="368"/>
      <c r="FN19" s="365"/>
      <c r="FO19" s="366"/>
      <c r="FP19" s="366"/>
      <c r="FQ19" s="366"/>
      <c r="FR19" s="366"/>
      <c r="FS19" s="366"/>
      <c r="FT19" s="367">
        <f t="shared" si="22"/>
        <v>0</v>
      </c>
      <c r="FU19" s="365"/>
      <c r="FV19" s="366"/>
      <c r="FW19" s="366"/>
      <c r="FX19" s="366"/>
      <c r="FY19" s="366"/>
      <c r="FZ19" s="366"/>
      <c r="GA19" s="367">
        <f t="shared" si="23"/>
        <v>0</v>
      </c>
      <c r="GB19" s="365"/>
      <c r="GC19" s="366"/>
      <c r="GD19" s="366"/>
      <c r="GE19" s="366"/>
      <c r="GF19" s="366"/>
      <c r="GG19" s="366"/>
      <c r="GH19" s="367">
        <f t="shared" si="24"/>
        <v>0</v>
      </c>
      <c r="GI19" s="368"/>
      <c r="GJ19" s="368"/>
      <c r="GK19" s="368"/>
      <c r="GL19" s="368"/>
      <c r="GM19" s="368"/>
      <c r="GN19" s="368"/>
      <c r="GO19" s="368"/>
      <c r="GP19" s="365"/>
      <c r="GQ19" s="366"/>
      <c r="GR19" s="366"/>
      <c r="GS19" s="366"/>
      <c r="GT19" s="366"/>
      <c r="GU19" s="366"/>
      <c r="GV19" s="367">
        <f t="shared" si="25"/>
        <v>0</v>
      </c>
      <c r="GW19" s="365"/>
      <c r="GX19" s="366"/>
      <c r="GY19" s="366"/>
      <c r="GZ19" s="366"/>
      <c r="HA19" s="366"/>
      <c r="HB19" s="366"/>
      <c r="HC19" s="367">
        <f t="shared" si="26"/>
        <v>0</v>
      </c>
      <c r="HD19" s="365"/>
      <c r="HE19" s="366"/>
      <c r="HF19" s="366"/>
      <c r="HG19" s="366"/>
      <c r="HH19" s="366"/>
      <c r="HI19" s="366"/>
      <c r="HJ19" s="367">
        <f t="shared" si="27"/>
        <v>0</v>
      </c>
    </row>
    <row r="20" spans="1:218" s="369" customFormat="1" ht="21.75" customHeight="1" x14ac:dyDescent="0.6">
      <c r="A20" s="370" t="s">
        <v>75</v>
      </c>
      <c r="B20" s="371">
        <v>25</v>
      </c>
      <c r="C20" s="372">
        <v>9</v>
      </c>
      <c r="D20" s="372"/>
      <c r="E20" s="372"/>
      <c r="F20" s="372">
        <v>2</v>
      </c>
      <c r="G20" s="372"/>
      <c r="H20" s="364">
        <f t="shared" si="0"/>
        <v>36</v>
      </c>
      <c r="I20" s="371">
        <v>61</v>
      </c>
      <c r="J20" s="372">
        <v>14</v>
      </c>
      <c r="K20" s="372"/>
      <c r="L20" s="372"/>
      <c r="M20" s="372"/>
      <c r="N20" s="372"/>
      <c r="O20" s="364">
        <f t="shared" si="1"/>
        <v>75</v>
      </c>
      <c r="P20" s="371">
        <v>28</v>
      </c>
      <c r="Q20" s="372">
        <v>4</v>
      </c>
      <c r="R20" s="372"/>
      <c r="S20" s="372"/>
      <c r="T20" s="372"/>
      <c r="U20" s="372"/>
      <c r="V20" s="364">
        <f t="shared" si="2"/>
        <v>32</v>
      </c>
      <c r="W20" s="371"/>
      <c r="X20" s="372"/>
      <c r="Y20" s="372"/>
      <c r="Z20" s="372"/>
      <c r="AA20" s="372"/>
      <c r="AB20" s="372"/>
      <c r="AC20" s="364">
        <f t="shared" si="3"/>
        <v>0</v>
      </c>
      <c r="AD20" s="371">
        <v>54</v>
      </c>
      <c r="AE20" s="372">
        <v>24</v>
      </c>
      <c r="AF20" s="372"/>
      <c r="AG20" s="372"/>
      <c r="AH20" s="372"/>
      <c r="AI20" s="372"/>
      <c r="AJ20" s="364">
        <f t="shared" si="4"/>
        <v>78</v>
      </c>
      <c r="AK20" s="371">
        <v>127</v>
      </c>
      <c r="AL20" s="372">
        <v>54</v>
      </c>
      <c r="AM20" s="372"/>
      <c r="AN20" s="372"/>
      <c r="AO20" s="372">
        <v>5</v>
      </c>
      <c r="AP20" s="372"/>
      <c r="AQ20" s="364">
        <f t="shared" si="5"/>
        <v>186</v>
      </c>
      <c r="AR20" s="371">
        <v>23</v>
      </c>
      <c r="AS20" s="372">
        <v>11</v>
      </c>
      <c r="AT20" s="372"/>
      <c r="AU20" s="372"/>
      <c r="AV20" s="372"/>
      <c r="AW20" s="372"/>
      <c r="AX20" s="364">
        <f t="shared" si="6"/>
        <v>34</v>
      </c>
      <c r="AY20" s="371">
        <v>40</v>
      </c>
      <c r="AZ20" s="372">
        <v>23</v>
      </c>
      <c r="BA20" s="372"/>
      <c r="BB20" s="372"/>
      <c r="BC20" s="372">
        <v>2</v>
      </c>
      <c r="BD20" s="372">
        <v>1</v>
      </c>
      <c r="BE20" s="364">
        <f t="shared" si="7"/>
        <v>66</v>
      </c>
      <c r="BF20" s="371">
        <v>3</v>
      </c>
      <c r="BG20" s="372"/>
      <c r="BH20" s="372"/>
      <c r="BI20" s="372"/>
      <c r="BJ20" s="372"/>
      <c r="BK20" s="372"/>
      <c r="BL20" s="364">
        <f t="shared" si="8"/>
        <v>3</v>
      </c>
      <c r="BM20" s="371">
        <v>62</v>
      </c>
      <c r="BN20" s="372">
        <v>14</v>
      </c>
      <c r="BO20" s="372"/>
      <c r="BP20" s="372"/>
      <c r="BQ20" s="372"/>
      <c r="BR20" s="372"/>
      <c r="BS20" s="364">
        <f t="shared" si="9"/>
        <v>76</v>
      </c>
      <c r="BT20" s="371">
        <v>43</v>
      </c>
      <c r="BU20" s="372">
        <v>14</v>
      </c>
      <c r="BV20" s="372"/>
      <c r="BW20" s="372"/>
      <c r="BX20" s="372"/>
      <c r="BY20" s="372"/>
      <c r="BZ20" s="364">
        <f t="shared" si="10"/>
        <v>57</v>
      </c>
      <c r="CA20" s="371"/>
      <c r="CB20" s="372"/>
      <c r="CC20" s="372"/>
      <c r="CD20" s="372"/>
      <c r="CE20" s="372"/>
      <c r="CF20" s="372"/>
      <c r="CG20" s="364">
        <f t="shared" si="11"/>
        <v>0</v>
      </c>
      <c r="CH20" s="371">
        <v>20</v>
      </c>
      <c r="CI20" s="372">
        <v>9</v>
      </c>
      <c r="CJ20" s="372"/>
      <c r="CK20" s="372"/>
      <c r="CL20" s="372">
        <v>1</v>
      </c>
      <c r="CM20" s="372"/>
      <c r="CN20" s="364">
        <f t="shared" si="12"/>
        <v>30</v>
      </c>
      <c r="CO20" s="371">
        <v>94</v>
      </c>
      <c r="CP20" s="372">
        <v>24</v>
      </c>
      <c r="CQ20" s="372">
        <v>2</v>
      </c>
      <c r="CR20" s="372"/>
      <c r="CS20" s="372">
        <v>1</v>
      </c>
      <c r="CT20" s="372"/>
      <c r="CU20" s="364">
        <f t="shared" si="13"/>
        <v>121</v>
      </c>
      <c r="CV20" s="371"/>
      <c r="CW20" s="372"/>
      <c r="CX20" s="372"/>
      <c r="CY20" s="372"/>
      <c r="CZ20" s="372"/>
      <c r="DA20" s="372"/>
      <c r="DB20" s="364">
        <f t="shared" si="14"/>
        <v>0</v>
      </c>
      <c r="DC20" s="371"/>
      <c r="DD20" s="372"/>
      <c r="DE20" s="372"/>
      <c r="DF20" s="372"/>
      <c r="DG20" s="372"/>
      <c r="DH20" s="372"/>
      <c r="DI20" s="364">
        <f t="shared" si="15"/>
        <v>0</v>
      </c>
      <c r="DJ20" s="373"/>
      <c r="DK20" s="374"/>
      <c r="DL20" s="374"/>
      <c r="DM20" s="374"/>
      <c r="DN20" s="374"/>
      <c r="DO20" s="374"/>
      <c r="DP20" s="367">
        <f t="shared" si="16"/>
        <v>0</v>
      </c>
      <c r="DQ20" s="373"/>
      <c r="DR20" s="374"/>
      <c r="DS20" s="374"/>
      <c r="DT20" s="374"/>
      <c r="DU20" s="374"/>
      <c r="DV20" s="374"/>
      <c r="DW20" s="367">
        <f t="shared" si="17"/>
        <v>0</v>
      </c>
      <c r="DX20" s="373"/>
      <c r="DY20" s="374"/>
      <c r="DZ20" s="374"/>
      <c r="EA20" s="374"/>
      <c r="EB20" s="374"/>
      <c r="EC20" s="374"/>
      <c r="ED20" s="367">
        <f t="shared" si="18"/>
        <v>0</v>
      </c>
      <c r="EE20" s="375"/>
      <c r="EF20" s="375"/>
      <c r="EG20" s="375"/>
      <c r="EH20" s="375"/>
      <c r="EI20" s="375"/>
      <c r="EJ20" s="375"/>
      <c r="EK20" s="375"/>
      <c r="EL20" s="373"/>
      <c r="EM20" s="374"/>
      <c r="EN20" s="374"/>
      <c r="EO20" s="374"/>
      <c r="EP20" s="374"/>
      <c r="EQ20" s="374"/>
      <c r="ER20" s="367">
        <f t="shared" si="19"/>
        <v>0</v>
      </c>
      <c r="ES20" s="373"/>
      <c r="ET20" s="374"/>
      <c r="EU20" s="374"/>
      <c r="EV20" s="374"/>
      <c r="EW20" s="374"/>
      <c r="EX20" s="374"/>
      <c r="EY20" s="367">
        <f t="shared" si="20"/>
        <v>0</v>
      </c>
      <c r="EZ20" s="373"/>
      <c r="FA20" s="374"/>
      <c r="FB20" s="374"/>
      <c r="FC20" s="374"/>
      <c r="FD20" s="374"/>
      <c r="FE20" s="374"/>
      <c r="FF20" s="367">
        <f t="shared" si="21"/>
        <v>0</v>
      </c>
      <c r="FG20" s="375"/>
      <c r="FH20" s="375"/>
      <c r="FI20" s="375"/>
      <c r="FJ20" s="375"/>
      <c r="FK20" s="375"/>
      <c r="FL20" s="375"/>
      <c r="FM20" s="375"/>
      <c r="FN20" s="373"/>
      <c r="FO20" s="374"/>
      <c r="FP20" s="374"/>
      <c r="FQ20" s="374"/>
      <c r="FR20" s="374"/>
      <c r="FS20" s="374"/>
      <c r="FT20" s="367">
        <f t="shared" si="22"/>
        <v>0</v>
      </c>
      <c r="FU20" s="373"/>
      <c r="FV20" s="374"/>
      <c r="FW20" s="374"/>
      <c r="FX20" s="374"/>
      <c r="FY20" s="374"/>
      <c r="FZ20" s="374"/>
      <c r="GA20" s="367">
        <f t="shared" si="23"/>
        <v>0</v>
      </c>
      <c r="GB20" s="373"/>
      <c r="GC20" s="374"/>
      <c r="GD20" s="374"/>
      <c r="GE20" s="374"/>
      <c r="GF20" s="374"/>
      <c r="GG20" s="374"/>
      <c r="GH20" s="367">
        <f t="shared" si="24"/>
        <v>0</v>
      </c>
      <c r="GI20" s="375"/>
      <c r="GJ20" s="375"/>
      <c r="GK20" s="375"/>
      <c r="GL20" s="375"/>
      <c r="GM20" s="375"/>
      <c r="GN20" s="375"/>
      <c r="GO20" s="375"/>
      <c r="GP20" s="373"/>
      <c r="GQ20" s="374"/>
      <c r="GR20" s="374"/>
      <c r="GS20" s="374"/>
      <c r="GT20" s="374"/>
      <c r="GU20" s="374"/>
      <c r="GV20" s="367">
        <f t="shared" si="25"/>
        <v>0</v>
      </c>
      <c r="GW20" s="373"/>
      <c r="GX20" s="374"/>
      <c r="GY20" s="374"/>
      <c r="GZ20" s="374"/>
      <c r="HA20" s="374"/>
      <c r="HB20" s="374"/>
      <c r="HC20" s="367">
        <f t="shared" si="26"/>
        <v>0</v>
      </c>
      <c r="HD20" s="373"/>
      <c r="HE20" s="374"/>
      <c r="HF20" s="374"/>
      <c r="HG20" s="374"/>
      <c r="HH20" s="374"/>
      <c r="HI20" s="374"/>
      <c r="HJ20" s="367">
        <f t="shared" si="27"/>
        <v>0</v>
      </c>
    </row>
    <row r="21" spans="1:218" s="369" customFormat="1" ht="21.75" customHeight="1" x14ac:dyDescent="0.6">
      <c r="A21" s="370" t="s">
        <v>76</v>
      </c>
      <c r="B21" s="371">
        <v>29</v>
      </c>
      <c r="C21" s="372">
        <v>11</v>
      </c>
      <c r="D21" s="372"/>
      <c r="E21" s="372"/>
      <c r="F21" s="372"/>
      <c r="G21" s="372">
        <v>1</v>
      </c>
      <c r="H21" s="364">
        <f t="shared" si="0"/>
        <v>41</v>
      </c>
      <c r="I21" s="371">
        <v>39</v>
      </c>
      <c r="J21" s="372">
        <v>8</v>
      </c>
      <c r="K21" s="372"/>
      <c r="L21" s="372"/>
      <c r="M21" s="372"/>
      <c r="N21" s="372"/>
      <c r="O21" s="364">
        <f t="shared" si="1"/>
        <v>47</v>
      </c>
      <c r="P21" s="371">
        <v>26</v>
      </c>
      <c r="Q21" s="372">
        <v>5</v>
      </c>
      <c r="R21" s="372"/>
      <c r="S21" s="372"/>
      <c r="T21" s="372"/>
      <c r="U21" s="372"/>
      <c r="V21" s="364">
        <f t="shared" si="2"/>
        <v>31</v>
      </c>
      <c r="W21" s="371"/>
      <c r="X21" s="372"/>
      <c r="Y21" s="372"/>
      <c r="Z21" s="372"/>
      <c r="AA21" s="372"/>
      <c r="AB21" s="372"/>
      <c r="AC21" s="364">
        <f t="shared" si="3"/>
        <v>0</v>
      </c>
      <c r="AD21" s="371">
        <v>66</v>
      </c>
      <c r="AE21" s="372">
        <v>19</v>
      </c>
      <c r="AF21" s="372"/>
      <c r="AG21" s="372"/>
      <c r="AH21" s="372"/>
      <c r="AI21" s="372"/>
      <c r="AJ21" s="364">
        <f t="shared" si="4"/>
        <v>85</v>
      </c>
      <c r="AK21" s="371">
        <v>140</v>
      </c>
      <c r="AL21" s="372">
        <v>42</v>
      </c>
      <c r="AM21" s="372"/>
      <c r="AN21" s="372"/>
      <c r="AO21" s="372">
        <v>6</v>
      </c>
      <c r="AP21" s="372"/>
      <c r="AQ21" s="364">
        <f t="shared" si="5"/>
        <v>188</v>
      </c>
      <c r="AR21" s="371">
        <v>20</v>
      </c>
      <c r="AS21" s="372">
        <v>8</v>
      </c>
      <c r="AT21" s="372"/>
      <c r="AU21" s="372"/>
      <c r="AV21" s="372">
        <v>1</v>
      </c>
      <c r="AW21" s="372"/>
      <c r="AX21" s="364">
        <f t="shared" si="6"/>
        <v>29</v>
      </c>
      <c r="AY21" s="371">
        <v>32</v>
      </c>
      <c r="AZ21" s="372">
        <v>20</v>
      </c>
      <c r="BA21" s="372"/>
      <c r="BB21" s="372"/>
      <c r="BC21" s="372"/>
      <c r="BD21" s="372">
        <v>1</v>
      </c>
      <c r="BE21" s="364">
        <f t="shared" si="7"/>
        <v>53</v>
      </c>
      <c r="BF21" s="371">
        <v>2</v>
      </c>
      <c r="BG21" s="372">
        <v>2</v>
      </c>
      <c r="BH21" s="372"/>
      <c r="BI21" s="372"/>
      <c r="BJ21" s="372"/>
      <c r="BK21" s="372"/>
      <c r="BL21" s="364">
        <f t="shared" si="8"/>
        <v>4</v>
      </c>
      <c r="BM21" s="371">
        <v>71</v>
      </c>
      <c r="BN21" s="372">
        <v>16</v>
      </c>
      <c r="BO21" s="372"/>
      <c r="BP21" s="372"/>
      <c r="BQ21" s="372"/>
      <c r="BR21" s="372"/>
      <c r="BS21" s="364">
        <f t="shared" si="9"/>
        <v>87</v>
      </c>
      <c r="BT21" s="371">
        <v>59</v>
      </c>
      <c r="BU21" s="372">
        <v>9</v>
      </c>
      <c r="BV21" s="372"/>
      <c r="BW21" s="372"/>
      <c r="BX21" s="372"/>
      <c r="BY21" s="372"/>
      <c r="BZ21" s="364">
        <f t="shared" si="10"/>
        <v>68</v>
      </c>
      <c r="CA21" s="371"/>
      <c r="CB21" s="372"/>
      <c r="CC21" s="372"/>
      <c r="CD21" s="372"/>
      <c r="CE21" s="372"/>
      <c r="CF21" s="372"/>
      <c r="CG21" s="364">
        <f t="shared" si="11"/>
        <v>0</v>
      </c>
      <c r="CH21" s="371">
        <v>25</v>
      </c>
      <c r="CI21" s="372">
        <v>7</v>
      </c>
      <c r="CJ21" s="372"/>
      <c r="CK21" s="372"/>
      <c r="CL21" s="372"/>
      <c r="CM21" s="372"/>
      <c r="CN21" s="364">
        <f t="shared" si="12"/>
        <v>32</v>
      </c>
      <c r="CO21" s="371">
        <v>97</v>
      </c>
      <c r="CP21" s="372">
        <v>20</v>
      </c>
      <c r="CQ21" s="372"/>
      <c r="CR21" s="372">
        <v>1</v>
      </c>
      <c r="CS21" s="372">
        <v>3</v>
      </c>
      <c r="CT21" s="372"/>
      <c r="CU21" s="364">
        <f t="shared" si="13"/>
        <v>121</v>
      </c>
      <c r="CV21" s="371"/>
      <c r="CW21" s="372"/>
      <c r="CX21" s="372"/>
      <c r="CY21" s="372"/>
      <c r="CZ21" s="372"/>
      <c r="DA21" s="372"/>
      <c r="DB21" s="364">
        <f t="shared" si="14"/>
        <v>0</v>
      </c>
      <c r="DC21" s="371"/>
      <c r="DD21" s="372"/>
      <c r="DE21" s="372"/>
      <c r="DF21" s="372"/>
      <c r="DG21" s="372"/>
      <c r="DH21" s="372"/>
      <c r="DI21" s="364">
        <f t="shared" si="15"/>
        <v>0</v>
      </c>
      <c r="DJ21" s="373"/>
      <c r="DK21" s="374"/>
      <c r="DL21" s="374"/>
      <c r="DM21" s="374"/>
      <c r="DN21" s="374"/>
      <c r="DO21" s="374"/>
      <c r="DP21" s="367">
        <f t="shared" si="16"/>
        <v>0</v>
      </c>
      <c r="DQ21" s="373"/>
      <c r="DR21" s="374"/>
      <c r="DS21" s="374"/>
      <c r="DT21" s="374"/>
      <c r="DU21" s="374"/>
      <c r="DV21" s="374"/>
      <c r="DW21" s="367">
        <f t="shared" si="17"/>
        <v>0</v>
      </c>
      <c r="DX21" s="373"/>
      <c r="DY21" s="374"/>
      <c r="DZ21" s="374"/>
      <c r="EA21" s="374"/>
      <c r="EB21" s="374"/>
      <c r="EC21" s="374"/>
      <c r="ED21" s="367">
        <f t="shared" si="18"/>
        <v>0</v>
      </c>
      <c r="EE21" s="375"/>
      <c r="EF21" s="375"/>
      <c r="EG21" s="375"/>
      <c r="EH21" s="375"/>
      <c r="EI21" s="375"/>
      <c r="EJ21" s="375"/>
      <c r="EK21" s="375"/>
      <c r="EL21" s="373"/>
      <c r="EM21" s="374"/>
      <c r="EN21" s="374"/>
      <c r="EO21" s="374"/>
      <c r="EP21" s="374"/>
      <c r="EQ21" s="374"/>
      <c r="ER21" s="367">
        <f t="shared" si="19"/>
        <v>0</v>
      </c>
      <c r="ES21" s="373"/>
      <c r="ET21" s="374"/>
      <c r="EU21" s="374"/>
      <c r="EV21" s="374"/>
      <c r="EW21" s="374"/>
      <c r="EX21" s="374"/>
      <c r="EY21" s="367">
        <f t="shared" si="20"/>
        <v>0</v>
      </c>
      <c r="EZ21" s="373"/>
      <c r="FA21" s="374"/>
      <c r="FB21" s="374"/>
      <c r="FC21" s="374"/>
      <c r="FD21" s="374"/>
      <c r="FE21" s="374"/>
      <c r="FF21" s="367">
        <f t="shared" si="21"/>
        <v>0</v>
      </c>
      <c r="FG21" s="375"/>
      <c r="FH21" s="375"/>
      <c r="FI21" s="375"/>
      <c r="FJ21" s="375"/>
      <c r="FK21" s="375"/>
      <c r="FL21" s="375"/>
      <c r="FM21" s="375"/>
      <c r="FN21" s="373"/>
      <c r="FO21" s="374"/>
      <c r="FP21" s="374"/>
      <c r="FQ21" s="374"/>
      <c r="FR21" s="374"/>
      <c r="FS21" s="374"/>
      <c r="FT21" s="367">
        <f t="shared" si="22"/>
        <v>0</v>
      </c>
      <c r="FU21" s="373"/>
      <c r="FV21" s="374"/>
      <c r="FW21" s="374"/>
      <c r="FX21" s="374"/>
      <c r="FY21" s="374"/>
      <c r="FZ21" s="374"/>
      <c r="GA21" s="367">
        <f t="shared" si="23"/>
        <v>0</v>
      </c>
      <c r="GB21" s="373"/>
      <c r="GC21" s="374"/>
      <c r="GD21" s="374"/>
      <c r="GE21" s="374"/>
      <c r="GF21" s="374"/>
      <c r="GG21" s="374"/>
      <c r="GH21" s="367">
        <f t="shared" si="24"/>
        <v>0</v>
      </c>
      <c r="GI21" s="375"/>
      <c r="GJ21" s="375"/>
      <c r="GK21" s="375"/>
      <c r="GL21" s="375"/>
      <c r="GM21" s="375"/>
      <c r="GN21" s="375"/>
      <c r="GO21" s="375"/>
      <c r="GP21" s="373"/>
      <c r="GQ21" s="374"/>
      <c r="GR21" s="374"/>
      <c r="GS21" s="374"/>
      <c r="GT21" s="374"/>
      <c r="GU21" s="374"/>
      <c r="GV21" s="367">
        <f t="shared" si="25"/>
        <v>0</v>
      </c>
      <c r="GW21" s="373"/>
      <c r="GX21" s="374"/>
      <c r="GY21" s="374"/>
      <c r="GZ21" s="374"/>
      <c r="HA21" s="374"/>
      <c r="HB21" s="374"/>
      <c r="HC21" s="367">
        <f t="shared" si="26"/>
        <v>0</v>
      </c>
      <c r="HD21" s="373"/>
      <c r="HE21" s="374"/>
      <c r="HF21" s="374"/>
      <c r="HG21" s="374"/>
      <c r="HH21" s="374"/>
      <c r="HI21" s="374"/>
      <c r="HJ21" s="367">
        <f t="shared" si="27"/>
        <v>0</v>
      </c>
    </row>
    <row r="22" spans="1:218" s="369" customFormat="1" ht="21.75" customHeight="1" x14ac:dyDescent="0.6">
      <c r="A22" s="376" t="s">
        <v>77</v>
      </c>
      <c r="B22" s="377">
        <v>30</v>
      </c>
      <c r="C22" s="378">
        <v>8</v>
      </c>
      <c r="D22" s="378"/>
      <c r="E22" s="378"/>
      <c r="F22" s="378"/>
      <c r="G22" s="378"/>
      <c r="H22" s="364">
        <f t="shared" si="0"/>
        <v>38</v>
      </c>
      <c r="I22" s="377">
        <v>54</v>
      </c>
      <c r="J22" s="378">
        <v>13</v>
      </c>
      <c r="K22" s="378"/>
      <c r="L22" s="378"/>
      <c r="M22" s="378"/>
      <c r="N22" s="378">
        <v>1</v>
      </c>
      <c r="O22" s="364">
        <f t="shared" si="1"/>
        <v>68</v>
      </c>
      <c r="P22" s="377">
        <v>26</v>
      </c>
      <c r="Q22" s="378">
        <v>5</v>
      </c>
      <c r="R22" s="378"/>
      <c r="S22" s="378"/>
      <c r="T22" s="378"/>
      <c r="U22" s="378"/>
      <c r="V22" s="364">
        <f t="shared" si="2"/>
        <v>31</v>
      </c>
      <c r="W22" s="377"/>
      <c r="X22" s="378"/>
      <c r="Y22" s="378"/>
      <c r="Z22" s="378"/>
      <c r="AA22" s="378"/>
      <c r="AB22" s="378"/>
      <c r="AC22" s="364">
        <f t="shared" si="3"/>
        <v>0</v>
      </c>
      <c r="AD22" s="377">
        <v>63</v>
      </c>
      <c r="AE22" s="378">
        <v>22</v>
      </c>
      <c r="AF22" s="378"/>
      <c r="AG22" s="378"/>
      <c r="AH22" s="378"/>
      <c r="AI22" s="378"/>
      <c r="AJ22" s="364">
        <f t="shared" si="4"/>
        <v>85</v>
      </c>
      <c r="AK22" s="377">
        <v>135</v>
      </c>
      <c r="AL22" s="378">
        <v>38</v>
      </c>
      <c r="AM22" s="378"/>
      <c r="AN22" s="378"/>
      <c r="AO22" s="378">
        <v>3</v>
      </c>
      <c r="AP22" s="378"/>
      <c r="AQ22" s="364">
        <f t="shared" si="5"/>
        <v>176</v>
      </c>
      <c r="AR22" s="377">
        <v>14</v>
      </c>
      <c r="AS22" s="378">
        <v>4</v>
      </c>
      <c r="AT22" s="378"/>
      <c r="AU22" s="378"/>
      <c r="AV22" s="378"/>
      <c r="AW22" s="378"/>
      <c r="AX22" s="364">
        <f t="shared" si="6"/>
        <v>18</v>
      </c>
      <c r="AY22" s="377">
        <v>39</v>
      </c>
      <c r="AZ22" s="378">
        <v>18</v>
      </c>
      <c r="BA22" s="378"/>
      <c r="BB22" s="378"/>
      <c r="BC22" s="378">
        <v>1</v>
      </c>
      <c r="BD22" s="378"/>
      <c r="BE22" s="364">
        <f t="shared" si="7"/>
        <v>58</v>
      </c>
      <c r="BF22" s="377">
        <v>3</v>
      </c>
      <c r="BG22" s="378">
        <v>1</v>
      </c>
      <c r="BH22" s="378"/>
      <c r="BI22" s="378"/>
      <c r="BJ22" s="378">
        <v>1</v>
      </c>
      <c r="BK22" s="378"/>
      <c r="BL22" s="364">
        <f t="shared" si="8"/>
        <v>5</v>
      </c>
      <c r="BM22" s="377">
        <v>68</v>
      </c>
      <c r="BN22" s="378">
        <v>13</v>
      </c>
      <c r="BO22" s="378"/>
      <c r="BP22" s="378"/>
      <c r="BQ22" s="378">
        <v>2</v>
      </c>
      <c r="BR22" s="378"/>
      <c r="BS22" s="364">
        <f t="shared" si="9"/>
        <v>83</v>
      </c>
      <c r="BT22" s="377">
        <v>44</v>
      </c>
      <c r="BU22" s="378">
        <v>10</v>
      </c>
      <c r="BV22" s="378"/>
      <c r="BW22" s="378"/>
      <c r="BX22" s="378"/>
      <c r="BY22" s="378"/>
      <c r="BZ22" s="364">
        <f t="shared" si="10"/>
        <v>54</v>
      </c>
      <c r="CA22" s="377"/>
      <c r="CB22" s="378"/>
      <c r="CC22" s="378"/>
      <c r="CD22" s="378"/>
      <c r="CE22" s="378"/>
      <c r="CF22" s="378"/>
      <c r="CG22" s="364">
        <f t="shared" si="11"/>
        <v>0</v>
      </c>
      <c r="CH22" s="377">
        <v>19</v>
      </c>
      <c r="CI22" s="378">
        <v>6</v>
      </c>
      <c r="CJ22" s="378"/>
      <c r="CK22" s="378"/>
      <c r="CL22" s="378">
        <v>1</v>
      </c>
      <c r="CM22" s="378"/>
      <c r="CN22" s="364">
        <f t="shared" si="12"/>
        <v>26</v>
      </c>
      <c r="CO22" s="377">
        <v>105</v>
      </c>
      <c r="CP22" s="378">
        <v>18</v>
      </c>
      <c r="CQ22" s="378"/>
      <c r="CR22" s="378"/>
      <c r="CS22" s="378">
        <v>2</v>
      </c>
      <c r="CT22" s="378"/>
      <c r="CU22" s="364">
        <f t="shared" si="13"/>
        <v>125</v>
      </c>
      <c r="CV22" s="377"/>
      <c r="CW22" s="378"/>
      <c r="CX22" s="378"/>
      <c r="CY22" s="378"/>
      <c r="CZ22" s="378"/>
      <c r="DA22" s="378"/>
      <c r="DB22" s="364">
        <f t="shared" si="14"/>
        <v>0</v>
      </c>
      <c r="DC22" s="377"/>
      <c r="DD22" s="378"/>
      <c r="DE22" s="378"/>
      <c r="DF22" s="378"/>
      <c r="DG22" s="378"/>
      <c r="DH22" s="378"/>
      <c r="DI22" s="364">
        <f t="shared" si="15"/>
        <v>0</v>
      </c>
      <c r="DJ22" s="379"/>
      <c r="DK22" s="380"/>
      <c r="DL22" s="380"/>
      <c r="DM22" s="380"/>
      <c r="DN22" s="380"/>
      <c r="DO22" s="380"/>
      <c r="DP22" s="367">
        <f t="shared" si="16"/>
        <v>0</v>
      </c>
      <c r="DQ22" s="379"/>
      <c r="DR22" s="380"/>
      <c r="DS22" s="380"/>
      <c r="DT22" s="380"/>
      <c r="DU22" s="380"/>
      <c r="DV22" s="380"/>
      <c r="DW22" s="367">
        <f t="shared" si="17"/>
        <v>0</v>
      </c>
      <c r="DX22" s="379"/>
      <c r="DY22" s="380"/>
      <c r="DZ22" s="380"/>
      <c r="EA22" s="380"/>
      <c r="EB22" s="380"/>
      <c r="EC22" s="380"/>
      <c r="ED22" s="367">
        <f t="shared" si="18"/>
        <v>0</v>
      </c>
      <c r="EE22" s="375"/>
      <c r="EF22" s="375"/>
      <c r="EG22" s="375"/>
      <c r="EH22" s="375"/>
      <c r="EI22" s="375"/>
      <c r="EJ22" s="375"/>
      <c r="EK22" s="375"/>
      <c r="EL22" s="379"/>
      <c r="EM22" s="380"/>
      <c r="EN22" s="380"/>
      <c r="EO22" s="380"/>
      <c r="EP22" s="380"/>
      <c r="EQ22" s="380"/>
      <c r="ER22" s="367">
        <f t="shared" si="19"/>
        <v>0</v>
      </c>
      <c r="ES22" s="379"/>
      <c r="ET22" s="380"/>
      <c r="EU22" s="380"/>
      <c r="EV22" s="380"/>
      <c r="EW22" s="380"/>
      <c r="EX22" s="380"/>
      <c r="EY22" s="367">
        <f t="shared" si="20"/>
        <v>0</v>
      </c>
      <c r="EZ22" s="379"/>
      <c r="FA22" s="380"/>
      <c r="FB22" s="380"/>
      <c r="FC22" s="380"/>
      <c r="FD22" s="380"/>
      <c r="FE22" s="380"/>
      <c r="FF22" s="367">
        <f t="shared" si="21"/>
        <v>0</v>
      </c>
      <c r="FG22" s="375"/>
      <c r="FH22" s="375"/>
      <c r="FI22" s="375"/>
      <c r="FJ22" s="375"/>
      <c r="FK22" s="375"/>
      <c r="FL22" s="375"/>
      <c r="FM22" s="375"/>
      <c r="FN22" s="379"/>
      <c r="FO22" s="380"/>
      <c r="FP22" s="380"/>
      <c r="FQ22" s="380"/>
      <c r="FR22" s="380"/>
      <c r="FS22" s="380"/>
      <c r="FT22" s="367">
        <f t="shared" si="22"/>
        <v>0</v>
      </c>
      <c r="FU22" s="379"/>
      <c r="FV22" s="380"/>
      <c r="FW22" s="380"/>
      <c r="FX22" s="380"/>
      <c r="FY22" s="380"/>
      <c r="FZ22" s="380"/>
      <c r="GA22" s="367">
        <f t="shared" si="23"/>
        <v>0</v>
      </c>
      <c r="GB22" s="379"/>
      <c r="GC22" s="380"/>
      <c r="GD22" s="380"/>
      <c r="GE22" s="380"/>
      <c r="GF22" s="380"/>
      <c r="GG22" s="380"/>
      <c r="GH22" s="367">
        <f t="shared" si="24"/>
        <v>0</v>
      </c>
      <c r="GI22" s="375"/>
      <c r="GJ22" s="375"/>
      <c r="GK22" s="375"/>
      <c r="GL22" s="375"/>
      <c r="GM22" s="375"/>
      <c r="GN22" s="375"/>
      <c r="GO22" s="375"/>
      <c r="GP22" s="379"/>
      <c r="GQ22" s="380"/>
      <c r="GR22" s="380"/>
      <c r="GS22" s="380"/>
      <c r="GT22" s="380"/>
      <c r="GU22" s="380"/>
      <c r="GV22" s="367">
        <f t="shared" si="25"/>
        <v>0</v>
      </c>
      <c r="GW22" s="379"/>
      <c r="GX22" s="380"/>
      <c r="GY22" s="380"/>
      <c r="GZ22" s="380"/>
      <c r="HA22" s="380"/>
      <c r="HB22" s="380"/>
      <c r="HC22" s="367">
        <f t="shared" si="26"/>
        <v>0</v>
      </c>
      <c r="HD22" s="379"/>
      <c r="HE22" s="380"/>
      <c r="HF22" s="380"/>
      <c r="HG22" s="380"/>
      <c r="HH22" s="380"/>
      <c r="HI22" s="380"/>
      <c r="HJ22" s="367">
        <f t="shared" si="27"/>
        <v>0</v>
      </c>
    </row>
    <row r="23" spans="1:218" s="369" customFormat="1" ht="21.75" customHeight="1" x14ac:dyDescent="0.6">
      <c r="A23" s="361" t="s">
        <v>78</v>
      </c>
      <c r="B23" s="362">
        <v>26</v>
      </c>
      <c r="C23" s="363">
        <v>4</v>
      </c>
      <c r="D23" s="363"/>
      <c r="E23" s="363"/>
      <c r="F23" s="363">
        <v>1</v>
      </c>
      <c r="G23" s="363"/>
      <c r="H23" s="364">
        <f t="shared" si="0"/>
        <v>31</v>
      </c>
      <c r="I23" s="362">
        <v>63</v>
      </c>
      <c r="J23" s="363">
        <v>17</v>
      </c>
      <c r="K23" s="363"/>
      <c r="L23" s="363"/>
      <c r="M23" s="363"/>
      <c r="N23" s="363"/>
      <c r="O23" s="364">
        <f t="shared" si="1"/>
        <v>80</v>
      </c>
      <c r="P23" s="362">
        <v>22</v>
      </c>
      <c r="Q23" s="363">
        <v>3</v>
      </c>
      <c r="R23" s="363"/>
      <c r="S23" s="363"/>
      <c r="T23" s="363"/>
      <c r="U23" s="363"/>
      <c r="V23" s="364">
        <f t="shared" si="2"/>
        <v>25</v>
      </c>
      <c r="W23" s="362"/>
      <c r="X23" s="363"/>
      <c r="Y23" s="363"/>
      <c r="Z23" s="363"/>
      <c r="AA23" s="363"/>
      <c r="AB23" s="363"/>
      <c r="AC23" s="364">
        <f t="shared" si="3"/>
        <v>0</v>
      </c>
      <c r="AD23" s="362">
        <v>61</v>
      </c>
      <c r="AE23" s="363">
        <v>26</v>
      </c>
      <c r="AF23" s="363">
        <v>1</v>
      </c>
      <c r="AG23" s="363"/>
      <c r="AH23" s="363"/>
      <c r="AI23" s="363"/>
      <c r="AJ23" s="364">
        <f t="shared" si="4"/>
        <v>88</v>
      </c>
      <c r="AK23" s="362">
        <v>118</v>
      </c>
      <c r="AL23" s="363">
        <v>57</v>
      </c>
      <c r="AM23" s="363"/>
      <c r="AN23" s="363">
        <v>1</v>
      </c>
      <c r="AO23" s="363">
        <v>11</v>
      </c>
      <c r="AP23" s="363"/>
      <c r="AQ23" s="364">
        <f t="shared" si="5"/>
        <v>187</v>
      </c>
      <c r="AR23" s="362">
        <v>16</v>
      </c>
      <c r="AS23" s="363">
        <v>5</v>
      </c>
      <c r="AT23" s="363"/>
      <c r="AU23" s="363"/>
      <c r="AV23" s="363"/>
      <c r="AW23" s="363"/>
      <c r="AX23" s="364">
        <f t="shared" si="6"/>
        <v>21</v>
      </c>
      <c r="AY23" s="362">
        <v>45</v>
      </c>
      <c r="AZ23" s="363">
        <v>22</v>
      </c>
      <c r="BA23" s="363">
        <v>1</v>
      </c>
      <c r="BB23" s="363"/>
      <c r="BC23" s="363"/>
      <c r="BD23" s="363">
        <v>2</v>
      </c>
      <c r="BE23" s="364">
        <f t="shared" si="7"/>
        <v>70</v>
      </c>
      <c r="BF23" s="362">
        <v>7</v>
      </c>
      <c r="BG23" s="363"/>
      <c r="BH23" s="363"/>
      <c r="BI23" s="363"/>
      <c r="BJ23" s="363"/>
      <c r="BK23" s="363"/>
      <c r="BL23" s="364">
        <f t="shared" si="8"/>
        <v>7</v>
      </c>
      <c r="BM23" s="362">
        <v>52</v>
      </c>
      <c r="BN23" s="363">
        <v>15</v>
      </c>
      <c r="BO23" s="363"/>
      <c r="BP23" s="363"/>
      <c r="BQ23" s="363">
        <v>1</v>
      </c>
      <c r="BR23" s="363"/>
      <c r="BS23" s="364">
        <f t="shared" si="9"/>
        <v>68</v>
      </c>
      <c r="BT23" s="362">
        <v>67</v>
      </c>
      <c r="BU23" s="363">
        <v>6</v>
      </c>
      <c r="BV23" s="363"/>
      <c r="BW23" s="363"/>
      <c r="BX23" s="363"/>
      <c r="BY23" s="363"/>
      <c r="BZ23" s="364">
        <f t="shared" si="10"/>
        <v>73</v>
      </c>
      <c r="CA23" s="362"/>
      <c r="CB23" s="363"/>
      <c r="CC23" s="363"/>
      <c r="CD23" s="363"/>
      <c r="CE23" s="363"/>
      <c r="CF23" s="363"/>
      <c r="CG23" s="364">
        <f t="shared" si="11"/>
        <v>0</v>
      </c>
      <c r="CH23" s="362">
        <v>16</v>
      </c>
      <c r="CI23" s="363">
        <v>4</v>
      </c>
      <c r="CJ23" s="363"/>
      <c r="CK23" s="363"/>
      <c r="CL23" s="363">
        <v>1</v>
      </c>
      <c r="CM23" s="363"/>
      <c r="CN23" s="364">
        <f t="shared" si="12"/>
        <v>21</v>
      </c>
      <c r="CO23" s="362">
        <v>110</v>
      </c>
      <c r="CP23" s="363">
        <v>22</v>
      </c>
      <c r="CQ23" s="363"/>
      <c r="CR23" s="363"/>
      <c r="CS23" s="363">
        <v>2</v>
      </c>
      <c r="CT23" s="363"/>
      <c r="CU23" s="364">
        <f t="shared" si="13"/>
        <v>134</v>
      </c>
      <c r="CV23" s="362"/>
      <c r="CW23" s="363"/>
      <c r="CX23" s="363"/>
      <c r="CY23" s="363"/>
      <c r="CZ23" s="363"/>
      <c r="DA23" s="363"/>
      <c r="DB23" s="364">
        <f t="shared" si="14"/>
        <v>0</v>
      </c>
      <c r="DC23" s="362"/>
      <c r="DD23" s="363"/>
      <c r="DE23" s="363"/>
      <c r="DF23" s="363"/>
      <c r="DG23" s="363"/>
      <c r="DH23" s="363"/>
      <c r="DI23" s="364">
        <f t="shared" si="15"/>
        <v>0</v>
      </c>
      <c r="DJ23" s="365"/>
      <c r="DK23" s="366"/>
      <c r="DL23" s="366"/>
      <c r="DM23" s="366"/>
      <c r="DN23" s="366"/>
      <c r="DO23" s="366"/>
      <c r="DP23" s="367">
        <f t="shared" si="16"/>
        <v>0</v>
      </c>
      <c r="DQ23" s="365"/>
      <c r="DR23" s="366"/>
      <c r="DS23" s="366"/>
      <c r="DT23" s="366"/>
      <c r="DU23" s="366"/>
      <c r="DV23" s="366"/>
      <c r="DW23" s="367">
        <f t="shared" si="17"/>
        <v>0</v>
      </c>
      <c r="DX23" s="365"/>
      <c r="DY23" s="366"/>
      <c r="DZ23" s="366"/>
      <c r="EA23" s="366"/>
      <c r="EB23" s="366"/>
      <c r="EC23" s="366"/>
      <c r="ED23" s="367">
        <f t="shared" si="18"/>
        <v>0</v>
      </c>
      <c r="EE23" s="368"/>
      <c r="EF23" s="368"/>
      <c r="EG23" s="368"/>
      <c r="EH23" s="368"/>
      <c r="EI23" s="368"/>
      <c r="EJ23" s="368"/>
      <c r="EK23" s="368"/>
      <c r="EL23" s="365"/>
      <c r="EM23" s="366"/>
      <c r="EN23" s="366"/>
      <c r="EO23" s="366"/>
      <c r="EP23" s="366"/>
      <c r="EQ23" s="366"/>
      <c r="ER23" s="367">
        <f t="shared" si="19"/>
        <v>0</v>
      </c>
      <c r="ES23" s="365"/>
      <c r="ET23" s="366"/>
      <c r="EU23" s="366"/>
      <c r="EV23" s="366"/>
      <c r="EW23" s="366"/>
      <c r="EX23" s="366"/>
      <c r="EY23" s="367">
        <f t="shared" si="20"/>
        <v>0</v>
      </c>
      <c r="EZ23" s="365"/>
      <c r="FA23" s="366"/>
      <c r="FB23" s="366"/>
      <c r="FC23" s="366"/>
      <c r="FD23" s="366"/>
      <c r="FE23" s="366"/>
      <c r="FF23" s="367">
        <f t="shared" si="21"/>
        <v>0</v>
      </c>
      <c r="FG23" s="368"/>
      <c r="FH23" s="368"/>
      <c r="FI23" s="368"/>
      <c r="FJ23" s="368"/>
      <c r="FK23" s="368"/>
      <c r="FL23" s="368"/>
      <c r="FM23" s="368"/>
      <c r="FN23" s="365"/>
      <c r="FO23" s="366"/>
      <c r="FP23" s="366"/>
      <c r="FQ23" s="366"/>
      <c r="FR23" s="366"/>
      <c r="FS23" s="366"/>
      <c r="FT23" s="367">
        <f t="shared" si="22"/>
        <v>0</v>
      </c>
      <c r="FU23" s="365"/>
      <c r="FV23" s="366"/>
      <c r="FW23" s="366"/>
      <c r="FX23" s="366"/>
      <c r="FY23" s="366"/>
      <c r="FZ23" s="366"/>
      <c r="GA23" s="367">
        <f t="shared" si="23"/>
        <v>0</v>
      </c>
      <c r="GB23" s="365"/>
      <c r="GC23" s="366"/>
      <c r="GD23" s="366"/>
      <c r="GE23" s="366"/>
      <c r="GF23" s="366"/>
      <c r="GG23" s="366"/>
      <c r="GH23" s="367">
        <f t="shared" si="24"/>
        <v>0</v>
      </c>
      <c r="GI23" s="368"/>
      <c r="GJ23" s="368"/>
      <c r="GK23" s="368"/>
      <c r="GL23" s="368"/>
      <c r="GM23" s="368"/>
      <c r="GN23" s="368"/>
      <c r="GO23" s="368"/>
      <c r="GP23" s="365"/>
      <c r="GQ23" s="366"/>
      <c r="GR23" s="366"/>
      <c r="GS23" s="366"/>
      <c r="GT23" s="366"/>
      <c r="GU23" s="366"/>
      <c r="GV23" s="367">
        <f t="shared" si="25"/>
        <v>0</v>
      </c>
      <c r="GW23" s="365"/>
      <c r="GX23" s="366"/>
      <c r="GY23" s="366"/>
      <c r="GZ23" s="366"/>
      <c r="HA23" s="366"/>
      <c r="HB23" s="366"/>
      <c r="HC23" s="367">
        <f t="shared" si="26"/>
        <v>0</v>
      </c>
      <c r="HD23" s="365"/>
      <c r="HE23" s="366"/>
      <c r="HF23" s="366"/>
      <c r="HG23" s="366"/>
      <c r="HH23" s="366"/>
      <c r="HI23" s="366"/>
      <c r="HJ23" s="367">
        <f t="shared" si="27"/>
        <v>0</v>
      </c>
    </row>
    <row r="24" spans="1:218" s="369" customFormat="1" ht="21.75" customHeight="1" x14ac:dyDescent="0.6">
      <c r="A24" s="370" t="s">
        <v>79</v>
      </c>
      <c r="B24" s="371">
        <v>28</v>
      </c>
      <c r="C24" s="372">
        <v>6</v>
      </c>
      <c r="D24" s="372"/>
      <c r="E24" s="372"/>
      <c r="F24" s="372">
        <v>1</v>
      </c>
      <c r="G24" s="372"/>
      <c r="H24" s="364">
        <f t="shared" si="0"/>
        <v>35</v>
      </c>
      <c r="I24" s="371">
        <v>55</v>
      </c>
      <c r="J24" s="372">
        <v>10</v>
      </c>
      <c r="K24" s="372"/>
      <c r="L24" s="372"/>
      <c r="M24" s="372"/>
      <c r="N24" s="372"/>
      <c r="O24" s="364">
        <f t="shared" si="1"/>
        <v>65</v>
      </c>
      <c r="P24" s="371">
        <v>18</v>
      </c>
      <c r="Q24" s="372">
        <v>7</v>
      </c>
      <c r="R24" s="372"/>
      <c r="S24" s="372"/>
      <c r="T24" s="372"/>
      <c r="U24" s="372"/>
      <c r="V24" s="364">
        <f t="shared" si="2"/>
        <v>25</v>
      </c>
      <c r="W24" s="371"/>
      <c r="X24" s="372"/>
      <c r="Y24" s="372"/>
      <c r="Z24" s="372"/>
      <c r="AA24" s="372"/>
      <c r="AB24" s="372"/>
      <c r="AC24" s="364">
        <f t="shared" si="3"/>
        <v>0</v>
      </c>
      <c r="AD24" s="371">
        <v>64</v>
      </c>
      <c r="AE24" s="372">
        <v>23</v>
      </c>
      <c r="AF24" s="372"/>
      <c r="AG24" s="372"/>
      <c r="AH24" s="372"/>
      <c r="AI24" s="372"/>
      <c r="AJ24" s="364">
        <f t="shared" si="4"/>
        <v>87</v>
      </c>
      <c r="AK24" s="371">
        <v>124</v>
      </c>
      <c r="AL24" s="372">
        <v>32</v>
      </c>
      <c r="AM24" s="372"/>
      <c r="AN24" s="372"/>
      <c r="AO24" s="372">
        <v>9</v>
      </c>
      <c r="AP24" s="372"/>
      <c r="AQ24" s="364">
        <f t="shared" si="5"/>
        <v>165</v>
      </c>
      <c r="AR24" s="371">
        <v>19</v>
      </c>
      <c r="AS24" s="372">
        <v>9</v>
      </c>
      <c r="AT24" s="372"/>
      <c r="AU24" s="372"/>
      <c r="AV24" s="372"/>
      <c r="AW24" s="372"/>
      <c r="AX24" s="364">
        <f t="shared" si="6"/>
        <v>28</v>
      </c>
      <c r="AY24" s="371">
        <v>40</v>
      </c>
      <c r="AZ24" s="372">
        <v>15</v>
      </c>
      <c r="BA24" s="372"/>
      <c r="BB24" s="372"/>
      <c r="BC24" s="372">
        <v>3</v>
      </c>
      <c r="BD24" s="372"/>
      <c r="BE24" s="364">
        <f t="shared" si="7"/>
        <v>58</v>
      </c>
      <c r="BF24" s="371">
        <v>6</v>
      </c>
      <c r="BG24" s="372"/>
      <c r="BH24" s="372"/>
      <c r="BI24" s="372"/>
      <c r="BJ24" s="372"/>
      <c r="BK24" s="372"/>
      <c r="BL24" s="364">
        <f t="shared" si="8"/>
        <v>6</v>
      </c>
      <c r="BM24" s="371">
        <v>65</v>
      </c>
      <c r="BN24" s="372">
        <v>14</v>
      </c>
      <c r="BO24" s="372"/>
      <c r="BP24" s="372"/>
      <c r="BQ24" s="372"/>
      <c r="BR24" s="372"/>
      <c r="BS24" s="364">
        <f t="shared" si="9"/>
        <v>79</v>
      </c>
      <c r="BT24" s="371">
        <v>55</v>
      </c>
      <c r="BU24" s="372">
        <v>17</v>
      </c>
      <c r="BV24" s="372"/>
      <c r="BW24" s="372"/>
      <c r="BX24" s="372"/>
      <c r="BY24" s="372"/>
      <c r="BZ24" s="364">
        <f t="shared" si="10"/>
        <v>72</v>
      </c>
      <c r="CA24" s="371"/>
      <c r="CB24" s="372"/>
      <c r="CC24" s="372"/>
      <c r="CD24" s="372"/>
      <c r="CE24" s="372"/>
      <c r="CF24" s="372"/>
      <c r="CG24" s="364">
        <f t="shared" si="11"/>
        <v>0</v>
      </c>
      <c r="CH24" s="371">
        <v>24</v>
      </c>
      <c r="CI24" s="372">
        <v>10</v>
      </c>
      <c r="CJ24" s="372"/>
      <c r="CK24" s="372"/>
      <c r="CL24" s="372"/>
      <c r="CM24" s="372"/>
      <c r="CN24" s="364">
        <f t="shared" si="12"/>
        <v>34</v>
      </c>
      <c r="CO24" s="371">
        <v>102</v>
      </c>
      <c r="CP24" s="372">
        <v>26</v>
      </c>
      <c r="CQ24" s="372"/>
      <c r="CR24" s="372"/>
      <c r="CS24" s="372">
        <v>2</v>
      </c>
      <c r="CT24" s="372">
        <v>1</v>
      </c>
      <c r="CU24" s="364">
        <f t="shared" si="13"/>
        <v>131</v>
      </c>
      <c r="CV24" s="371"/>
      <c r="CW24" s="372"/>
      <c r="CX24" s="372"/>
      <c r="CY24" s="372"/>
      <c r="CZ24" s="372"/>
      <c r="DA24" s="372"/>
      <c r="DB24" s="364">
        <f t="shared" si="14"/>
        <v>0</v>
      </c>
      <c r="DC24" s="371"/>
      <c r="DD24" s="372"/>
      <c r="DE24" s="372"/>
      <c r="DF24" s="372"/>
      <c r="DG24" s="372"/>
      <c r="DH24" s="372"/>
      <c r="DI24" s="364">
        <f t="shared" si="15"/>
        <v>0</v>
      </c>
      <c r="DJ24" s="373"/>
      <c r="DK24" s="374"/>
      <c r="DL24" s="374"/>
      <c r="DM24" s="374"/>
      <c r="DN24" s="374"/>
      <c r="DO24" s="374"/>
      <c r="DP24" s="367">
        <f t="shared" si="16"/>
        <v>0</v>
      </c>
      <c r="DQ24" s="373"/>
      <c r="DR24" s="374"/>
      <c r="DS24" s="374"/>
      <c r="DT24" s="374"/>
      <c r="DU24" s="374"/>
      <c r="DV24" s="374"/>
      <c r="DW24" s="367">
        <f t="shared" si="17"/>
        <v>0</v>
      </c>
      <c r="DX24" s="373"/>
      <c r="DY24" s="374"/>
      <c r="DZ24" s="374"/>
      <c r="EA24" s="374"/>
      <c r="EB24" s="374"/>
      <c r="EC24" s="374"/>
      <c r="ED24" s="367">
        <f t="shared" si="18"/>
        <v>0</v>
      </c>
      <c r="EE24" s="375"/>
      <c r="EF24" s="375"/>
      <c r="EG24" s="375"/>
      <c r="EH24" s="375"/>
      <c r="EI24" s="375"/>
      <c r="EJ24" s="375"/>
      <c r="EK24" s="375"/>
      <c r="EL24" s="373"/>
      <c r="EM24" s="374"/>
      <c r="EN24" s="374"/>
      <c r="EO24" s="374"/>
      <c r="EP24" s="374"/>
      <c r="EQ24" s="374"/>
      <c r="ER24" s="367">
        <f t="shared" si="19"/>
        <v>0</v>
      </c>
      <c r="ES24" s="373"/>
      <c r="ET24" s="374"/>
      <c r="EU24" s="374"/>
      <c r="EV24" s="374"/>
      <c r="EW24" s="374"/>
      <c r="EX24" s="374"/>
      <c r="EY24" s="367">
        <f t="shared" si="20"/>
        <v>0</v>
      </c>
      <c r="EZ24" s="373"/>
      <c r="FA24" s="374"/>
      <c r="FB24" s="374"/>
      <c r="FC24" s="374"/>
      <c r="FD24" s="374"/>
      <c r="FE24" s="374"/>
      <c r="FF24" s="367">
        <f t="shared" si="21"/>
        <v>0</v>
      </c>
      <c r="FG24" s="375"/>
      <c r="FH24" s="375"/>
      <c r="FI24" s="375"/>
      <c r="FJ24" s="375"/>
      <c r="FK24" s="375"/>
      <c r="FL24" s="375"/>
      <c r="FM24" s="375"/>
      <c r="FN24" s="373"/>
      <c r="FO24" s="374"/>
      <c r="FP24" s="374"/>
      <c r="FQ24" s="374"/>
      <c r="FR24" s="374"/>
      <c r="FS24" s="374"/>
      <c r="FT24" s="367">
        <f t="shared" si="22"/>
        <v>0</v>
      </c>
      <c r="FU24" s="373"/>
      <c r="FV24" s="374"/>
      <c r="FW24" s="374"/>
      <c r="FX24" s="374"/>
      <c r="FY24" s="374"/>
      <c r="FZ24" s="374"/>
      <c r="GA24" s="367">
        <f t="shared" si="23"/>
        <v>0</v>
      </c>
      <c r="GB24" s="373"/>
      <c r="GC24" s="374"/>
      <c r="GD24" s="374"/>
      <c r="GE24" s="374"/>
      <c r="GF24" s="374"/>
      <c r="GG24" s="374"/>
      <c r="GH24" s="367">
        <f t="shared" si="24"/>
        <v>0</v>
      </c>
      <c r="GI24" s="375"/>
      <c r="GJ24" s="375"/>
      <c r="GK24" s="375"/>
      <c r="GL24" s="375"/>
      <c r="GM24" s="375"/>
      <c r="GN24" s="375"/>
      <c r="GO24" s="375"/>
      <c r="GP24" s="373"/>
      <c r="GQ24" s="374"/>
      <c r="GR24" s="374"/>
      <c r="GS24" s="374"/>
      <c r="GT24" s="374"/>
      <c r="GU24" s="374"/>
      <c r="GV24" s="367">
        <f t="shared" si="25"/>
        <v>0</v>
      </c>
      <c r="GW24" s="373"/>
      <c r="GX24" s="374"/>
      <c r="GY24" s="374"/>
      <c r="GZ24" s="374"/>
      <c r="HA24" s="374"/>
      <c r="HB24" s="374"/>
      <c r="HC24" s="367">
        <f t="shared" si="26"/>
        <v>0</v>
      </c>
      <c r="HD24" s="373"/>
      <c r="HE24" s="374"/>
      <c r="HF24" s="374"/>
      <c r="HG24" s="374"/>
      <c r="HH24" s="374"/>
      <c r="HI24" s="374"/>
      <c r="HJ24" s="367">
        <f t="shared" si="27"/>
        <v>0</v>
      </c>
    </row>
    <row r="25" spans="1:218" s="369" customFormat="1" ht="21.75" customHeight="1" x14ac:dyDescent="0.6">
      <c r="A25" s="370" t="s">
        <v>80</v>
      </c>
      <c r="B25" s="371">
        <v>33</v>
      </c>
      <c r="C25" s="372">
        <v>5</v>
      </c>
      <c r="D25" s="372"/>
      <c r="E25" s="372"/>
      <c r="F25" s="372"/>
      <c r="G25" s="372">
        <v>1</v>
      </c>
      <c r="H25" s="364">
        <f t="shared" si="0"/>
        <v>39</v>
      </c>
      <c r="I25" s="371">
        <v>48</v>
      </c>
      <c r="J25" s="372">
        <v>11</v>
      </c>
      <c r="K25" s="372"/>
      <c r="L25" s="372"/>
      <c r="M25" s="372"/>
      <c r="N25" s="372"/>
      <c r="O25" s="364">
        <f t="shared" si="1"/>
        <v>59</v>
      </c>
      <c r="P25" s="371">
        <v>25</v>
      </c>
      <c r="Q25" s="372">
        <v>2</v>
      </c>
      <c r="R25" s="372"/>
      <c r="S25" s="372"/>
      <c r="T25" s="372"/>
      <c r="U25" s="372"/>
      <c r="V25" s="364">
        <f t="shared" si="2"/>
        <v>27</v>
      </c>
      <c r="W25" s="371"/>
      <c r="X25" s="372"/>
      <c r="Y25" s="372"/>
      <c r="Z25" s="372"/>
      <c r="AA25" s="372"/>
      <c r="AB25" s="372"/>
      <c r="AC25" s="364">
        <f t="shared" si="3"/>
        <v>0</v>
      </c>
      <c r="AD25" s="371">
        <v>58</v>
      </c>
      <c r="AE25" s="372">
        <v>19</v>
      </c>
      <c r="AF25" s="372"/>
      <c r="AG25" s="372"/>
      <c r="AH25" s="372"/>
      <c r="AI25" s="372"/>
      <c r="AJ25" s="364">
        <f t="shared" si="4"/>
        <v>77</v>
      </c>
      <c r="AK25" s="371">
        <v>131</v>
      </c>
      <c r="AL25" s="372">
        <v>43</v>
      </c>
      <c r="AM25" s="372">
        <v>1</v>
      </c>
      <c r="AN25" s="372"/>
      <c r="AO25" s="372">
        <v>6</v>
      </c>
      <c r="AP25" s="372"/>
      <c r="AQ25" s="364">
        <f t="shared" si="5"/>
        <v>181</v>
      </c>
      <c r="AR25" s="371">
        <v>22</v>
      </c>
      <c r="AS25" s="372">
        <v>6</v>
      </c>
      <c r="AT25" s="372"/>
      <c r="AU25" s="372"/>
      <c r="AV25" s="372"/>
      <c r="AW25" s="372"/>
      <c r="AX25" s="364">
        <f t="shared" si="6"/>
        <v>28</v>
      </c>
      <c r="AY25" s="371">
        <v>37</v>
      </c>
      <c r="AZ25" s="372">
        <v>22</v>
      </c>
      <c r="BA25" s="372"/>
      <c r="BB25" s="372"/>
      <c r="BC25" s="372">
        <v>3</v>
      </c>
      <c r="BD25" s="372"/>
      <c r="BE25" s="364">
        <f t="shared" si="7"/>
        <v>62</v>
      </c>
      <c r="BF25" s="371">
        <v>4</v>
      </c>
      <c r="BG25" s="372">
        <v>3</v>
      </c>
      <c r="BH25" s="372"/>
      <c r="BI25" s="372"/>
      <c r="BJ25" s="372"/>
      <c r="BK25" s="372"/>
      <c r="BL25" s="364">
        <f t="shared" si="8"/>
        <v>7</v>
      </c>
      <c r="BM25" s="371">
        <v>59</v>
      </c>
      <c r="BN25" s="372">
        <v>10</v>
      </c>
      <c r="BO25" s="372"/>
      <c r="BP25" s="372"/>
      <c r="BQ25" s="372">
        <v>1</v>
      </c>
      <c r="BR25" s="372"/>
      <c r="BS25" s="364">
        <f t="shared" si="9"/>
        <v>70</v>
      </c>
      <c r="BT25" s="371">
        <v>43</v>
      </c>
      <c r="BU25" s="372">
        <v>8</v>
      </c>
      <c r="BV25" s="372"/>
      <c r="BW25" s="372"/>
      <c r="BX25" s="372"/>
      <c r="BY25" s="372"/>
      <c r="BZ25" s="364">
        <f t="shared" si="10"/>
        <v>51</v>
      </c>
      <c r="CA25" s="371"/>
      <c r="CB25" s="372"/>
      <c r="CC25" s="372"/>
      <c r="CD25" s="372"/>
      <c r="CE25" s="372"/>
      <c r="CF25" s="372"/>
      <c r="CG25" s="364">
        <f t="shared" si="11"/>
        <v>0</v>
      </c>
      <c r="CH25" s="371">
        <v>18</v>
      </c>
      <c r="CI25" s="372">
        <v>8</v>
      </c>
      <c r="CJ25" s="372"/>
      <c r="CK25" s="372"/>
      <c r="CL25" s="372"/>
      <c r="CM25" s="372"/>
      <c r="CN25" s="364">
        <f t="shared" si="12"/>
        <v>26</v>
      </c>
      <c r="CO25" s="371">
        <v>95</v>
      </c>
      <c r="CP25" s="372">
        <v>24</v>
      </c>
      <c r="CQ25" s="372">
        <v>1</v>
      </c>
      <c r="CR25" s="372"/>
      <c r="CS25" s="372">
        <v>1</v>
      </c>
      <c r="CT25" s="372">
        <v>1</v>
      </c>
      <c r="CU25" s="364">
        <f t="shared" si="13"/>
        <v>122</v>
      </c>
      <c r="CV25" s="371"/>
      <c r="CW25" s="372"/>
      <c r="CX25" s="372"/>
      <c r="CY25" s="372"/>
      <c r="CZ25" s="372"/>
      <c r="DA25" s="372"/>
      <c r="DB25" s="364">
        <f t="shared" si="14"/>
        <v>0</v>
      </c>
      <c r="DC25" s="371"/>
      <c r="DD25" s="372"/>
      <c r="DE25" s="372"/>
      <c r="DF25" s="372"/>
      <c r="DG25" s="372"/>
      <c r="DH25" s="372"/>
      <c r="DI25" s="364">
        <f t="shared" si="15"/>
        <v>0</v>
      </c>
      <c r="DJ25" s="373"/>
      <c r="DK25" s="374"/>
      <c r="DL25" s="374"/>
      <c r="DM25" s="374"/>
      <c r="DN25" s="374"/>
      <c r="DO25" s="374"/>
      <c r="DP25" s="367">
        <f t="shared" si="16"/>
        <v>0</v>
      </c>
      <c r="DQ25" s="373"/>
      <c r="DR25" s="374"/>
      <c r="DS25" s="374"/>
      <c r="DT25" s="374"/>
      <c r="DU25" s="374"/>
      <c r="DV25" s="374"/>
      <c r="DW25" s="367">
        <f t="shared" si="17"/>
        <v>0</v>
      </c>
      <c r="DX25" s="373"/>
      <c r="DY25" s="374"/>
      <c r="DZ25" s="374"/>
      <c r="EA25" s="374"/>
      <c r="EB25" s="374"/>
      <c r="EC25" s="374"/>
      <c r="ED25" s="367">
        <f t="shared" si="18"/>
        <v>0</v>
      </c>
      <c r="EE25" s="375"/>
      <c r="EF25" s="375"/>
      <c r="EG25" s="375"/>
      <c r="EH25" s="375"/>
      <c r="EI25" s="375"/>
      <c r="EJ25" s="375"/>
      <c r="EK25" s="375"/>
      <c r="EL25" s="373"/>
      <c r="EM25" s="374"/>
      <c r="EN25" s="374"/>
      <c r="EO25" s="374"/>
      <c r="EP25" s="374"/>
      <c r="EQ25" s="374"/>
      <c r="ER25" s="367">
        <f t="shared" si="19"/>
        <v>0</v>
      </c>
      <c r="ES25" s="373"/>
      <c r="ET25" s="374"/>
      <c r="EU25" s="374"/>
      <c r="EV25" s="374"/>
      <c r="EW25" s="374"/>
      <c r="EX25" s="374"/>
      <c r="EY25" s="367">
        <f t="shared" si="20"/>
        <v>0</v>
      </c>
      <c r="EZ25" s="373"/>
      <c r="FA25" s="374"/>
      <c r="FB25" s="374"/>
      <c r="FC25" s="374"/>
      <c r="FD25" s="374"/>
      <c r="FE25" s="374"/>
      <c r="FF25" s="367">
        <f t="shared" si="21"/>
        <v>0</v>
      </c>
      <c r="FG25" s="375"/>
      <c r="FH25" s="375"/>
      <c r="FI25" s="375"/>
      <c r="FJ25" s="375"/>
      <c r="FK25" s="375"/>
      <c r="FL25" s="375"/>
      <c r="FM25" s="375"/>
      <c r="FN25" s="373"/>
      <c r="FO25" s="374"/>
      <c r="FP25" s="374"/>
      <c r="FQ25" s="374"/>
      <c r="FR25" s="374"/>
      <c r="FS25" s="374"/>
      <c r="FT25" s="367">
        <f t="shared" si="22"/>
        <v>0</v>
      </c>
      <c r="FU25" s="373"/>
      <c r="FV25" s="374"/>
      <c r="FW25" s="374"/>
      <c r="FX25" s="374"/>
      <c r="FY25" s="374"/>
      <c r="FZ25" s="374"/>
      <c r="GA25" s="367">
        <f t="shared" si="23"/>
        <v>0</v>
      </c>
      <c r="GB25" s="373"/>
      <c r="GC25" s="374"/>
      <c r="GD25" s="374"/>
      <c r="GE25" s="374"/>
      <c r="GF25" s="374"/>
      <c r="GG25" s="374"/>
      <c r="GH25" s="367">
        <f t="shared" si="24"/>
        <v>0</v>
      </c>
      <c r="GI25" s="375"/>
      <c r="GJ25" s="375"/>
      <c r="GK25" s="375"/>
      <c r="GL25" s="375"/>
      <c r="GM25" s="375"/>
      <c r="GN25" s="375"/>
      <c r="GO25" s="375"/>
      <c r="GP25" s="373"/>
      <c r="GQ25" s="374"/>
      <c r="GR25" s="374"/>
      <c r="GS25" s="374"/>
      <c r="GT25" s="374"/>
      <c r="GU25" s="374"/>
      <c r="GV25" s="367">
        <f t="shared" si="25"/>
        <v>0</v>
      </c>
      <c r="GW25" s="373"/>
      <c r="GX25" s="374"/>
      <c r="GY25" s="374"/>
      <c r="GZ25" s="374"/>
      <c r="HA25" s="374"/>
      <c r="HB25" s="374"/>
      <c r="HC25" s="367">
        <f t="shared" si="26"/>
        <v>0</v>
      </c>
      <c r="HD25" s="373"/>
      <c r="HE25" s="374"/>
      <c r="HF25" s="374"/>
      <c r="HG25" s="374"/>
      <c r="HH25" s="374"/>
      <c r="HI25" s="374"/>
      <c r="HJ25" s="367">
        <f t="shared" si="27"/>
        <v>0</v>
      </c>
    </row>
    <row r="26" spans="1:218" s="369" customFormat="1" ht="21.75" customHeight="1" x14ac:dyDescent="0.6">
      <c r="A26" s="376" t="s">
        <v>81</v>
      </c>
      <c r="B26" s="377">
        <v>24</v>
      </c>
      <c r="C26" s="378">
        <v>8</v>
      </c>
      <c r="D26" s="378"/>
      <c r="E26" s="378"/>
      <c r="F26" s="378"/>
      <c r="G26" s="378"/>
      <c r="H26" s="364">
        <f t="shared" si="0"/>
        <v>32</v>
      </c>
      <c r="I26" s="377">
        <v>62</v>
      </c>
      <c r="J26" s="378">
        <v>14</v>
      </c>
      <c r="K26" s="378"/>
      <c r="L26" s="378"/>
      <c r="M26" s="378"/>
      <c r="N26" s="378"/>
      <c r="O26" s="364">
        <f t="shared" si="1"/>
        <v>76</v>
      </c>
      <c r="P26" s="377">
        <v>23</v>
      </c>
      <c r="Q26" s="378">
        <v>6</v>
      </c>
      <c r="R26" s="378"/>
      <c r="S26" s="378"/>
      <c r="T26" s="378"/>
      <c r="U26" s="378"/>
      <c r="V26" s="364">
        <f t="shared" si="2"/>
        <v>29</v>
      </c>
      <c r="W26" s="377"/>
      <c r="X26" s="378"/>
      <c r="Y26" s="378"/>
      <c r="Z26" s="378"/>
      <c r="AA26" s="378"/>
      <c r="AB26" s="378"/>
      <c r="AC26" s="364">
        <f t="shared" si="3"/>
        <v>0</v>
      </c>
      <c r="AD26" s="377">
        <v>66</v>
      </c>
      <c r="AE26" s="378">
        <v>24</v>
      </c>
      <c r="AF26" s="378"/>
      <c r="AG26" s="378"/>
      <c r="AH26" s="378"/>
      <c r="AI26" s="378"/>
      <c r="AJ26" s="364">
        <f t="shared" si="4"/>
        <v>90</v>
      </c>
      <c r="AK26" s="377">
        <v>125</v>
      </c>
      <c r="AL26" s="378">
        <v>51</v>
      </c>
      <c r="AM26" s="378"/>
      <c r="AN26" s="378"/>
      <c r="AO26" s="378">
        <v>8</v>
      </c>
      <c r="AP26" s="378"/>
      <c r="AQ26" s="364">
        <f t="shared" si="5"/>
        <v>184</v>
      </c>
      <c r="AR26" s="377">
        <v>17</v>
      </c>
      <c r="AS26" s="378">
        <v>4</v>
      </c>
      <c r="AT26" s="378"/>
      <c r="AU26" s="378"/>
      <c r="AV26" s="378"/>
      <c r="AW26" s="378"/>
      <c r="AX26" s="364">
        <f t="shared" si="6"/>
        <v>21</v>
      </c>
      <c r="AY26" s="377">
        <v>41</v>
      </c>
      <c r="AZ26" s="378">
        <v>19</v>
      </c>
      <c r="BA26" s="378"/>
      <c r="BB26" s="378"/>
      <c r="BC26" s="378">
        <v>1</v>
      </c>
      <c r="BD26" s="378"/>
      <c r="BE26" s="364">
        <f t="shared" si="7"/>
        <v>61</v>
      </c>
      <c r="BF26" s="377">
        <v>4</v>
      </c>
      <c r="BG26" s="378"/>
      <c r="BH26" s="378"/>
      <c r="BI26" s="378"/>
      <c r="BJ26" s="378"/>
      <c r="BK26" s="378"/>
      <c r="BL26" s="364">
        <f t="shared" si="8"/>
        <v>4</v>
      </c>
      <c r="BM26" s="377">
        <v>61</v>
      </c>
      <c r="BN26" s="378">
        <v>16</v>
      </c>
      <c r="BO26" s="378"/>
      <c r="BP26" s="378"/>
      <c r="BQ26" s="378"/>
      <c r="BR26" s="378"/>
      <c r="BS26" s="364">
        <f t="shared" si="9"/>
        <v>77</v>
      </c>
      <c r="BT26" s="377">
        <v>66</v>
      </c>
      <c r="BU26" s="378">
        <v>13</v>
      </c>
      <c r="BV26" s="378"/>
      <c r="BW26" s="378"/>
      <c r="BX26" s="378"/>
      <c r="BY26" s="378"/>
      <c r="BZ26" s="364">
        <f t="shared" si="10"/>
        <v>79</v>
      </c>
      <c r="CA26" s="377"/>
      <c r="CB26" s="378"/>
      <c r="CC26" s="378"/>
      <c r="CD26" s="378"/>
      <c r="CE26" s="378"/>
      <c r="CF26" s="378"/>
      <c r="CG26" s="364">
        <f t="shared" si="11"/>
        <v>0</v>
      </c>
      <c r="CH26" s="377">
        <v>21</v>
      </c>
      <c r="CI26" s="378">
        <v>6</v>
      </c>
      <c r="CJ26" s="378"/>
      <c r="CK26" s="378"/>
      <c r="CL26" s="378"/>
      <c r="CM26" s="378"/>
      <c r="CN26" s="364">
        <f t="shared" si="12"/>
        <v>27</v>
      </c>
      <c r="CO26" s="377">
        <v>91</v>
      </c>
      <c r="CP26" s="378">
        <v>22</v>
      </c>
      <c r="CQ26" s="378"/>
      <c r="CR26" s="378"/>
      <c r="CS26" s="378">
        <v>1</v>
      </c>
      <c r="CT26" s="378"/>
      <c r="CU26" s="364">
        <f t="shared" si="13"/>
        <v>114</v>
      </c>
      <c r="CV26" s="377"/>
      <c r="CW26" s="378"/>
      <c r="CX26" s="378"/>
      <c r="CY26" s="378"/>
      <c r="CZ26" s="378"/>
      <c r="DA26" s="378"/>
      <c r="DB26" s="364">
        <f t="shared" si="14"/>
        <v>0</v>
      </c>
      <c r="DC26" s="377"/>
      <c r="DD26" s="378"/>
      <c r="DE26" s="378"/>
      <c r="DF26" s="378"/>
      <c r="DG26" s="378"/>
      <c r="DH26" s="378"/>
      <c r="DI26" s="364">
        <f t="shared" si="15"/>
        <v>0</v>
      </c>
      <c r="DJ26" s="379"/>
      <c r="DK26" s="380"/>
      <c r="DL26" s="380"/>
      <c r="DM26" s="380"/>
      <c r="DN26" s="380"/>
      <c r="DO26" s="380"/>
      <c r="DP26" s="367">
        <f t="shared" si="16"/>
        <v>0</v>
      </c>
      <c r="DQ26" s="379"/>
      <c r="DR26" s="380"/>
      <c r="DS26" s="380"/>
      <c r="DT26" s="380"/>
      <c r="DU26" s="380"/>
      <c r="DV26" s="380"/>
      <c r="DW26" s="367">
        <f t="shared" si="17"/>
        <v>0</v>
      </c>
      <c r="DX26" s="379"/>
      <c r="DY26" s="380"/>
      <c r="DZ26" s="380"/>
      <c r="EA26" s="380"/>
      <c r="EB26" s="380"/>
      <c r="EC26" s="380"/>
      <c r="ED26" s="367">
        <f t="shared" si="18"/>
        <v>0</v>
      </c>
      <c r="EE26" s="375"/>
      <c r="EF26" s="375"/>
      <c r="EG26" s="375"/>
      <c r="EH26" s="375"/>
      <c r="EI26" s="375"/>
      <c r="EJ26" s="375"/>
      <c r="EK26" s="375"/>
      <c r="EL26" s="379"/>
      <c r="EM26" s="380"/>
      <c r="EN26" s="380"/>
      <c r="EO26" s="380"/>
      <c r="EP26" s="380"/>
      <c r="EQ26" s="380"/>
      <c r="ER26" s="367">
        <f t="shared" si="19"/>
        <v>0</v>
      </c>
      <c r="ES26" s="379"/>
      <c r="ET26" s="380"/>
      <c r="EU26" s="380"/>
      <c r="EV26" s="380"/>
      <c r="EW26" s="380"/>
      <c r="EX26" s="380"/>
      <c r="EY26" s="367">
        <f t="shared" si="20"/>
        <v>0</v>
      </c>
      <c r="EZ26" s="379"/>
      <c r="FA26" s="380"/>
      <c r="FB26" s="380"/>
      <c r="FC26" s="380"/>
      <c r="FD26" s="380"/>
      <c r="FE26" s="380"/>
      <c r="FF26" s="367">
        <f t="shared" si="21"/>
        <v>0</v>
      </c>
      <c r="FG26" s="375"/>
      <c r="FH26" s="375"/>
      <c r="FI26" s="375"/>
      <c r="FJ26" s="375"/>
      <c r="FK26" s="375"/>
      <c r="FL26" s="375"/>
      <c r="FM26" s="375"/>
      <c r="FN26" s="379"/>
      <c r="FO26" s="380"/>
      <c r="FP26" s="380"/>
      <c r="FQ26" s="380"/>
      <c r="FR26" s="380"/>
      <c r="FS26" s="380"/>
      <c r="FT26" s="367">
        <f t="shared" si="22"/>
        <v>0</v>
      </c>
      <c r="FU26" s="379"/>
      <c r="FV26" s="380"/>
      <c r="FW26" s="380"/>
      <c r="FX26" s="380"/>
      <c r="FY26" s="380"/>
      <c r="FZ26" s="380"/>
      <c r="GA26" s="367">
        <f t="shared" si="23"/>
        <v>0</v>
      </c>
      <c r="GB26" s="379"/>
      <c r="GC26" s="380"/>
      <c r="GD26" s="380"/>
      <c r="GE26" s="380"/>
      <c r="GF26" s="380"/>
      <c r="GG26" s="380"/>
      <c r="GH26" s="367">
        <f t="shared" si="24"/>
        <v>0</v>
      </c>
      <c r="GI26" s="375"/>
      <c r="GJ26" s="375"/>
      <c r="GK26" s="375"/>
      <c r="GL26" s="375"/>
      <c r="GM26" s="375"/>
      <c r="GN26" s="375"/>
      <c r="GO26" s="375"/>
      <c r="GP26" s="379"/>
      <c r="GQ26" s="380"/>
      <c r="GR26" s="380"/>
      <c r="GS26" s="380"/>
      <c r="GT26" s="380"/>
      <c r="GU26" s="380"/>
      <c r="GV26" s="367">
        <f t="shared" si="25"/>
        <v>0</v>
      </c>
      <c r="GW26" s="379"/>
      <c r="GX26" s="380"/>
      <c r="GY26" s="380"/>
      <c r="GZ26" s="380"/>
      <c r="HA26" s="380"/>
      <c r="HB26" s="380"/>
      <c r="HC26" s="367">
        <f t="shared" si="26"/>
        <v>0</v>
      </c>
      <c r="HD26" s="379"/>
      <c r="HE26" s="380"/>
      <c r="HF26" s="380"/>
      <c r="HG26" s="380"/>
      <c r="HH26" s="380"/>
      <c r="HI26" s="380"/>
      <c r="HJ26" s="367">
        <f t="shared" si="27"/>
        <v>0</v>
      </c>
    </row>
    <row r="27" spans="1:218" s="369" customFormat="1" ht="21.75" customHeight="1" x14ac:dyDescent="0.6">
      <c r="A27" s="361" t="s">
        <v>82</v>
      </c>
      <c r="B27" s="362">
        <v>29</v>
      </c>
      <c r="C27" s="363">
        <v>4</v>
      </c>
      <c r="D27" s="363"/>
      <c r="E27" s="363"/>
      <c r="F27" s="363"/>
      <c r="G27" s="363"/>
      <c r="H27" s="364">
        <f t="shared" si="0"/>
        <v>33</v>
      </c>
      <c r="I27" s="362">
        <v>49</v>
      </c>
      <c r="J27" s="363">
        <v>18</v>
      </c>
      <c r="K27" s="363"/>
      <c r="L27" s="363"/>
      <c r="M27" s="363">
        <v>1</v>
      </c>
      <c r="N27" s="363">
        <v>1</v>
      </c>
      <c r="O27" s="364">
        <f t="shared" si="1"/>
        <v>69</v>
      </c>
      <c r="P27" s="362">
        <v>20</v>
      </c>
      <c r="Q27" s="363">
        <v>11</v>
      </c>
      <c r="R27" s="363"/>
      <c r="S27" s="363"/>
      <c r="T27" s="363"/>
      <c r="U27" s="363"/>
      <c r="V27" s="364">
        <f t="shared" si="2"/>
        <v>31</v>
      </c>
      <c r="W27" s="362"/>
      <c r="X27" s="363"/>
      <c r="Y27" s="363"/>
      <c r="Z27" s="363"/>
      <c r="AA27" s="363"/>
      <c r="AB27" s="363"/>
      <c r="AC27" s="364">
        <f t="shared" si="3"/>
        <v>0</v>
      </c>
      <c r="AD27" s="362">
        <v>53</v>
      </c>
      <c r="AE27" s="363">
        <v>22</v>
      </c>
      <c r="AF27" s="363"/>
      <c r="AG27" s="363"/>
      <c r="AH27" s="363"/>
      <c r="AI27" s="363"/>
      <c r="AJ27" s="364">
        <f t="shared" si="4"/>
        <v>75</v>
      </c>
      <c r="AK27" s="362">
        <v>138</v>
      </c>
      <c r="AL27" s="363">
        <v>48</v>
      </c>
      <c r="AM27" s="363">
        <v>1</v>
      </c>
      <c r="AN27" s="363"/>
      <c r="AO27" s="363">
        <v>9</v>
      </c>
      <c r="AP27" s="363"/>
      <c r="AQ27" s="364">
        <f t="shared" si="5"/>
        <v>196</v>
      </c>
      <c r="AR27" s="362">
        <v>21</v>
      </c>
      <c r="AS27" s="363">
        <v>4</v>
      </c>
      <c r="AT27" s="363"/>
      <c r="AU27" s="363"/>
      <c r="AV27" s="363"/>
      <c r="AW27" s="363"/>
      <c r="AX27" s="364">
        <f t="shared" si="6"/>
        <v>25</v>
      </c>
      <c r="AY27" s="362">
        <v>35</v>
      </c>
      <c r="AZ27" s="363">
        <v>18</v>
      </c>
      <c r="BA27" s="363"/>
      <c r="BB27" s="363"/>
      <c r="BC27" s="363">
        <v>1</v>
      </c>
      <c r="BD27" s="363"/>
      <c r="BE27" s="364">
        <f t="shared" si="7"/>
        <v>54</v>
      </c>
      <c r="BF27" s="362">
        <v>7</v>
      </c>
      <c r="BG27" s="363"/>
      <c r="BH27" s="363"/>
      <c r="BI27" s="363"/>
      <c r="BJ27" s="363"/>
      <c r="BK27" s="363"/>
      <c r="BL27" s="364">
        <f t="shared" si="8"/>
        <v>7</v>
      </c>
      <c r="BM27" s="362">
        <v>53</v>
      </c>
      <c r="BN27" s="363">
        <v>14</v>
      </c>
      <c r="BO27" s="363"/>
      <c r="BP27" s="363"/>
      <c r="BQ27" s="363">
        <v>2</v>
      </c>
      <c r="BR27" s="363"/>
      <c r="BS27" s="364">
        <f t="shared" si="9"/>
        <v>69</v>
      </c>
      <c r="BT27" s="362">
        <v>73</v>
      </c>
      <c r="BU27" s="363">
        <v>13</v>
      </c>
      <c r="BV27" s="363"/>
      <c r="BW27" s="363"/>
      <c r="BX27" s="363"/>
      <c r="BY27" s="363"/>
      <c r="BZ27" s="364">
        <f t="shared" si="10"/>
        <v>86</v>
      </c>
      <c r="CA27" s="362"/>
      <c r="CB27" s="363"/>
      <c r="CC27" s="363"/>
      <c r="CD27" s="363"/>
      <c r="CE27" s="363"/>
      <c r="CF27" s="363"/>
      <c r="CG27" s="364">
        <f t="shared" si="11"/>
        <v>0</v>
      </c>
      <c r="CH27" s="362">
        <v>25</v>
      </c>
      <c r="CI27" s="363">
        <v>6</v>
      </c>
      <c r="CJ27" s="363"/>
      <c r="CK27" s="363"/>
      <c r="CL27" s="363"/>
      <c r="CM27" s="363"/>
      <c r="CN27" s="364">
        <f t="shared" si="12"/>
        <v>31</v>
      </c>
      <c r="CO27" s="362">
        <v>104</v>
      </c>
      <c r="CP27" s="363">
        <v>25</v>
      </c>
      <c r="CQ27" s="363"/>
      <c r="CR27" s="363"/>
      <c r="CS27" s="363">
        <v>3</v>
      </c>
      <c r="CT27" s="363">
        <v>1</v>
      </c>
      <c r="CU27" s="364">
        <f t="shared" si="13"/>
        <v>133</v>
      </c>
      <c r="CV27" s="362"/>
      <c r="CW27" s="363"/>
      <c r="CX27" s="363"/>
      <c r="CY27" s="363"/>
      <c r="CZ27" s="363"/>
      <c r="DA27" s="363"/>
      <c r="DB27" s="364">
        <f t="shared" si="14"/>
        <v>0</v>
      </c>
      <c r="DC27" s="362"/>
      <c r="DD27" s="363"/>
      <c r="DE27" s="363"/>
      <c r="DF27" s="363"/>
      <c r="DG27" s="363"/>
      <c r="DH27" s="363"/>
      <c r="DI27" s="364">
        <f t="shared" si="15"/>
        <v>0</v>
      </c>
      <c r="DJ27" s="365"/>
      <c r="DK27" s="366"/>
      <c r="DL27" s="366"/>
      <c r="DM27" s="366"/>
      <c r="DN27" s="366"/>
      <c r="DO27" s="366"/>
      <c r="DP27" s="367">
        <f t="shared" si="16"/>
        <v>0</v>
      </c>
      <c r="DQ27" s="365"/>
      <c r="DR27" s="366"/>
      <c r="DS27" s="366"/>
      <c r="DT27" s="366"/>
      <c r="DU27" s="366"/>
      <c r="DV27" s="366"/>
      <c r="DW27" s="367">
        <f t="shared" si="17"/>
        <v>0</v>
      </c>
      <c r="DX27" s="365"/>
      <c r="DY27" s="366"/>
      <c r="DZ27" s="366"/>
      <c r="EA27" s="366"/>
      <c r="EB27" s="366"/>
      <c r="EC27" s="366"/>
      <c r="ED27" s="367">
        <f t="shared" si="18"/>
        <v>0</v>
      </c>
      <c r="EE27" s="368"/>
      <c r="EF27" s="368"/>
      <c r="EG27" s="368"/>
      <c r="EH27" s="368"/>
      <c r="EI27" s="368"/>
      <c r="EJ27" s="368"/>
      <c r="EK27" s="368"/>
      <c r="EL27" s="365"/>
      <c r="EM27" s="366"/>
      <c r="EN27" s="366"/>
      <c r="EO27" s="366"/>
      <c r="EP27" s="366"/>
      <c r="EQ27" s="366"/>
      <c r="ER27" s="367">
        <f t="shared" si="19"/>
        <v>0</v>
      </c>
      <c r="ES27" s="365"/>
      <c r="ET27" s="366"/>
      <c r="EU27" s="366"/>
      <c r="EV27" s="366"/>
      <c r="EW27" s="366"/>
      <c r="EX27" s="366"/>
      <c r="EY27" s="367">
        <f t="shared" si="20"/>
        <v>0</v>
      </c>
      <c r="EZ27" s="365"/>
      <c r="FA27" s="366"/>
      <c r="FB27" s="366"/>
      <c r="FC27" s="366"/>
      <c r="FD27" s="366"/>
      <c r="FE27" s="366"/>
      <c r="FF27" s="367">
        <f t="shared" si="21"/>
        <v>0</v>
      </c>
      <c r="FG27" s="368"/>
      <c r="FH27" s="368"/>
      <c r="FI27" s="368"/>
      <c r="FJ27" s="368"/>
      <c r="FK27" s="368"/>
      <c r="FL27" s="368"/>
      <c r="FM27" s="368"/>
      <c r="FN27" s="365"/>
      <c r="FO27" s="366"/>
      <c r="FP27" s="366"/>
      <c r="FQ27" s="366"/>
      <c r="FR27" s="366"/>
      <c r="FS27" s="366"/>
      <c r="FT27" s="367">
        <f t="shared" si="22"/>
        <v>0</v>
      </c>
      <c r="FU27" s="365"/>
      <c r="FV27" s="366"/>
      <c r="FW27" s="366"/>
      <c r="FX27" s="366"/>
      <c r="FY27" s="366"/>
      <c r="FZ27" s="366"/>
      <c r="GA27" s="367">
        <f t="shared" si="23"/>
        <v>0</v>
      </c>
      <c r="GB27" s="365"/>
      <c r="GC27" s="366"/>
      <c r="GD27" s="366"/>
      <c r="GE27" s="366"/>
      <c r="GF27" s="366"/>
      <c r="GG27" s="366"/>
      <c r="GH27" s="367">
        <f t="shared" si="24"/>
        <v>0</v>
      </c>
      <c r="GI27" s="368"/>
      <c r="GJ27" s="368"/>
      <c r="GK27" s="368"/>
      <c r="GL27" s="368"/>
      <c r="GM27" s="368"/>
      <c r="GN27" s="368"/>
      <c r="GO27" s="368"/>
      <c r="GP27" s="365"/>
      <c r="GQ27" s="366"/>
      <c r="GR27" s="366"/>
      <c r="GS27" s="366"/>
      <c r="GT27" s="366"/>
      <c r="GU27" s="366"/>
      <c r="GV27" s="367">
        <f t="shared" si="25"/>
        <v>0</v>
      </c>
      <c r="GW27" s="365"/>
      <c r="GX27" s="366"/>
      <c r="GY27" s="366"/>
      <c r="GZ27" s="366"/>
      <c r="HA27" s="366"/>
      <c r="HB27" s="366"/>
      <c r="HC27" s="367">
        <f t="shared" si="26"/>
        <v>0</v>
      </c>
      <c r="HD27" s="365"/>
      <c r="HE27" s="366"/>
      <c r="HF27" s="366"/>
      <c r="HG27" s="366"/>
      <c r="HH27" s="366"/>
      <c r="HI27" s="366"/>
      <c r="HJ27" s="367">
        <f t="shared" si="27"/>
        <v>0</v>
      </c>
    </row>
    <row r="28" spans="1:218" s="369" customFormat="1" ht="21.75" customHeight="1" x14ac:dyDescent="0.6">
      <c r="A28" s="370" t="s">
        <v>83</v>
      </c>
      <c r="B28" s="371">
        <v>22</v>
      </c>
      <c r="C28" s="372">
        <v>7</v>
      </c>
      <c r="D28" s="372"/>
      <c r="E28" s="372"/>
      <c r="F28" s="372">
        <v>1</v>
      </c>
      <c r="G28" s="372"/>
      <c r="H28" s="364">
        <f t="shared" si="0"/>
        <v>30</v>
      </c>
      <c r="I28" s="371">
        <v>52</v>
      </c>
      <c r="J28" s="372">
        <v>14</v>
      </c>
      <c r="K28" s="372"/>
      <c r="L28" s="372"/>
      <c r="M28" s="372"/>
      <c r="N28" s="372"/>
      <c r="O28" s="364">
        <f t="shared" si="1"/>
        <v>66</v>
      </c>
      <c r="P28" s="371">
        <v>24</v>
      </c>
      <c r="Q28" s="372">
        <v>8</v>
      </c>
      <c r="R28" s="372"/>
      <c r="S28" s="372"/>
      <c r="T28" s="372"/>
      <c r="U28" s="372"/>
      <c r="V28" s="364">
        <f t="shared" si="2"/>
        <v>32</v>
      </c>
      <c r="W28" s="371"/>
      <c r="X28" s="372"/>
      <c r="Y28" s="372"/>
      <c r="Z28" s="372"/>
      <c r="AA28" s="372"/>
      <c r="AB28" s="372"/>
      <c r="AC28" s="364">
        <f t="shared" si="3"/>
        <v>0</v>
      </c>
      <c r="AD28" s="371">
        <v>57</v>
      </c>
      <c r="AE28" s="372">
        <v>16</v>
      </c>
      <c r="AF28" s="372">
        <v>1</v>
      </c>
      <c r="AG28" s="372"/>
      <c r="AH28" s="372"/>
      <c r="AI28" s="372"/>
      <c r="AJ28" s="364">
        <f t="shared" si="4"/>
        <v>74</v>
      </c>
      <c r="AK28" s="371">
        <v>150</v>
      </c>
      <c r="AL28" s="372">
        <v>57</v>
      </c>
      <c r="AM28" s="372"/>
      <c r="AN28" s="372">
        <v>1</v>
      </c>
      <c r="AO28" s="372">
        <v>5</v>
      </c>
      <c r="AP28" s="372"/>
      <c r="AQ28" s="364">
        <f t="shared" si="5"/>
        <v>213</v>
      </c>
      <c r="AR28" s="371">
        <v>18</v>
      </c>
      <c r="AS28" s="372">
        <v>6</v>
      </c>
      <c r="AT28" s="372"/>
      <c r="AU28" s="372"/>
      <c r="AV28" s="372"/>
      <c r="AW28" s="372"/>
      <c r="AX28" s="364">
        <f t="shared" si="6"/>
        <v>24</v>
      </c>
      <c r="AY28" s="371">
        <v>47</v>
      </c>
      <c r="AZ28" s="372">
        <v>26</v>
      </c>
      <c r="BA28" s="372"/>
      <c r="BB28" s="372"/>
      <c r="BC28" s="372">
        <v>3</v>
      </c>
      <c r="BD28" s="372"/>
      <c r="BE28" s="364">
        <f t="shared" si="7"/>
        <v>76</v>
      </c>
      <c r="BF28" s="371">
        <v>3</v>
      </c>
      <c r="BG28" s="372"/>
      <c r="BH28" s="372"/>
      <c r="BI28" s="372"/>
      <c r="BJ28" s="372"/>
      <c r="BK28" s="372"/>
      <c r="BL28" s="364">
        <f t="shared" si="8"/>
        <v>3</v>
      </c>
      <c r="BM28" s="371">
        <v>61</v>
      </c>
      <c r="BN28" s="372">
        <v>12</v>
      </c>
      <c r="BO28" s="372"/>
      <c r="BP28" s="372"/>
      <c r="BQ28" s="372"/>
      <c r="BR28" s="372"/>
      <c r="BS28" s="364">
        <f t="shared" si="9"/>
        <v>73</v>
      </c>
      <c r="BT28" s="371">
        <v>78</v>
      </c>
      <c r="BU28" s="372">
        <v>10</v>
      </c>
      <c r="BV28" s="372"/>
      <c r="BW28" s="372"/>
      <c r="BX28" s="372"/>
      <c r="BY28" s="372"/>
      <c r="BZ28" s="364">
        <f t="shared" si="10"/>
        <v>88</v>
      </c>
      <c r="CA28" s="371"/>
      <c r="CB28" s="372"/>
      <c r="CC28" s="372"/>
      <c r="CD28" s="372"/>
      <c r="CE28" s="372"/>
      <c r="CF28" s="372"/>
      <c r="CG28" s="364">
        <f t="shared" si="11"/>
        <v>0</v>
      </c>
      <c r="CH28" s="371">
        <v>17</v>
      </c>
      <c r="CI28" s="372">
        <v>7</v>
      </c>
      <c r="CJ28" s="372"/>
      <c r="CK28" s="372"/>
      <c r="CL28" s="372">
        <v>1</v>
      </c>
      <c r="CM28" s="372"/>
      <c r="CN28" s="364">
        <f t="shared" si="12"/>
        <v>25</v>
      </c>
      <c r="CO28" s="371">
        <v>119</v>
      </c>
      <c r="CP28" s="372">
        <v>19</v>
      </c>
      <c r="CQ28" s="372">
        <v>1</v>
      </c>
      <c r="CR28" s="372"/>
      <c r="CS28" s="372">
        <v>1</v>
      </c>
      <c r="CT28" s="372"/>
      <c r="CU28" s="364">
        <f t="shared" si="13"/>
        <v>140</v>
      </c>
      <c r="CV28" s="371"/>
      <c r="CW28" s="372"/>
      <c r="CX28" s="372"/>
      <c r="CY28" s="372"/>
      <c r="CZ28" s="372"/>
      <c r="DA28" s="372"/>
      <c r="DB28" s="364">
        <f t="shared" si="14"/>
        <v>0</v>
      </c>
      <c r="DC28" s="371"/>
      <c r="DD28" s="372"/>
      <c r="DE28" s="372"/>
      <c r="DF28" s="372"/>
      <c r="DG28" s="372"/>
      <c r="DH28" s="372"/>
      <c r="DI28" s="364">
        <f t="shared" si="15"/>
        <v>0</v>
      </c>
      <c r="DJ28" s="373"/>
      <c r="DK28" s="374"/>
      <c r="DL28" s="374"/>
      <c r="DM28" s="374"/>
      <c r="DN28" s="374"/>
      <c r="DO28" s="374"/>
      <c r="DP28" s="367">
        <f t="shared" si="16"/>
        <v>0</v>
      </c>
      <c r="DQ28" s="373"/>
      <c r="DR28" s="374"/>
      <c r="DS28" s="374"/>
      <c r="DT28" s="374"/>
      <c r="DU28" s="374"/>
      <c r="DV28" s="374"/>
      <c r="DW28" s="367">
        <f t="shared" si="17"/>
        <v>0</v>
      </c>
      <c r="DX28" s="373"/>
      <c r="DY28" s="374"/>
      <c r="DZ28" s="374"/>
      <c r="EA28" s="374"/>
      <c r="EB28" s="374"/>
      <c r="EC28" s="374"/>
      <c r="ED28" s="367">
        <f t="shared" si="18"/>
        <v>0</v>
      </c>
      <c r="EE28" s="375"/>
      <c r="EF28" s="375"/>
      <c r="EG28" s="375"/>
      <c r="EH28" s="375"/>
      <c r="EI28" s="375"/>
      <c r="EJ28" s="375"/>
      <c r="EK28" s="375"/>
      <c r="EL28" s="373"/>
      <c r="EM28" s="374"/>
      <c r="EN28" s="374"/>
      <c r="EO28" s="374"/>
      <c r="EP28" s="374"/>
      <c r="EQ28" s="374"/>
      <c r="ER28" s="367">
        <f t="shared" si="19"/>
        <v>0</v>
      </c>
      <c r="ES28" s="373"/>
      <c r="ET28" s="374"/>
      <c r="EU28" s="374"/>
      <c r="EV28" s="374"/>
      <c r="EW28" s="374"/>
      <c r="EX28" s="374"/>
      <c r="EY28" s="367">
        <f t="shared" si="20"/>
        <v>0</v>
      </c>
      <c r="EZ28" s="373"/>
      <c r="FA28" s="374"/>
      <c r="FB28" s="374"/>
      <c r="FC28" s="374"/>
      <c r="FD28" s="374"/>
      <c r="FE28" s="374"/>
      <c r="FF28" s="367">
        <f t="shared" si="21"/>
        <v>0</v>
      </c>
      <c r="FG28" s="375"/>
      <c r="FH28" s="375"/>
      <c r="FI28" s="375"/>
      <c r="FJ28" s="375"/>
      <c r="FK28" s="375"/>
      <c r="FL28" s="375"/>
      <c r="FM28" s="375"/>
      <c r="FN28" s="373"/>
      <c r="FO28" s="374"/>
      <c r="FP28" s="374"/>
      <c r="FQ28" s="374"/>
      <c r="FR28" s="374"/>
      <c r="FS28" s="374"/>
      <c r="FT28" s="367">
        <f t="shared" si="22"/>
        <v>0</v>
      </c>
      <c r="FU28" s="373"/>
      <c r="FV28" s="374"/>
      <c r="FW28" s="374"/>
      <c r="FX28" s="374"/>
      <c r="FY28" s="374"/>
      <c r="FZ28" s="374"/>
      <c r="GA28" s="367">
        <f t="shared" si="23"/>
        <v>0</v>
      </c>
      <c r="GB28" s="373"/>
      <c r="GC28" s="374"/>
      <c r="GD28" s="374"/>
      <c r="GE28" s="374"/>
      <c r="GF28" s="374"/>
      <c r="GG28" s="374"/>
      <c r="GH28" s="367">
        <f t="shared" si="24"/>
        <v>0</v>
      </c>
      <c r="GI28" s="375"/>
      <c r="GJ28" s="375"/>
      <c r="GK28" s="375"/>
      <c r="GL28" s="375"/>
      <c r="GM28" s="375"/>
      <c r="GN28" s="375"/>
      <c r="GO28" s="375"/>
      <c r="GP28" s="373"/>
      <c r="GQ28" s="374"/>
      <c r="GR28" s="374"/>
      <c r="GS28" s="374"/>
      <c r="GT28" s="374"/>
      <c r="GU28" s="374"/>
      <c r="GV28" s="367">
        <f t="shared" si="25"/>
        <v>0</v>
      </c>
      <c r="GW28" s="373"/>
      <c r="GX28" s="374"/>
      <c r="GY28" s="374"/>
      <c r="GZ28" s="374"/>
      <c r="HA28" s="374"/>
      <c r="HB28" s="374"/>
      <c r="HC28" s="367">
        <f t="shared" si="26"/>
        <v>0</v>
      </c>
      <c r="HD28" s="373"/>
      <c r="HE28" s="374"/>
      <c r="HF28" s="374"/>
      <c r="HG28" s="374"/>
      <c r="HH28" s="374"/>
      <c r="HI28" s="374"/>
      <c r="HJ28" s="367">
        <f t="shared" si="27"/>
        <v>0</v>
      </c>
    </row>
    <row r="29" spans="1:218" s="369" customFormat="1" ht="21.75" customHeight="1" x14ac:dyDescent="0.6">
      <c r="A29" s="370" t="s">
        <v>84</v>
      </c>
      <c r="B29" s="371">
        <v>31</v>
      </c>
      <c r="C29" s="372">
        <v>5</v>
      </c>
      <c r="D29" s="372"/>
      <c r="E29" s="372"/>
      <c r="F29" s="372"/>
      <c r="G29" s="372"/>
      <c r="H29" s="364">
        <f t="shared" si="0"/>
        <v>36</v>
      </c>
      <c r="I29" s="371">
        <v>41</v>
      </c>
      <c r="J29" s="372">
        <v>15</v>
      </c>
      <c r="K29" s="372"/>
      <c r="L29" s="372"/>
      <c r="M29" s="372"/>
      <c r="N29" s="372"/>
      <c r="O29" s="364">
        <f t="shared" si="1"/>
        <v>56</v>
      </c>
      <c r="P29" s="371">
        <v>19</v>
      </c>
      <c r="Q29" s="372">
        <v>13</v>
      </c>
      <c r="R29" s="372"/>
      <c r="S29" s="372"/>
      <c r="T29" s="372">
        <v>2</v>
      </c>
      <c r="U29" s="372"/>
      <c r="V29" s="364">
        <f t="shared" si="2"/>
        <v>34</v>
      </c>
      <c r="W29" s="371"/>
      <c r="X29" s="372"/>
      <c r="Y29" s="372"/>
      <c r="Z29" s="372"/>
      <c r="AA29" s="372"/>
      <c r="AB29" s="372"/>
      <c r="AC29" s="364">
        <f t="shared" si="3"/>
        <v>0</v>
      </c>
      <c r="AD29" s="371">
        <v>49</v>
      </c>
      <c r="AE29" s="372">
        <v>13</v>
      </c>
      <c r="AF29" s="372"/>
      <c r="AG29" s="372"/>
      <c r="AH29" s="372"/>
      <c r="AI29" s="372"/>
      <c r="AJ29" s="364">
        <f t="shared" si="4"/>
        <v>62</v>
      </c>
      <c r="AK29" s="371">
        <v>136</v>
      </c>
      <c r="AL29" s="372">
        <v>60</v>
      </c>
      <c r="AM29" s="372"/>
      <c r="AN29" s="372"/>
      <c r="AO29" s="372">
        <v>5</v>
      </c>
      <c r="AP29" s="372">
        <v>1</v>
      </c>
      <c r="AQ29" s="364">
        <f t="shared" si="5"/>
        <v>202</v>
      </c>
      <c r="AR29" s="371">
        <v>20</v>
      </c>
      <c r="AS29" s="372">
        <v>6</v>
      </c>
      <c r="AT29" s="372"/>
      <c r="AU29" s="372"/>
      <c r="AV29" s="372">
        <v>1</v>
      </c>
      <c r="AW29" s="372"/>
      <c r="AX29" s="364">
        <f t="shared" si="6"/>
        <v>27</v>
      </c>
      <c r="AY29" s="371">
        <v>42</v>
      </c>
      <c r="AZ29" s="372">
        <v>15</v>
      </c>
      <c r="BA29" s="372"/>
      <c r="BB29" s="372"/>
      <c r="BC29" s="372"/>
      <c r="BD29" s="372"/>
      <c r="BE29" s="364">
        <f t="shared" si="7"/>
        <v>57</v>
      </c>
      <c r="BF29" s="371">
        <v>2</v>
      </c>
      <c r="BG29" s="372">
        <v>1</v>
      </c>
      <c r="BH29" s="372"/>
      <c r="BI29" s="372"/>
      <c r="BJ29" s="372">
        <v>1</v>
      </c>
      <c r="BK29" s="372"/>
      <c r="BL29" s="364">
        <f t="shared" si="8"/>
        <v>4</v>
      </c>
      <c r="BM29" s="371">
        <v>54</v>
      </c>
      <c r="BN29" s="372">
        <v>11</v>
      </c>
      <c r="BO29" s="372"/>
      <c r="BP29" s="372"/>
      <c r="BQ29" s="372"/>
      <c r="BR29" s="372"/>
      <c r="BS29" s="364">
        <f t="shared" si="9"/>
        <v>65</v>
      </c>
      <c r="BT29" s="371">
        <v>52</v>
      </c>
      <c r="BU29" s="372">
        <v>5</v>
      </c>
      <c r="BV29" s="372"/>
      <c r="BW29" s="372"/>
      <c r="BX29" s="372"/>
      <c r="BY29" s="372"/>
      <c r="BZ29" s="364">
        <f t="shared" si="10"/>
        <v>57</v>
      </c>
      <c r="CA29" s="371"/>
      <c r="CB29" s="372"/>
      <c r="CC29" s="372"/>
      <c r="CD29" s="372"/>
      <c r="CE29" s="372"/>
      <c r="CF29" s="372"/>
      <c r="CG29" s="364">
        <f t="shared" si="11"/>
        <v>0</v>
      </c>
      <c r="CH29" s="371">
        <v>23</v>
      </c>
      <c r="CI29" s="372">
        <v>7</v>
      </c>
      <c r="CJ29" s="372"/>
      <c r="CK29" s="372"/>
      <c r="CL29" s="372"/>
      <c r="CM29" s="372">
        <v>1</v>
      </c>
      <c r="CN29" s="364">
        <f t="shared" si="12"/>
        <v>31</v>
      </c>
      <c r="CO29" s="371">
        <v>88</v>
      </c>
      <c r="CP29" s="372">
        <v>26</v>
      </c>
      <c r="CQ29" s="372">
        <v>1</v>
      </c>
      <c r="CR29" s="372"/>
      <c r="CS29" s="372">
        <v>1</v>
      </c>
      <c r="CT29" s="372"/>
      <c r="CU29" s="364">
        <f t="shared" si="13"/>
        <v>116</v>
      </c>
      <c r="CV29" s="371"/>
      <c r="CW29" s="372"/>
      <c r="CX29" s="372"/>
      <c r="CY29" s="372"/>
      <c r="CZ29" s="372"/>
      <c r="DA29" s="372"/>
      <c r="DB29" s="364">
        <f t="shared" si="14"/>
        <v>0</v>
      </c>
      <c r="DC29" s="371"/>
      <c r="DD29" s="372"/>
      <c r="DE29" s="372"/>
      <c r="DF29" s="372"/>
      <c r="DG29" s="372"/>
      <c r="DH29" s="372"/>
      <c r="DI29" s="364">
        <f t="shared" si="15"/>
        <v>0</v>
      </c>
      <c r="DJ29" s="373"/>
      <c r="DK29" s="374"/>
      <c r="DL29" s="374"/>
      <c r="DM29" s="374"/>
      <c r="DN29" s="374"/>
      <c r="DO29" s="374"/>
      <c r="DP29" s="367">
        <f t="shared" si="16"/>
        <v>0</v>
      </c>
      <c r="DQ29" s="373"/>
      <c r="DR29" s="374"/>
      <c r="DS29" s="374"/>
      <c r="DT29" s="374"/>
      <c r="DU29" s="374"/>
      <c r="DV29" s="374"/>
      <c r="DW29" s="367">
        <f t="shared" si="17"/>
        <v>0</v>
      </c>
      <c r="DX29" s="373"/>
      <c r="DY29" s="374"/>
      <c r="DZ29" s="374"/>
      <c r="EA29" s="374"/>
      <c r="EB29" s="374"/>
      <c r="EC29" s="374"/>
      <c r="ED29" s="367">
        <f t="shared" si="18"/>
        <v>0</v>
      </c>
      <c r="EE29" s="375"/>
      <c r="EF29" s="375"/>
      <c r="EG29" s="375"/>
      <c r="EH29" s="375"/>
      <c r="EI29" s="375"/>
      <c r="EJ29" s="375"/>
      <c r="EK29" s="375"/>
      <c r="EL29" s="373"/>
      <c r="EM29" s="374"/>
      <c r="EN29" s="374"/>
      <c r="EO29" s="374"/>
      <c r="EP29" s="374"/>
      <c r="EQ29" s="374"/>
      <c r="ER29" s="367">
        <f t="shared" si="19"/>
        <v>0</v>
      </c>
      <c r="ES29" s="373"/>
      <c r="ET29" s="374"/>
      <c r="EU29" s="374"/>
      <c r="EV29" s="374"/>
      <c r="EW29" s="374"/>
      <c r="EX29" s="374"/>
      <c r="EY29" s="367">
        <f t="shared" si="20"/>
        <v>0</v>
      </c>
      <c r="EZ29" s="373"/>
      <c r="FA29" s="374"/>
      <c r="FB29" s="374"/>
      <c r="FC29" s="374"/>
      <c r="FD29" s="374"/>
      <c r="FE29" s="374"/>
      <c r="FF29" s="367">
        <f t="shared" si="21"/>
        <v>0</v>
      </c>
      <c r="FG29" s="375"/>
      <c r="FH29" s="375"/>
      <c r="FI29" s="375"/>
      <c r="FJ29" s="375"/>
      <c r="FK29" s="375"/>
      <c r="FL29" s="375"/>
      <c r="FM29" s="375"/>
      <c r="FN29" s="373"/>
      <c r="FO29" s="374"/>
      <c r="FP29" s="374"/>
      <c r="FQ29" s="374"/>
      <c r="FR29" s="374"/>
      <c r="FS29" s="374"/>
      <c r="FT29" s="367">
        <f t="shared" si="22"/>
        <v>0</v>
      </c>
      <c r="FU29" s="373"/>
      <c r="FV29" s="374"/>
      <c r="FW29" s="374"/>
      <c r="FX29" s="374"/>
      <c r="FY29" s="374"/>
      <c r="FZ29" s="374"/>
      <c r="GA29" s="367">
        <f t="shared" si="23"/>
        <v>0</v>
      </c>
      <c r="GB29" s="373"/>
      <c r="GC29" s="374"/>
      <c r="GD29" s="374"/>
      <c r="GE29" s="374"/>
      <c r="GF29" s="374"/>
      <c r="GG29" s="374"/>
      <c r="GH29" s="367">
        <f t="shared" si="24"/>
        <v>0</v>
      </c>
      <c r="GI29" s="375"/>
      <c r="GJ29" s="375"/>
      <c r="GK29" s="375"/>
      <c r="GL29" s="375"/>
      <c r="GM29" s="375"/>
      <c r="GN29" s="375"/>
      <c r="GO29" s="375"/>
      <c r="GP29" s="373"/>
      <c r="GQ29" s="374"/>
      <c r="GR29" s="374"/>
      <c r="GS29" s="374"/>
      <c r="GT29" s="374"/>
      <c r="GU29" s="374"/>
      <c r="GV29" s="367">
        <f t="shared" si="25"/>
        <v>0</v>
      </c>
      <c r="GW29" s="373"/>
      <c r="GX29" s="374"/>
      <c r="GY29" s="374"/>
      <c r="GZ29" s="374"/>
      <c r="HA29" s="374"/>
      <c r="HB29" s="374"/>
      <c r="HC29" s="367">
        <f t="shared" si="26"/>
        <v>0</v>
      </c>
      <c r="HD29" s="373"/>
      <c r="HE29" s="374"/>
      <c r="HF29" s="374"/>
      <c r="HG29" s="374"/>
      <c r="HH29" s="374"/>
      <c r="HI29" s="374"/>
      <c r="HJ29" s="367">
        <f t="shared" si="27"/>
        <v>0</v>
      </c>
    </row>
    <row r="30" spans="1:218" s="369" customFormat="1" ht="21.75" customHeight="1" x14ac:dyDescent="0.6">
      <c r="A30" s="376" t="s">
        <v>85</v>
      </c>
      <c r="B30" s="377">
        <v>26</v>
      </c>
      <c r="C30" s="378">
        <v>5</v>
      </c>
      <c r="D30" s="378"/>
      <c r="E30" s="378"/>
      <c r="F30" s="378"/>
      <c r="G30" s="378">
        <v>1</v>
      </c>
      <c r="H30" s="364">
        <f t="shared" si="0"/>
        <v>32</v>
      </c>
      <c r="I30" s="377">
        <v>37</v>
      </c>
      <c r="J30" s="378">
        <v>10</v>
      </c>
      <c r="K30" s="378"/>
      <c r="L30" s="378"/>
      <c r="M30" s="378"/>
      <c r="N30" s="378"/>
      <c r="O30" s="364">
        <f t="shared" si="1"/>
        <v>47</v>
      </c>
      <c r="P30" s="377">
        <v>23</v>
      </c>
      <c r="Q30" s="378">
        <v>5</v>
      </c>
      <c r="R30" s="378"/>
      <c r="S30" s="378"/>
      <c r="T30" s="378"/>
      <c r="U30" s="378"/>
      <c r="V30" s="364">
        <f t="shared" si="2"/>
        <v>28</v>
      </c>
      <c r="W30" s="377"/>
      <c r="X30" s="378"/>
      <c r="Y30" s="378"/>
      <c r="Z30" s="378"/>
      <c r="AA30" s="378"/>
      <c r="AB30" s="378"/>
      <c r="AC30" s="364">
        <f t="shared" si="3"/>
        <v>0</v>
      </c>
      <c r="AD30" s="377">
        <v>41</v>
      </c>
      <c r="AE30" s="378">
        <v>18</v>
      </c>
      <c r="AF30" s="378"/>
      <c r="AG30" s="378"/>
      <c r="AH30" s="378"/>
      <c r="AI30" s="378"/>
      <c r="AJ30" s="364">
        <f t="shared" si="4"/>
        <v>59</v>
      </c>
      <c r="AK30" s="377">
        <v>162</v>
      </c>
      <c r="AL30" s="378">
        <v>42</v>
      </c>
      <c r="AM30" s="378">
        <v>1</v>
      </c>
      <c r="AN30" s="378"/>
      <c r="AO30" s="378">
        <v>6</v>
      </c>
      <c r="AP30" s="378"/>
      <c r="AQ30" s="364">
        <f t="shared" si="5"/>
        <v>211</v>
      </c>
      <c r="AR30" s="377">
        <v>15</v>
      </c>
      <c r="AS30" s="378">
        <v>5</v>
      </c>
      <c r="AT30" s="378"/>
      <c r="AU30" s="378"/>
      <c r="AV30" s="378"/>
      <c r="AW30" s="378"/>
      <c r="AX30" s="364">
        <f t="shared" si="6"/>
        <v>20</v>
      </c>
      <c r="AY30" s="377">
        <v>63</v>
      </c>
      <c r="AZ30" s="378">
        <v>17</v>
      </c>
      <c r="BA30" s="378"/>
      <c r="BB30" s="378"/>
      <c r="BC30" s="378">
        <v>2</v>
      </c>
      <c r="BD30" s="378">
        <v>1</v>
      </c>
      <c r="BE30" s="364">
        <f t="shared" si="7"/>
        <v>83</v>
      </c>
      <c r="BF30" s="377">
        <v>6</v>
      </c>
      <c r="BG30" s="378"/>
      <c r="BH30" s="378"/>
      <c r="BI30" s="378"/>
      <c r="BJ30" s="378"/>
      <c r="BK30" s="378"/>
      <c r="BL30" s="364">
        <f t="shared" si="8"/>
        <v>6</v>
      </c>
      <c r="BM30" s="377">
        <v>50</v>
      </c>
      <c r="BN30" s="378">
        <v>15</v>
      </c>
      <c r="BO30" s="378"/>
      <c r="BP30" s="378"/>
      <c r="BQ30" s="378">
        <v>1</v>
      </c>
      <c r="BR30" s="378"/>
      <c r="BS30" s="364">
        <f t="shared" si="9"/>
        <v>66</v>
      </c>
      <c r="BT30" s="377">
        <v>65</v>
      </c>
      <c r="BU30" s="378">
        <v>15</v>
      </c>
      <c r="BV30" s="378"/>
      <c r="BW30" s="378"/>
      <c r="BX30" s="378"/>
      <c r="BY30" s="378"/>
      <c r="BZ30" s="364">
        <f t="shared" si="10"/>
        <v>80</v>
      </c>
      <c r="CA30" s="377"/>
      <c r="CB30" s="378"/>
      <c r="CC30" s="378"/>
      <c r="CD30" s="378"/>
      <c r="CE30" s="378"/>
      <c r="CF30" s="378"/>
      <c r="CG30" s="364">
        <f t="shared" si="11"/>
        <v>0</v>
      </c>
      <c r="CH30" s="377">
        <v>20</v>
      </c>
      <c r="CI30" s="378">
        <v>6</v>
      </c>
      <c r="CJ30" s="378"/>
      <c r="CK30" s="378"/>
      <c r="CL30" s="378"/>
      <c r="CM30" s="378"/>
      <c r="CN30" s="364">
        <f t="shared" si="12"/>
        <v>26</v>
      </c>
      <c r="CO30" s="377">
        <v>94</v>
      </c>
      <c r="CP30" s="378">
        <v>24</v>
      </c>
      <c r="CQ30" s="378"/>
      <c r="CR30" s="378"/>
      <c r="CS30" s="378">
        <v>2</v>
      </c>
      <c r="CT30" s="378">
        <v>2</v>
      </c>
      <c r="CU30" s="364">
        <f t="shared" si="13"/>
        <v>122</v>
      </c>
      <c r="CV30" s="377"/>
      <c r="CW30" s="378"/>
      <c r="CX30" s="378"/>
      <c r="CY30" s="378"/>
      <c r="CZ30" s="378"/>
      <c r="DA30" s="378"/>
      <c r="DB30" s="364">
        <f t="shared" si="14"/>
        <v>0</v>
      </c>
      <c r="DC30" s="377"/>
      <c r="DD30" s="378"/>
      <c r="DE30" s="378"/>
      <c r="DF30" s="378"/>
      <c r="DG30" s="378"/>
      <c r="DH30" s="378"/>
      <c r="DI30" s="364">
        <f t="shared" si="15"/>
        <v>0</v>
      </c>
      <c r="DJ30" s="379"/>
      <c r="DK30" s="380"/>
      <c r="DL30" s="380"/>
      <c r="DM30" s="380"/>
      <c r="DN30" s="380"/>
      <c r="DO30" s="380"/>
      <c r="DP30" s="367">
        <f t="shared" si="16"/>
        <v>0</v>
      </c>
      <c r="DQ30" s="379"/>
      <c r="DR30" s="380"/>
      <c r="DS30" s="380"/>
      <c r="DT30" s="380"/>
      <c r="DU30" s="380"/>
      <c r="DV30" s="380"/>
      <c r="DW30" s="367">
        <f t="shared" si="17"/>
        <v>0</v>
      </c>
      <c r="DX30" s="379"/>
      <c r="DY30" s="380"/>
      <c r="DZ30" s="380"/>
      <c r="EA30" s="380"/>
      <c r="EB30" s="380"/>
      <c r="EC30" s="380"/>
      <c r="ED30" s="367">
        <f t="shared" si="18"/>
        <v>0</v>
      </c>
      <c r="EE30" s="375"/>
      <c r="EF30" s="375"/>
      <c r="EG30" s="375"/>
      <c r="EH30" s="375"/>
      <c r="EI30" s="375"/>
      <c r="EJ30" s="375"/>
      <c r="EK30" s="375"/>
      <c r="EL30" s="379"/>
      <c r="EM30" s="380"/>
      <c r="EN30" s="380"/>
      <c r="EO30" s="380"/>
      <c r="EP30" s="380"/>
      <c r="EQ30" s="380"/>
      <c r="ER30" s="367">
        <f t="shared" si="19"/>
        <v>0</v>
      </c>
      <c r="ES30" s="379"/>
      <c r="ET30" s="380"/>
      <c r="EU30" s="380"/>
      <c r="EV30" s="380"/>
      <c r="EW30" s="380"/>
      <c r="EX30" s="380"/>
      <c r="EY30" s="367">
        <f t="shared" si="20"/>
        <v>0</v>
      </c>
      <c r="EZ30" s="379"/>
      <c r="FA30" s="380"/>
      <c r="FB30" s="380"/>
      <c r="FC30" s="380"/>
      <c r="FD30" s="380"/>
      <c r="FE30" s="380"/>
      <c r="FF30" s="367">
        <f t="shared" si="21"/>
        <v>0</v>
      </c>
      <c r="FG30" s="375"/>
      <c r="FH30" s="375"/>
      <c r="FI30" s="375"/>
      <c r="FJ30" s="375"/>
      <c r="FK30" s="375"/>
      <c r="FL30" s="375"/>
      <c r="FM30" s="375"/>
      <c r="FN30" s="379"/>
      <c r="FO30" s="380"/>
      <c r="FP30" s="380"/>
      <c r="FQ30" s="380"/>
      <c r="FR30" s="380"/>
      <c r="FS30" s="380"/>
      <c r="FT30" s="367">
        <f t="shared" si="22"/>
        <v>0</v>
      </c>
      <c r="FU30" s="379"/>
      <c r="FV30" s="380"/>
      <c r="FW30" s="380"/>
      <c r="FX30" s="380"/>
      <c r="FY30" s="380"/>
      <c r="FZ30" s="380"/>
      <c r="GA30" s="367">
        <f t="shared" si="23"/>
        <v>0</v>
      </c>
      <c r="GB30" s="379"/>
      <c r="GC30" s="380"/>
      <c r="GD30" s="380"/>
      <c r="GE30" s="380"/>
      <c r="GF30" s="380"/>
      <c r="GG30" s="380"/>
      <c r="GH30" s="367">
        <f t="shared" si="24"/>
        <v>0</v>
      </c>
      <c r="GI30" s="375"/>
      <c r="GJ30" s="375"/>
      <c r="GK30" s="375"/>
      <c r="GL30" s="375"/>
      <c r="GM30" s="375"/>
      <c r="GN30" s="375"/>
      <c r="GO30" s="375"/>
      <c r="GP30" s="379"/>
      <c r="GQ30" s="380"/>
      <c r="GR30" s="380"/>
      <c r="GS30" s="380"/>
      <c r="GT30" s="380"/>
      <c r="GU30" s="380"/>
      <c r="GV30" s="367">
        <f t="shared" si="25"/>
        <v>0</v>
      </c>
      <c r="GW30" s="379"/>
      <c r="GX30" s="380"/>
      <c r="GY30" s="380"/>
      <c r="GZ30" s="380"/>
      <c r="HA30" s="380"/>
      <c r="HB30" s="380"/>
      <c r="HC30" s="367">
        <f t="shared" si="26"/>
        <v>0</v>
      </c>
      <c r="HD30" s="379"/>
      <c r="HE30" s="380"/>
      <c r="HF30" s="380"/>
      <c r="HG30" s="380"/>
      <c r="HH30" s="380"/>
      <c r="HI30" s="380"/>
      <c r="HJ30" s="367">
        <f t="shared" si="27"/>
        <v>0</v>
      </c>
    </row>
    <row r="31" spans="1:218" s="369" customFormat="1" ht="21.75" customHeight="1" x14ac:dyDescent="0.6">
      <c r="A31" s="361" t="s">
        <v>86</v>
      </c>
      <c r="B31" s="362">
        <v>37</v>
      </c>
      <c r="C31" s="363">
        <v>9</v>
      </c>
      <c r="D31" s="363"/>
      <c r="E31" s="363"/>
      <c r="F31" s="363">
        <v>1</v>
      </c>
      <c r="G31" s="363"/>
      <c r="H31" s="364">
        <f t="shared" si="0"/>
        <v>47</v>
      </c>
      <c r="I31" s="362">
        <v>38</v>
      </c>
      <c r="J31" s="363">
        <v>8</v>
      </c>
      <c r="K31" s="363"/>
      <c r="L31" s="363"/>
      <c r="M31" s="363"/>
      <c r="N31" s="363"/>
      <c r="O31" s="364">
        <f t="shared" si="1"/>
        <v>46</v>
      </c>
      <c r="P31" s="362">
        <v>21</v>
      </c>
      <c r="Q31" s="363">
        <v>10</v>
      </c>
      <c r="R31" s="363"/>
      <c r="S31" s="363"/>
      <c r="T31" s="363"/>
      <c r="U31" s="363"/>
      <c r="V31" s="364">
        <f t="shared" si="2"/>
        <v>31</v>
      </c>
      <c r="W31" s="362"/>
      <c r="X31" s="363"/>
      <c r="Y31" s="363"/>
      <c r="Z31" s="363"/>
      <c r="AA31" s="363"/>
      <c r="AB31" s="363"/>
      <c r="AC31" s="364">
        <f t="shared" si="3"/>
        <v>0</v>
      </c>
      <c r="AD31" s="362">
        <v>52</v>
      </c>
      <c r="AE31" s="363">
        <v>12</v>
      </c>
      <c r="AF31" s="363"/>
      <c r="AG31" s="363"/>
      <c r="AH31" s="363"/>
      <c r="AI31" s="363"/>
      <c r="AJ31" s="364">
        <f t="shared" si="4"/>
        <v>64</v>
      </c>
      <c r="AK31" s="362">
        <v>145</v>
      </c>
      <c r="AL31" s="363">
        <v>50</v>
      </c>
      <c r="AM31" s="363"/>
      <c r="AN31" s="363">
        <v>1</v>
      </c>
      <c r="AO31" s="363">
        <v>4</v>
      </c>
      <c r="AP31" s="363"/>
      <c r="AQ31" s="364">
        <f t="shared" si="5"/>
        <v>200</v>
      </c>
      <c r="AR31" s="362">
        <v>19</v>
      </c>
      <c r="AS31" s="363">
        <v>9</v>
      </c>
      <c r="AT31" s="363"/>
      <c r="AU31" s="363"/>
      <c r="AV31" s="363"/>
      <c r="AW31" s="363"/>
      <c r="AX31" s="364">
        <f t="shared" si="6"/>
        <v>28</v>
      </c>
      <c r="AY31" s="362">
        <v>52</v>
      </c>
      <c r="AZ31" s="363">
        <v>13</v>
      </c>
      <c r="BA31" s="363"/>
      <c r="BB31" s="363"/>
      <c r="BC31" s="363"/>
      <c r="BD31" s="363">
        <v>1</v>
      </c>
      <c r="BE31" s="364">
        <f t="shared" si="7"/>
        <v>66</v>
      </c>
      <c r="BF31" s="362">
        <v>2</v>
      </c>
      <c r="BG31" s="363"/>
      <c r="BH31" s="363"/>
      <c r="BI31" s="363"/>
      <c r="BJ31" s="363"/>
      <c r="BK31" s="363"/>
      <c r="BL31" s="364">
        <f t="shared" si="8"/>
        <v>2</v>
      </c>
      <c r="BM31" s="362">
        <v>61</v>
      </c>
      <c r="BN31" s="363">
        <v>14</v>
      </c>
      <c r="BO31" s="363"/>
      <c r="BP31" s="363"/>
      <c r="BQ31" s="363"/>
      <c r="BR31" s="363"/>
      <c r="BS31" s="364">
        <f t="shared" si="9"/>
        <v>75</v>
      </c>
      <c r="BT31" s="362">
        <v>63</v>
      </c>
      <c r="BU31" s="363">
        <v>12</v>
      </c>
      <c r="BV31" s="363"/>
      <c r="BW31" s="363"/>
      <c r="BX31" s="363"/>
      <c r="BY31" s="363"/>
      <c r="BZ31" s="364">
        <f t="shared" si="10"/>
        <v>75</v>
      </c>
      <c r="CA31" s="362"/>
      <c r="CB31" s="363"/>
      <c r="CC31" s="363"/>
      <c r="CD31" s="363"/>
      <c r="CE31" s="363"/>
      <c r="CF31" s="363"/>
      <c r="CG31" s="364">
        <f t="shared" si="11"/>
        <v>0</v>
      </c>
      <c r="CH31" s="362">
        <v>18</v>
      </c>
      <c r="CI31" s="363">
        <v>8</v>
      </c>
      <c r="CJ31" s="363"/>
      <c r="CK31" s="363"/>
      <c r="CL31" s="363">
        <v>1</v>
      </c>
      <c r="CM31" s="363"/>
      <c r="CN31" s="364">
        <f t="shared" si="12"/>
        <v>27</v>
      </c>
      <c r="CO31" s="362">
        <v>103</v>
      </c>
      <c r="CP31" s="363">
        <v>22</v>
      </c>
      <c r="CQ31" s="363"/>
      <c r="CR31" s="363"/>
      <c r="CS31" s="363"/>
      <c r="CT31" s="363"/>
      <c r="CU31" s="364">
        <f t="shared" si="13"/>
        <v>125</v>
      </c>
      <c r="CV31" s="362"/>
      <c r="CW31" s="363"/>
      <c r="CX31" s="363"/>
      <c r="CY31" s="363"/>
      <c r="CZ31" s="363"/>
      <c r="DA31" s="363"/>
      <c r="DB31" s="364">
        <f t="shared" si="14"/>
        <v>0</v>
      </c>
      <c r="DC31" s="362"/>
      <c r="DD31" s="363"/>
      <c r="DE31" s="363"/>
      <c r="DF31" s="363"/>
      <c r="DG31" s="363"/>
      <c r="DH31" s="363"/>
      <c r="DI31" s="364">
        <f t="shared" si="15"/>
        <v>0</v>
      </c>
      <c r="DJ31" s="365"/>
      <c r="DK31" s="366"/>
      <c r="DL31" s="366"/>
      <c r="DM31" s="366"/>
      <c r="DN31" s="366"/>
      <c r="DO31" s="366"/>
      <c r="DP31" s="367">
        <f t="shared" si="16"/>
        <v>0</v>
      </c>
      <c r="DQ31" s="365"/>
      <c r="DR31" s="366"/>
      <c r="DS31" s="366"/>
      <c r="DT31" s="366"/>
      <c r="DU31" s="366"/>
      <c r="DV31" s="366"/>
      <c r="DW31" s="367">
        <f t="shared" si="17"/>
        <v>0</v>
      </c>
      <c r="DX31" s="365"/>
      <c r="DY31" s="366"/>
      <c r="DZ31" s="366"/>
      <c r="EA31" s="366"/>
      <c r="EB31" s="366"/>
      <c r="EC31" s="366"/>
      <c r="ED31" s="367">
        <f t="shared" si="18"/>
        <v>0</v>
      </c>
      <c r="EE31" s="368"/>
      <c r="EF31" s="368"/>
      <c r="EG31" s="368"/>
      <c r="EH31" s="368"/>
      <c r="EI31" s="368"/>
      <c r="EJ31" s="368"/>
      <c r="EK31" s="368"/>
      <c r="EL31" s="365"/>
      <c r="EM31" s="366"/>
      <c r="EN31" s="366"/>
      <c r="EO31" s="366"/>
      <c r="EP31" s="366"/>
      <c r="EQ31" s="366"/>
      <c r="ER31" s="367">
        <f t="shared" si="19"/>
        <v>0</v>
      </c>
      <c r="ES31" s="365"/>
      <c r="ET31" s="366"/>
      <c r="EU31" s="366"/>
      <c r="EV31" s="366"/>
      <c r="EW31" s="366"/>
      <c r="EX31" s="366"/>
      <c r="EY31" s="367">
        <f t="shared" si="20"/>
        <v>0</v>
      </c>
      <c r="EZ31" s="365"/>
      <c r="FA31" s="366"/>
      <c r="FB31" s="366"/>
      <c r="FC31" s="366"/>
      <c r="FD31" s="366"/>
      <c r="FE31" s="366"/>
      <c r="FF31" s="367">
        <f t="shared" si="21"/>
        <v>0</v>
      </c>
      <c r="FG31" s="368"/>
      <c r="FH31" s="368"/>
      <c r="FI31" s="368"/>
      <c r="FJ31" s="368"/>
      <c r="FK31" s="368"/>
      <c r="FL31" s="368"/>
      <c r="FM31" s="368"/>
      <c r="FN31" s="365"/>
      <c r="FO31" s="366"/>
      <c r="FP31" s="366"/>
      <c r="FQ31" s="366"/>
      <c r="FR31" s="366"/>
      <c r="FS31" s="366"/>
      <c r="FT31" s="367">
        <f t="shared" si="22"/>
        <v>0</v>
      </c>
      <c r="FU31" s="365"/>
      <c r="FV31" s="366"/>
      <c r="FW31" s="366"/>
      <c r="FX31" s="366"/>
      <c r="FY31" s="366"/>
      <c r="FZ31" s="366"/>
      <c r="GA31" s="367">
        <f t="shared" si="23"/>
        <v>0</v>
      </c>
      <c r="GB31" s="365"/>
      <c r="GC31" s="366"/>
      <c r="GD31" s="366"/>
      <c r="GE31" s="366"/>
      <c r="GF31" s="366"/>
      <c r="GG31" s="366"/>
      <c r="GH31" s="367">
        <f t="shared" si="24"/>
        <v>0</v>
      </c>
      <c r="GI31" s="368"/>
      <c r="GJ31" s="368"/>
      <c r="GK31" s="368"/>
      <c r="GL31" s="368"/>
      <c r="GM31" s="368"/>
      <c r="GN31" s="368"/>
      <c r="GO31" s="368"/>
      <c r="GP31" s="365"/>
      <c r="GQ31" s="366"/>
      <c r="GR31" s="366"/>
      <c r="GS31" s="366"/>
      <c r="GT31" s="366"/>
      <c r="GU31" s="366"/>
      <c r="GV31" s="367">
        <f t="shared" si="25"/>
        <v>0</v>
      </c>
      <c r="GW31" s="365"/>
      <c r="GX31" s="366"/>
      <c r="GY31" s="366"/>
      <c r="GZ31" s="366"/>
      <c r="HA31" s="366"/>
      <c r="HB31" s="366"/>
      <c r="HC31" s="367">
        <f t="shared" si="26"/>
        <v>0</v>
      </c>
      <c r="HD31" s="365"/>
      <c r="HE31" s="366"/>
      <c r="HF31" s="366"/>
      <c r="HG31" s="366"/>
      <c r="HH31" s="366"/>
      <c r="HI31" s="366"/>
      <c r="HJ31" s="367">
        <f t="shared" si="27"/>
        <v>0</v>
      </c>
    </row>
    <row r="32" spans="1:218" s="369" customFormat="1" ht="21.75" customHeight="1" x14ac:dyDescent="0.6">
      <c r="A32" s="370" t="s">
        <v>87</v>
      </c>
      <c r="B32" s="371">
        <v>41</v>
      </c>
      <c r="C32" s="372">
        <v>6</v>
      </c>
      <c r="D32" s="372"/>
      <c r="E32" s="372"/>
      <c r="F32" s="372"/>
      <c r="G32" s="372"/>
      <c r="H32" s="364">
        <f t="shared" si="0"/>
        <v>47</v>
      </c>
      <c r="I32" s="371">
        <v>42</v>
      </c>
      <c r="J32" s="372">
        <v>9</v>
      </c>
      <c r="K32" s="372"/>
      <c r="L32" s="372"/>
      <c r="M32" s="372">
        <v>1</v>
      </c>
      <c r="N32" s="372"/>
      <c r="O32" s="364">
        <f t="shared" si="1"/>
        <v>52</v>
      </c>
      <c r="P32" s="371">
        <v>17</v>
      </c>
      <c r="Q32" s="372">
        <v>6</v>
      </c>
      <c r="R32" s="372"/>
      <c r="S32" s="372"/>
      <c r="T32" s="372"/>
      <c r="U32" s="372"/>
      <c r="V32" s="364">
        <f t="shared" si="2"/>
        <v>23</v>
      </c>
      <c r="W32" s="371"/>
      <c r="X32" s="372"/>
      <c r="Y32" s="372"/>
      <c r="Z32" s="372"/>
      <c r="AA32" s="372"/>
      <c r="AB32" s="372"/>
      <c r="AC32" s="364">
        <f t="shared" si="3"/>
        <v>0</v>
      </c>
      <c r="AD32" s="371">
        <v>39</v>
      </c>
      <c r="AE32" s="372">
        <v>17</v>
      </c>
      <c r="AF32" s="372"/>
      <c r="AG32" s="372"/>
      <c r="AH32" s="372"/>
      <c r="AI32" s="372"/>
      <c r="AJ32" s="364">
        <f t="shared" si="4"/>
        <v>56</v>
      </c>
      <c r="AK32" s="371">
        <v>163</v>
      </c>
      <c r="AL32" s="372">
        <v>48</v>
      </c>
      <c r="AM32" s="372"/>
      <c r="AN32" s="372"/>
      <c r="AO32" s="372">
        <v>7</v>
      </c>
      <c r="AP32" s="372"/>
      <c r="AQ32" s="364">
        <f t="shared" si="5"/>
        <v>218</v>
      </c>
      <c r="AR32" s="371">
        <v>22</v>
      </c>
      <c r="AS32" s="372">
        <v>10</v>
      </c>
      <c r="AT32" s="372"/>
      <c r="AU32" s="372"/>
      <c r="AV32" s="372"/>
      <c r="AW32" s="372"/>
      <c r="AX32" s="364">
        <f t="shared" si="6"/>
        <v>32</v>
      </c>
      <c r="AY32" s="371">
        <v>39</v>
      </c>
      <c r="AZ32" s="372">
        <v>10</v>
      </c>
      <c r="BA32" s="372"/>
      <c r="BB32" s="372"/>
      <c r="BC32" s="372">
        <v>1</v>
      </c>
      <c r="BD32" s="372"/>
      <c r="BE32" s="364">
        <f t="shared" si="7"/>
        <v>50</v>
      </c>
      <c r="BF32" s="371">
        <v>4</v>
      </c>
      <c r="BG32" s="372">
        <v>2</v>
      </c>
      <c r="BH32" s="372"/>
      <c r="BI32" s="372"/>
      <c r="BJ32" s="372"/>
      <c r="BK32" s="372"/>
      <c r="BL32" s="364">
        <f t="shared" si="8"/>
        <v>6</v>
      </c>
      <c r="BM32" s="371">
        <v>54</v>
      </c>
      <c r="BN32" s="372">
        <v>16</v>
      </c>
      <c r="BO32" s="372"/>
      <c r="BP32" s="372"/>
      <c r="BQ32" s="372">
        <v>2</v>
      </c>
      <c r="BR32" s="372"/>
      <c r="BS32" s="364">
        <f t="shared" si="9"/>
        <v>72</v>
      </c>
      <c r="BT32" s="371">
        <v>79</v>
      </c>
      <c r="BU32" s="372">
        <v>6</v>
      </c>
      <c r="BV32" s="372"/>
      <c r="BW32" s="372"/>
      <c r="BX32" s="372"/>
      <c r="BY32" s="372"/>
      <c r="BZ32" s="364">
        <f t="shared" si="10"/>
        <v>85</v>
      </c>
      <c r="CA32" s="371"/>
      <c r="CB32" s="372"/>
      <c r="CC32" s="372"/>
      <c r="CD32" s="372"/>
      <c r="CE32" s="372"/>
      <c r="CF32" s="372"/>
      <c r="CG32" s="364">
        <f t="shared" si="11"/>
        <v>0</v>
      </c>
      <c r="CH32" s="371">
        <v>22</v>
      </c>
      <c r="CI32" s="372">
        <v>5</v>
      </c>
      <c r="CJ32" s="372"/>
      <c r="CK32" s="372"/>
      <c r="CL32" s="372"/>
      <c r="CM32" s="372"/>
      <c r="CN32" s="364">
        <f t="shared" si="12"/>
        <v>27</v>
      </c>
      <c r="CO32" s="371">
        <v>110</v>
      </c>
      <c r="CP32" s="372">
        <v>20</v>
      </c>
      <c r="CQ32" s="372"/>
      <c r="CR32" s="372"/>
      <c r="CS32" s="372">
        <v>1</v>
      </c>
      <c r="CT32" s="372">
        <v>1</v>
      </c>
      <c r="CU32" s="364">
        <f t="shared" si="13"/>
        <v>132</v>
      </c>
      <c r="CV32" s="371"/>
      <c r="CW32" s="372"/>
      <c r="CX32" s="372"/>
      <c r="CY32" s="372"/>
      <c r="CZ32" s="372"/>
      <c r="DA32" s="372"/>
      <c r="DB32" s="364">
        <f t="shared" si="14"/>
        <v>0</v>
      </c>
      <c r="DC32" s="371"/>
      <c r="DD32" s="372"/>
      <c r="DE32" s="372"/>
      <c r="DF32" s="372"/>
      <c r="DG32" s="372"/>
      <c r="DH32" s="372"/>
      <c r="DI32" s="364">
        <f t="shared" si="15"/>
        <v>0</v>
      </c>
      <c r="DJ32" s="373"/>
      <c r="DK32" s="374"/>
      <c r="DL32" s="374"/>
      <c r="DM32" s="374"/>
      <c r="DN32" s="374"/>
      <c r="DO32" s="374"/>
      <c r="DP32" s="367">
        <f t="shared" si="16"/>
        <v>0</v>
      </c>
      <c r="DQ32" s="373"/>
      <c r="DR32" s="374"/>
      <c r="DS32" s="374"/>
      <c r="DT32" s="374"/>
      <c r="DU32" s="374"/>
      <c r="DV32" s="374"/>
      <c r="DW32" s="367">
        <f t="shared" si="17"/>
        <v>0</v>
      </c>
      <c r="DX32" s="373"/>
      <c r="DY32" s="374"/>
      <c r="DZ32" s="374"/>
      <c r="EA32" s="374"/>
      <c r="EB32" s="374"/>
      <c r="EC32" s="374"/>
      <c r="ED32" s="367">
        <f t="shared" si="18"/>
        <v>0</v>
      </c>
      <c r="EE32" s="375"/>
      <c r="EF32" s="375"/>
      <c r="EG32" s="375"/>
      <c r="EH32" s="375"/>
      <c r="EI32" s="375"/>
      <c r="EJ32" s="375"/>
      <c r="EK32" s="375"/>
      <c r="EL32" s="373"/>
      <c r="EM32" s="374"/>
      <c r="EN32" s="374"/>
      <c r="EO32" s="374"/>
      <c r="EP32" s="374"/>
      <c r="EQ32" s="374"/>
      <c r="ER32" s="367">
        <f t="shared" si="19"/>
        <v>0</v>
      </c>
      <c r="ES32" s="373"/>
      <c r="ET32" s="374"/>
      <c r="EU32" s="374"/>
      <c r="EV32" s="374"/>
      <c r="EW32" s="374"/>
      <c r="EX32" s="374"/>
      <c r="EY32" s="367">
        <f t="shared" si="20"/>
        <v>0</v>
      </c>
      <c r="EZ32" s="373"/>
      <c r="FA32" s="374"/>
      <c r="FB32" s="374"/>
      <c r="FC32" s="374"/>
      <c r="FD32" s="374"/>
      <c r="FE32" s="374"/>
      <c r="FF32" s="367">
        <f t="shared" si="21"/>
        <v>0</v>
      </c>
      <c r="FG32" s="375"/>
      <c r="FH32" s="375"/>
      <c r="FI32" s="375"/>
      <c r="FJ32" s="375"/>
      <c r="FK32" s="375"/>
      <c r="FL32" s="375"/>
      <c r="FM32" s="375"/>
      <c r="FN32" s="373"/>
      <c r="FO32" s="374"/>
      <c r="FP32" s="374"/>
      <c r="FQ32" s="374"/>
      <c r="FR32" s="374"/>
      <c r="FS32" s="374"/>
      <c r="FT32" s="367">
        <f t="shared" si="22"/>
        <v>0</v>
      </c>
      <c r="FU32" s="373"/>
      <c r="FV32" s="374"/>
      <c r="FW32" s="374"/>
      <c r="FX32" s="374"/>
      <c r="FY32" s="374"/>
      <c r="FZ32" s="374"/>
      <c r="GA32" s="367">
        <f t="shared" si="23"/>
        <v>0</v>
      </c>
      <c r="GB32" s="373"/>
      <c r="GC32" s="374"/>
      <c r="GD32" s="374"/>
      <c r="GE32" s="374"/>
      <c r="GF32" s="374"/>
      <c r="GG32" s="374"/>
      <c r="GH32" s="367">
        <f t="shared" si="24"/>
        <v>0</v>
      </c>
      <c r="GI32" s="375"/>
      <c r="GJ32" s="375"/>
      <c r="GK32" s="375"/>
      <c r="GL32" s="375"/>
      <c r="GM32" s="375"/>
      <c r="GN32" s="375"/>
      <c r="GO32" s="375"/>
      <c r="GP32" s="373"/>
      <c r="GQ32" s="374"/>
      <c r="GR32" s="374"/>
      <c r="GS32" s="374"/>
      <c r="GT32" s="374"/>
      <c r="GU32" s="374"/>
      <c r="GV32" s="367">
        <f t="shared" si="25"/>
        <v>0</v>
      </c>
      <c r="GW32" s="373"/>
      <c r="GX32" s="374"/>
      <c r="GY32" s="374"/>
      <c r="GZ32" s="374"/>
      <c r="HA32" s="374"/>
      <c r="HB32" s="374"/>
      <c r="HC32" s="367">
        <f t="shared" si="26"/>
        <v>0</v>
      </c>
      <c r="HD32" s="373"/>
      <c r="HE32" s="374"/>
      <c r="HF32" s="374"/>
      <c r="HG32" s="374"/>
      <c r="HH32" s="374"/>
      <c r="HI32" s="374"/>
      <c r="HJ32" s="367">
        <f t="shared" si="27"/>
        <v>0</v>
      </c>
    </row>
    <row r="33" spans="1:218" s="369" customFormat="1" ht="21.75" customHeight="1" x14ac:dyDescent="0.6">
      <c r="A33" s="370" t="s">
        <v>88</v>
      </c>
      <c r="B33" s="371">
        <v>35</v>
      </c>
      <c r="C33" s="372">
        <v>12</v>
      </c>
      <c r="D33" s="372"/>
      <c r="E33" s="372"/>
      <c r="F33" s="372"/>
      <c r="G33" s="372"/>
      <c r="H33" s="364">
        <f t="shared" si="0"/>
        <v>47</v>
      </c>
      <c r="I33" s="371">
        <v>44</v>
      </c>
      <c r="J33" s="372">
        <v>10</v>
      </c>
      <c r="K33" s="372"/>
      <c r="L33" s="372"/>
      <c r="M33" s="372"/>
      <c r="N33" s="372"/>
      <c r="O33" s="364">
        <f t="shared" si="1"/>
        <v>54</v>
      </c>
      <c r="P33" s="371">
        <v>23</v>
      </c>
      <c r="Q33" s="372">
        <v>6</v>
      </c>
      <c r="R33" s="372"/>
      <c r="S33" s="372"/>
      <c r="T33" s="372">
        <v>1</v>
      </c>
      <c r="U33" s="372"/>
      <c r="V33" s="364">
        <f t="shared" si="2"/>
        <v>30</v>
      </c>
      <c r="W33" s="371"/>
      <c r="X33" s="372"/>
      <c r="Y33" s="372"/>
      <c r="Z33" s="372"/>
      <c r="AA33" s="372"/>
      <c r="AB33" s="372"/>
      <c r="AC33" s="364">
        <f t="shared" si="3"/>
        <v>0</v>
      </c>
      <c r="AD33" s="371">
        <v>44</v>
      </c>
      <c r="AE33" s="372">
        <v>14</v>
      </c>
      <c r="AF33" s="372"/>
      <c r="AG33" s="372"/>
      <c r="AH33" s="372"/>
      <c r="AI33" s="372"/>
      <c r="AJ33" s="364">
        <f t="shared" si="4"/>
        <v>58</v>
      </c>
      <c r="AK33" s="371">
        <v>158</v>
      </c>
      <c r="AL33" s="372">
        <v>42</v>
      </c>
      <c r="AM33" s="372">
        <v>1</v>
      </c>
      <c r="AN33" s="372"/>
      <c r="AO33" s="372">
        <v>6</v>
      </c>
      <c r="AP33" s="372">
        <v>1</v>
      </c>
      <c r="AQ33" s="364">
        <f t="shared" si="5"/>
        <v>208</v>
      </c>
      <c r="AR33" s="371">
        <v>21</v>
      </c>
      <c r="AS33" s="372">
        <v>6</v>
      </c>
      <c r="AT33" s="372"/>
      <c r="AU33" s="372"/>
      <c r="AV33" s="372"/>
      <c r="AW33" s="372"/>
      <c r="AX33" s="364">
        <f t="shared" si="6"/>
        <v>27</v>
      </c>
      <c r="AY33" s="371">
        <v>42</v>
      </c>
      <c r="AZ33" s="372">
        <v>12</v>
      </c>
      <c r="BA33" s="372">
        <v>1</v>
      </c>
      <c r="BB33" s="372"/>
      <c r="BC33" s="372">
        <v>3</v>
      </c>
      <c r="BD33" s="372"/>
      <c r="BE33" s="364">
        <f t="shared" si="7"/>
        <v>58</v>
      </c>
      <c r="BF33" s="371">
        <v>3</v>
      </c>
      <c r="BG33" s="372">
        <v>1</v>
      </c>
      <c r="BH33" s="372"/>
      <c r="BI33" s="372"/>
      <c r="BJ33" s="372">
        <v>2</v>
      </c>
      <c r="BK33" s="372"/>
      <c r="BL33" s="364">
        <f t="shared" si="8"/>
        <v>6</v>
      </c>
      <c r="BM33" s="371">
        <v>63</v>
      </c>
      <c r="BN33" s="372">
        <v>14</v>
      </c>
      <c r="BO33" s="372"/>
      <c r="BP33" s="372"/>
      <c r="BQ33" s="372"/>
      <c r="BR33" s="372"/>
      <c r="BS33" s="364">
        <f t="shared" si="9"/>
        <v>77</v>
      </c>
      <c r="BT33" s="371">
        <v>72</v>
      </c>
      <c r="BU33" s="372">
        <v>14</v>
      </c>
      <c r="BV33" s="372"/>
      <c r="BW33" s="372"/>
      <c r="BX33" s="372"/>
      <c r="BY33" s="372"/>
      <c r="BZ33" s="364">
        <f t="shared" si="10"/>
        <v>86</v>
      </c>
      <c r="CA33" s="371"/>
      <c r="CB33" s="372"/>
      <c r="CC33" s="372"/>
      <c r="CD33" s="372"/>
      <c r="CE33" s="372"/>
      <c r="CF33" s="372"/>
      <c r="CG33" s="364">
        <f t="shared" si="11"/>
        <v>0</v>
      </c>
      <c r="CH33" s="371">
        <v>25</v>
      </c>
      <c r="CI33" s="372">
        <v>6</v>
      </c>
      <c r="CJ33" s="372"/>
      <c r="CK33" s="372"/>
      <c r="CL33" s="372"/>
      <c r="CM33" s="372"/>
      <c r="CN33" s="364">
        <f t="shared" si="12"/>
        <v>31</v>
      </c>
      <c r="CO33" s="371">
        <v>106</v>
      </c>
      <c r="CP33" s="372">
        <v>24</v>
      </c>
      <c r="CQ33" s="372">
        <v>1</v>
      </c>
      <c r="CR33" s="372"/>
      <c r="CS33" s="372"/>
      <c r="CT33" s="372"/>
      <c r="CU33" s="364">
        <f t="shared" si="13"/>
        <v>131</v>
      </c>
      <c r="CV33" s="371"/>
      <c r="CW33" s="372"/>
      <c r="CX33" s="372"/>
      <c r="CY33" s="372"/>
      <c r="CZ33" s="372"/>
      <c r="DA33" s="372"/>
      <c r="DB33" s="364">
        <f t="shared" si="14"/>
        <v>0</v>
      </c>
      <c r="DC33" s="371"/>
      <c r="DD33" s="372"/>
      <c r="DE33" s="372"/>
      <c r="DF33" s="372"/>
      <c r="DG33" s="372"/>
      <c r="DH33" s="372"/>
      <c r="DI33" s="364">
        <f t="shared" si="15"/>
        <v>0</v>
      </c>
      <c r="DJ33" s="373"/>
      <c r="DK33" s="374"/>
      <c r="DL33" s="374"/>
      <c r="DM33" s="374"/>
      <c r="DN33" s="374"/>
      <c r="DO33" s="374"/>
      <c r="DP33" s="367">
        <f t="shared" si="16"/>
        <v>0</v>
      </c>
      <c r="DQ33" s="373"/>
      <c r="DR33" s="374"/>
      <c r="DS33" s="374"/>
      <c r="DT33" s="374"/>
      <c r="DU33" s="374"/>
      <c r="DV33" s="374"/>
      <c r="DW33" s="367">
        <f t="shared" si="17"/>
        <v>0</v>
      </c>
      <c r="DX33" s="373"/>
      <c r="DY33" s="374"/>
      <c r="DZ33" s="374"/>
      <c r="EA33" s="374"/>
      <c r="EB33" s="374"/>
      <c r="EC33" s="374"/>
      <c r="ED33" s="367">
        <f t="shared" si="18"/>
        <v>0</v>
      </c>
      <c r="EE33" s="375"/>
      <c r="EF33" s="375"/>
      <c r="EG33" s="375"/>
      <c r="EH33" s="375"/>
      <c r="EI33" s="375"/>
      <c r="EJ33" s="375"/>
      <c r="EK33" s="375"/>
      <c r="EL33" s="373"/>
      <c r="EM33" s="374"/>
      <c r="EN33" s="374"/>
      <c r="EO33" s="374"/>
      <c r="EP33" s="374"/>
      <c r="EQ33" s="374"/>
      <c r="ER33" s="367">
        <f t="shared" si="19"/>
        <v>0</v>
      </c>
      <c r="ES33" s="373"/>
      <c r="ET33" s="374"/>
      <c r="EU33" s="374"/>
      <c r="EV33" s="374"/>
      <c r="EW33" s="374"/>
      <c r="EX33" s="374"/>
      <c r="EY33" s="367">
        <f t="shared" si="20"/>
        <v>0</v>
      </c>
      <c r="EZ33" s="373"/>
      <c r="FA33" s="374"/>
      <c r="FB33" s="374"/>
      <c r="FC33" s="374"/>
      <c r="FD33" s="374"/>
      <c r="FE33" s="374"/>
      <c r="FF33" s="367">
        <f t="shared" si="21"/>
        <v>0</v>
      </c>
      <c r="FG33" s="375"/>
      <c r="FH33" s="375"/>
      <c r="FI33" s="375"/>
      <c r="FJ33" s="375"/>
      <c r="FK33" s="375"/>
      <c r="FL33" s="375"/>
      <c r="FM33" s="375"/>
      <c r="FN33" s="373"/>
      <c r="FO33" s="374"/>
      <c r="FP33" s="374"/>
      <c r="FQ33" s="374"/>
      <c r="FR33" s="374"/>
      <c r="FS33" s="374"/>
      <c r="FT33" s="367">
        <f t="shared" si="22"/>
        <v>0</v>
      </c>
      <c r="FU33" s="373"/>
      <c r="FV33" s="374"/>
      <c r="FW33" s="374"/>
      <c r="FX33" s="374"/>
      <c r="FY33" s="374"/>
      <c r="FZ33" s="374"/>
      <c r="GA33" s="367">
        <f t="shared" si="23"/>
        <v>0</v>
      </c>
      <c r="GB33" s="373"/>
      <c r="GC33" s="374"/>
      <c r="GD33" s="374"/>
      <c r="GE33" s="374"/>
      <c r="GF33" s="374"/>
      <c r="GG33" s="374"/>
      <c r="GH33" s="367">
        <f t="shared" si="24"/>
        <v>0</v>
      </c>
      <c r="GI33" s="375"/>
      <c r="GJ33" s="375"/>
      <c r="GK33" s="375"/>
      <c r="GL33" s="375"/>
      <c r="GM33" s="375"/>
      <c r="GN33" s="375"/>
      <c r="GO33" s="375"/>
      <c r="GP33" s="373"/>
      <c r="GQ33" s="374"/>
      <c r="GR33" s="374"/>
      <c r="GS33" s="374"/>
      <c r="GT33" s="374"/>
      <c r="GU33" s="374"/>
      <c r="GV33" s="367">
        <f t="shared" si="25"/>
        <v>0</v>
      </c>
      <c r="GW33" s="373"/>
      <c r="GX33" s="374"/>
      <c r="GY33" s="374"/>
      <c r="GZ33" s="374"/>
      <c r="HA33" s="374"/>
      <c r="HB33" s="374"/>
      <c r="HC33" s="367">
        <f t="shared" si="26"/>
        <v>0</v>
      </c>
      <c r="HD33" s="373"/>
      <c r="HE33" s="374"/>
      <c r="HF33" s="374"/>
      <c r="HG33" s="374"/>
      <c r="HH33" s="374"/>
      <c r="HI33" s="374"/>
      <c r="HJ33" s="367">
        <f t="shared" si="27"/>
        <v>0</v>
      </c>
    </row>
    <row r="34" spans="1:218" s="369" customFormat="1" ht="21.75" customHeight="1" x14ac:dyDescent="0.6">
      <c r="A34" s="376" t="s">
        <v>89</v>
      </c>
      <c r="B34" s="377">
        <v>46</v>
      </c>
      <c r="C34" s="378">
        <v>8</v>
      </c>
      <c r="D34" s="378"/>
      <c r="E34" s="378"/>
      <c r="F34" s="378">
        <v>1</v>
      </c>
      <c r="G34" s="378">
        <v>1</v>
      </c>
      <c r="H34" s="364">
        <f t="shared" si="0"/>
        <v>56</v>
      </c>
      <c r="I34" s="377">
        <v>48</v>
      </c>
      <c r="J34" s="378">
        <v>10</v>
      </c>
      <c r="K34" s="378"/>
      <c r="L34" s="378"/>
      <c r="M34" s="378"/>
      <c r="N34" s="378"/>
      <c r="O34" s="364">
        <f t="shared" si="1"/>
        <v>58</v>
      </c>
      <c r="P34" s="377">
        <v>15</v>
      </c>
      <c r="Q34" s="378">
        <v>13</v>
      </c>
      <c r="R34" s="378"/>
      <c r="S34" s="378"/>
      <c r="T34" s="378"/>
      <c r="U34" s="378"/>
      <c r="V34" s="364">
        <f t="shared" si="2"/>
        <v>28</v>
      </c>
      <c r="W34" s="377"/>
      <c r="X34" s="378"/>
      <c r="Y34" s="378"/>
      <c r="Z34" s="378"/>
      <c r="AA34" s="378"/>
      <c r="AB34" s="378"/>
      <c r="AC34" s="364">
        <f t="shared" si="3"/>
        <v>0</v>
      </c>
      <c r="AD34" s="377">
        <v>48</v>
      </c>
      <c r="AE34" s="378">
        <v>20</v>
      </c>
      <c r="AF34" s="378"/>
      <c r="AG34" s="378"/>
      <c r="AH34" s="378">
        <v>1</v>
      </c>
      <c r="AI34" s="378"/>
      <c r="AJ34" s="364">
        <f t="shared" si="4"/>
        <v>69</v>
      </c>
      <c r="AK34" s="377">
        <v>171</v>
      </c>
      <c r="AL34" s="378">
        <v>49</v>
      </c>
      <c r="AM34" s="378"/>
      <c r="AN34" s="378">
        <v>1</v>
      </c>
      <c r="AO34" s="378">
        <v>6</v>
      </c>
      <c r="AP34" s="378"/>
      <c r="AQ34" s="364">
        <f t="shared" si="5"/>
        <v>227</v>
      </c>
      <c r="AR34" s="377">
        <v>18</v>
      </c>
      <c r="AS34" s="378">
        <v>4</v>
      </c>
      <c r="AT34" s="378"/>
      <c r="AU34" s="378"/>
      <c r="AV34" s="378">
        <v>1</v>
      </c>
      <c r="AW34" s="378"/>
      <c r="AX34" s="364">
        <f t="shared" si="6"/>
        <v>23</v>
      </c>
      <c r="AY34" s="377">
        <v>35</v>
      </c>
      <c r="AZ34" s="378">
        <v>15</v>
      </c>
      <c r="BA34" s="378"/>
      <c r="BB34" s="378"/>
      <c r="BC34" s="378"/>
      <c r="BD34" s="378"/>
      <c r="BE34" s="364">
        <f t="shared" si="7"/>
        <v>50</v>
      </c>
      <c r="BF34" s="377">
        <v>6</v>
      </c>
      <c r="BG34" s="378"/>
      <c r="BH34" s="378"/>
      <c r="BI34" s="378"/>
      <c r="BJ34" s="378"/>
      <c r="BK34" s="378"/>
      <c r="BL34" s="364">
        <f t="shared" si="8"/>
        <v>6</v>
      </c>
      <c r="BM34" s="377">
        <v>54</v>
      </c>
      <c r="BN34" s="378">
        <v>12</v>
      </c>
      <c r="BO34" s="378"/>
      <c r="BP34" s="378"/>
      <c r="BQ34" s="378"/>
      <c r="BR34" s="378"/>
      <c r="BS34" s="364">
        <f t="shared" si="9"/>
        <v>66</v>
      </c>
      <c r="BT34" s="377">
        <v>54</v>
      </c>
      <c r="BU34" s="378">
        <v>11</v>
      </c>
      <c r="BV34" s="378"/>
      <c r="BW34" s="378"/>
      <c r="BX34" s="378"/>
      <c r="BY34" s="378"/>
      <c r="BZ34" s="364">
        <f t="shared" si="10"/>
        <v>65</v>
      </c>
      <c r="CA34" s="377"/>
      <c r="CB34" s="378"/>
      <c r="CC34" s="378"/>
      <c r="CD34" s="378"/>
      <c r="CE34" s="378"/>
      <c r="CF34" s="378"/>
      <c r="CG34" s="364">
        <f t="shared" si="11"/>
        <v>0</v>
      </c>
      <c r="CH34" s="377">
        <v>34</v>
      </c>
      <c r="CI34" s="378">
        <v>9</v>
      </c>
      <c r="CJ34" s="378"/>
      <c r="CK34" s="378"/>
      <c r="CL34" s="378">
        <v>1</v>
      </c>
      <c r="CM34" s="378"/>
      <c r="CN34" s="364">
        <f t="shared" si="12"/>
        <v>44</v>
      </c>
      <c r="CO34" s="377">
        <v>96</v>
      </c>
      <c r="CP34" s="378">
        <v>19</v>
      </c>
      <c r="CQ34" s="378">
        <v>1</v>
      </c>
      <c r="CR34" s="378">
        <v>2</v>
      </c>
      <c r="CS34" s="378">
        <v>1</v>
      </c>
      <c r="CT34" s="378"/>
      <c r="CU34" s="364">
        <f t="shared" si="13"/>
        <v>119</v>
      </c>
      <c r="CV34" s="377"/>
      <c r="CW34" s="378"/>
      <c r="CX34" s="378"/>
      <c r="CY34" s="378"/>
      <c r="CZ34" s="378"/>
      <c r="DA34" s="378"/>
      <c r="DB34" s="364">
        <f t="shared" si="14"/>
        <v>0</v>
      </c>
      <c r="DC34" s="377"/>
      <c r="DD34" s="378"/>
      <c r="DE34" s="378"/>
      <c r="DF34" s="378"/>
      <c r="DG34" s="378"/>
      <c r="DH34" s="378"/>
      <c r="DI34" s="364">
        <f t="shared" si="15"/>
        <v>0</v>
      </c>
      <c r="DJ34" s="379"/>
      <c r="DK34" s="380"/>
      <c r="DL34" s="380"/>
      <c r="DM34" s="380"/>
      <c r="DN34" s="380"/>
      <c r="DO34" s="380"/>
      <c r="DP34" s="367">
        <f t="shared" si="16"/>
        <v>0</v>
      </c>
      <c r="DQ34" s="379"/>
      <c r="DR34" s="380"/>
      <c r="DS34" s="380"/>
      <c r="DT34" s="380"/>
      <c r="DU34" s="380"/>
      <c r="DV34" s="380"/>
      <c r="DW34" s="367">
        <f t="shared" si="17"/>
        <v>0</v>
      </c>
      <c r="DX34" s="379"/>
      <c r="DY34" s="380"/>
      <c r="DZ34" s="380"/>
      <c r="EA34" s="380"/>
      <c r="EB34" s="380"/>
      <c r="EC34" s="380"/>
      <c r="ED34" s="367">
        <f t="shared" si="18"/>
        <v>0</v>
      </c>
      <c r="EE34" s="375"/>
      <c r="EF34" s="375"/>
      <c r="EG34" s="375"/>
      <c r="EH34" s="375"/>
      <c r="EI34" s="375"/>
      <c r="EJ34" s="375"/>
      <c r="EK34" s="375"/>
      <c r="EL34" s="379"/>
      <c r="EM34" s="380"/>
      <c r="EN34" s="380"/>
      <c r="EO34" s="380"/>
      <c r="EP34" s="380"/>
      <c r="EQ34" s="380"/>
      <c r="ER34" s="367">
        <f t="shared" si="19"/>
        <v>0</v>
      </c>
      <c r="ES34" s="379"/>
      <c r="ET34" s="380"/>
      <c r="EU34" s="380"/>
      <c r="EV34" s="380"/>
      <c r="EW34" s="380"/>
      <c r="EX34" s="380"/>
      <c r="EY34" s="367">
        <f t="shared" si="20"/>
        <v>0</v>
      </c>
      <c r="EZ34" s="379"/>
      <c r="FA34" s="380"/>
      <c r="FB34" s="380"/>
      <c r="FC34" s="380"/>
      <c r="FD34" s="380"/>
      <c r="FE34" s="380"/>
      <c r="FF34" s="367">
        <f t="shared" si="21"/>
        <v>0</v>
      </c>
      <c r="FG34" s="375"/>
      <c r="FH34" s="375"/>
      <c r="FI34" s="375"/>
      <c r="FJ34" s="375"/>
      <c r="FK34" s="375"/>
      <c r="FL34" s="375"/>
      <c r="FM34" s="375"/>
      <c r="FN34" s="379"/>
      <c r="FO34" s="380"/>
      <c r="FP34" s="380"/>
      <c r="FQ34" s="380"/>
      <c r="FR34" s="380"/>
      <c r="FS34" s="380"/>
      <c r="FT34" s="367">
        <f t="shared" si="22"/>
        <v>0</v>
      </c>
      <c r="FU34" s="379"/>
      <c r="FV34" s="380"/>
      <c r="FW34" s="380"/>
      <c r="FX34" s="380"/>
      <c r="FY34" s="380"/>
      <c r="FZ34" s="380"/>
      <c r="GA34" s="367">
        <f t="shared" si="23"/>
        <v>0</v>
      </c>
      <c r="GB34" s="379"/>
      <c r="GC34" s="380"/>
      <c r="GD34" s="380"/>
      <c r="GE34" s="380"/>
      <c r="GF34" s="380"/>
      <c r="GG34" s="380"/>
      <c r="GH34" s="367">
        <f t="shared" si="24"/>
        <v>0</v>
      </c>
      <c r="GI34" s="375"/>
      <c r="GJ34" s="375"/>
      <c r="GK34" s="375"/>
      <c r="GL34" s="375"/>
      <c r="GM34" s="375"/>
      <c r="GN34" s="375"/>
      <c r="GO34" s="375"/>
      <c r="GP34" s="379"/>
      <c r="GQ34" s="380"/>
      <c r="GR34" s="380"/>
      <c r="GS34" s="380"/>
      <c r="GT34" s="380"/>
      <c r="GU34" s="380"/>
      <c r="GV34" s="367">
        <f t="shared" si="25"/>
        <v>0</v>
      </c>
      <c r="GW34" s="379"/>
      <c r="GX34" s="380"/>
      <c r="GY34" s="380"/>
      <c r="GZ34" s="380"/>
      <c r="HA34" s="380"/>
      <c r="HB34" s="380"/>
      <c r="HC34" s="367">
        <f t="shared" si="26"/>
        <v>0</v>
      </c>
      <c r="HD34" s="379"/>
      <c r="HE34" s="380"/>
      <c r="HF34" s="380"/>
      <c r="HG34" s="380"/>
      <c r="HH34" s="380"/>
      <c r="HI34" s="380"/>
      <c r="HJ34" s="367">
        <f t="shared" si="27"/>
        <v>0</v>
      </c>
    </row>
    <row r="35" spans="1:218" s="369" customFormat="1" ht="21.75" customHeight="1" x14ac:dyDescent="0.6">
      <c r="A35" s="361" t="s">
        <v>90</v>
      </c>
      <c r="B35" s="362">
        <v>39</v>
      </c>
      <c r="C35" s="363">
        <v>10</v>
      </c>
      <c r="D35" s="363"/>
      <c r="E35" s="363"/>
      <c r="F35" s="363"/>
      <c r="G35" s="363"/>
      <c r="H35" s="364">
        <f t="shared" si="0"/>
        <v>49</v>
      </c>
      <c r="I35" s="362">
        <v>39</v>
      </c>
      <c r="J35" s="363">
        <v>8</v>
      </c>
      <c r="K35" s="363"/>
      <c r="L35" s="363"/>
      <c r="M35" s="363"/>
      <c r="N35" s="363"/>
      <c r="O35" s="364">
        <f t="shared" si="1"/>
        <v>47</v>
      </c>
      <c r="P35" s="362">
        <v>18</v>
      </c>
      <c r="Q35" s="363">
        <v>7</v>
      </c>
      <c r="R35" s="363"/>
      <c r="S35" s="363"/>
      <c r="T35" s="363">
        <v>1</v>
      </c>
      <c r="U35" s="363"/>
      <c r="V35" s="364">
        <f t="shared" si="2"/>
        <v>26</v>
      </c>
      <c r="W35" s="362"/>
      <c r="X35" s="363"/>
      <c r="Y35" s="363"/>
      <c r="Z35" s="363"/>
      <c r="AA35" s="363"/>
      <c r="AB35" s="363"/>
      <c r="AC35" s="364">
        <f t="shared" si="3"/>
        <v>0</v>
      </c>
      <c r="AD35" s="362">
        <v>42</v>
      </c>
      <c r="AE35" s="363">
        <v>16</v>
      </c>
      <c r="AF35" s="363"/>
      <c r="AG35" s="363"/>
      <c r="AH35" s="363"/>
      <c r="AI35" s="363"/>
      <c r="AJ35" s="364">
        <f t="shared" si="4"/>
        <v>58</v>
      </c>
      <c r="AK35" s="362">
        <v>152</v>
      </c>
      <c r="AL35" s="363">
        <v>48</v>
      </c>
      <c r="AM35" s="363"/>
      <c r="AN35" s="363"/>
      <c r="AO35" s="363">
        <v>4</v>
      </c>
      <c r="AP35" s="363"/>
      <c r="AQ35" s="364">
        <f t="shared" si="5"/>
        <v>204</v>
      </c>
      <c r="AR35" s="362">
        <v>24</v>
      </c>
      <c r="AS35" s="363">
        <v>8</v>
      </c>
      <c r="AT35" s="363"/>
      <c r="AU35" s="363"/>
      <c r="AV35" s="363"/>
      <c r="AW35" s="363"/>
      <c r="AX35" s="364">
        <f t="shared" si="6"/>
        <v>32</v>
      </c>
      <c r="AY35" s="362">
        <v>49</v>
      </c>
      <c r="AZ35" s="363">
        <v>24</v>
      </c>
      <c r="BA35" s="363"/>
      <c r="BB35" s="363"/>
      <c r="BC35" s="363"/>
      <c r="BD35" s="363"/>
      <c r="BE35" s="364">
        <f t="shared" si="7"/>
        <v>73</v>
      </c>
      <c r="BF35" s="362">
        <v>2</v>
      </c>
      <c r="BG35" s="363">
        <v>3</v>
      </c>
      <c r="BH35" s="363"/>
      <c r="BI35" s="363"/>
      <c r="BJ35" s="363">
        <v>1</v>
      </c>
      <c r="BK35" s="363"/>
      <c r="BL35" s="364">
        <f t="shared" si="8"/>
        <v>6</v>
      </c>
      <c r="BM35" s="362">
        <v>61</v>
      </c>
      <c r="BN35" s="363">
        <v>14</v>
      </c>
      <c r="BO35" s="363"/>
      <c r="BP35" s="363"/>
      <c r="BQ35" s="363">
        <v>1</v>
      </c>
      <c r="BR35" s="363"/>
      <c r="BS35" s="364">
        <f t="shared" si="9"/>
        <v>76</v>
      </c>
      <c r="BT35" s="362">
        <v>62</v>
      </c>
      <c r="BU35" s="363">
        <v>4</v>
      </c>
      <c r="BV35" s="363"/>
      <c r="BW35" s="363"/>
      <c r="BX35" s="363"/>
      <c r="BY35" s="363"/>
      <c r="BZ35" s="364">
        <f t="shared" si="10"/>
        <v>66</v>
      </c>
      <c r="CA35" s="362"/>
      <c r="CB35" s="363"/>
      <c r="CC35" s="363"/>
      <c r="CD35" s="363"/>
      <c r="CE35" s="363"/>
      <c r="CF35" s="363"/>
      <c r="CG35" s="364">
        <f t="shared" si="11"/>
        <v>0</v>
      </c>
      <c r="CH35" s="362">
        <v>29</v>
      </c>
      <c r="CI35" s="363">
        <v>7</v>
      </c>
      <c r="CJ35" s="363"/>
      <c r="CK35" s="363"/>
      <c r="CL35" s="363"/>
      <c r="CM35" s="363"/>
      <c r="CN35" s="364">
        <f t="shared" si="12"/>
        <v>36</v>
      </c>
      <c r="CO35" s="362">
        <v>93</v>
      </c>
      <c r="CP35" s="363">
        <v>22</v>
      </c>
      <c r="CQ35" s="363"/>
      <c r="CR35" s="363"/>
      <c r="CS35" s="363"/>
      <c r="CT35" s="363"/>
      <c r="CU35" s="364">
        <f t="shared" si="13"/>
        <v>115</v>
      </c>
      <c r="CV35" s="362"/>
      <c r="CW35" s="363"/>
      <c r="CX35" s="363"/>
      <c r="CY35" s="363"/>
      <c r="CZ35" s="363"/>
      <c r="DA35" s="363"/>
      <c r="DB35" s="364">
        <f t="shared" si="14"/>
        <v>0</v>
      </c>
      <c r="DC35" s="362"/>
      <c r="DD35" s="363"/>
      <c r="DE35" s="363"/>
      <c r="DF35" s="363"/>
      <c r="DG35" s="363"/>
      <c r="DH35" s="363"/>
      <c r="DI35" s="364">
        <f t="shared" si="15"/>
        <v>0</v>
      </c>
      <c r="DJ35" s="365"/>
      <c r="DK35" s="366"/>
      <c r="DL35" s="366"/>
      <c r="DM35" s="366"/>
      <c r="DN35" s="366"/>
      <c r="DO35" s="366"/>
      <c r="DP35" s="367">
        <f t="shared" si="16"/>
        <v>0</v>
      </c>
      <c r="DQ35" s="365"/>
      <c r="DR35" s="366"/>
      <c r="DS35" s="366"/>
      <c r="DT35" s="366"/>
      <c r="DU35" s="366"/>
      <c r="DV35" s="366"/>
      <c r="DW35" s="367">
        <f t="shared" si="17"/>
        <v>0</v>
      </c>
      <c r="DX35" s="365"/>
      <c r="DY35" s="366"/>
      <c r="DZ35" s="366"/>
      <c r="EA35" s="366"/>
      <c r="EB35" s="366"/>
      <c r="EC35" s="366"/>
      <c r="ED35" s="367">
        <f t="shared" si="18"/>
        <v>0</v>
      </c>
      <c r="EE35" s="368"/>
      <c r="EF35" s="368"/>
      <c r="EG35" s="368"/>
      <c r="EH35" s="368"/>
      <c r="EI35" s="368"/>
      <c r="EJ35" s="368"/>
      <c r="EK35" s="368"/>
      <c r="EL35" s="365"/>
      <c r="EM35" s="366"/>
      <c r="EN35" s="366"/>
      <c r="EO35" s="366"/>
      <c r="EP35" s="366"/>
      <c r="EQ35" s="366"/>
      <c r="ER35" s="367">
        <f t="shared" si="19"/>
        <v>0</v>
      </c>
      <c r="ES35" s="365"/>
      <c r="ET35" s="366"/>
      <c r="EU35" s="366"/>
      <c r="EV35" s="366"/>
      <c r="EW35" s="366"/>
      <c r="EX35" s="366"/>
      <c r="EY35" s="367">
        <f t="shared" si="20"/>
        <v>0</v>
      </c>
      <c r="EZ35" s="365"/>
      <c r="FA35" s="366"/>
      <c r="FB35" s="366"/>
      <c r="FC35" s="366"/>
      <c r="FD35" s="366"/>
      <c r="FE35" s="366"/>
      <c r="FF35" s="367">
        <f t="shared" si="21"/>
        <v>0</v>
      </c>
      <c r="FG35" s="368"/>
      <c r="FH35" s="368"/>
      <c r="FI35" s="368"/>
      <c r="FJ35" s="368"/>
      <c r="FK35" s="368"/>
      <c r="FL35" s="368"/>
      <c r="FM35" s="368"/>
      <c r="FN35" s="365"/>
      <c r="FO35" s="366"/>
      <c r="FP35" s="366"/>
      <c r="FQ35" s="366"/>
      <c r="FR35" s="366"/>
      <c r="FS35" s="366"/>
      <c r="FT35" s="367">
        <f t="shared" si="22"/>
        <v>0</v>
      </c>
      <c r="FU35" s="365"/>
      <c r="FV35" s="366"/>
      <c r="FW35" s="366"/>
      <c r="FX35" s="366"/>
      <c r="FY35" s="366"/>
      <c r="FZ35" s="366"/>
      <c r="GA35" s="367">
        <f t="shared" si="23"/>
        <v>0</v>
      </c>
      <c r="GB35" s="365"/>
      <c r="GC35" s="366"/>
      <c r="GD35" s="366"/>
      <c r="GE35" s="366"/>
      <c r="GF35" s="366"/>
      <c r="GG35" s="366"/>
      <c r="GH35" s="367">
        <f t="shared" si="24"/>
        <v>0</v>
      </c>
      <c r="GI35" s="368"/>
      <c r="GJ35" s="368"/>
      <c r="GK35" s="368"/>
      <c r="GL35" s="368"/>
      <c r="GM35" s="368"/>
      <c r="GN35" s="368"/>
      <c r="GO35" s="368"/>
      <c r="GP35" s="365"/>
      <c r="GQ35" s="366"/>
      <c r="GR35" s="366"/>
      <c r="GS35" s="366"/>
      <c r="GT35" s="366"/>
      <c r="GU35" s="366"/>
      <c r="GV35" s="367">
        <f t="shared" si="25"/>
        <v>0</v>
      </c>
      <c r="GW35" s="365"/>
      <c r="GX35" s="366"/>
      <c r="GY35" s="366"/>
      <c r="GZ35" s="366"/>
      <c r="HA35" s="366"/>
      <c r="HB35" s="366"/>
      <c r="HC35" s="367">
        <f t="shared" si="26"/>
        <v>0</v>
      </c>
      <c r="HD35" s="365"/>
      <c r="HE35" s="366"/>
      <c r="HF35" s="366"/>
      <c r="HG35" s="366"/>
      <c r="HH35" s="366"/>
      <c r="HI35" s="366"/>
      <c r="HJ35" s="367">
        <f t="shared" si="27"/>
        <v>0</v>
      </c>
    </row>
    <row r="36" spans="1:218" s="369" customFormat="1" ht="21.75" customHeight="1" x14ac:dyDescent="0.6">
      <c r="A36" s="370" t="s">
        <v>91</v>
      </c>
      <c r="B36" s="371">
        <v>34</v>
      </c>
      <c r="C36" s="372">
        <v>10</v>
      </c>
      <c r="D36" s="372"/>
      <c r="E36" s="372"/>
      <c r="F36" s="372"/>
      <c r="G36" s="372"/>
      <c r="H36" s="364">
        <f t="shared" si="0"/>
        <v>44</v>
      </c>
      <c r="I36" s="371">
        <v>42</v>
      </c>
      <c r="J36" s="372">
        <v>11</v>
      </c>
      <c r="K36" s="372"/>
      <c r="L36" s="372"/>
      <c r="M36" s="372"/>
      <c r="N36" s="372"/>
      <c r="O36" s="364">
        <f t="shared" si="1"/>
        <v>53</v>
      </c>
      <c r="P36" s="371">
        <v>27</v>
      </c>
      <c r="Q36" s="372">
        <v>10</v>
      </c>
      <c r="R36" s="372"/>
      <c r="S36" s="372"/>
      <c r="T36" s="372"/>
      <c r="U36" s="372"/>
      <c r="V36" s="364">
        <f t="shared" si="2"/>
        <v>37</v>
      </c>
      <c r="W36" s="371"/>
      <c r="X36" s="372"/>
      <c r="Y36" s="372"/>
      <c r="Z36" s="372"/>
      <c r="AA36" s="372"/>
      <c r="AB36" s="372"/>
      <c r="AC36" s="364">
        <f t="shared" si="3"/>
        <v>0</v>
      </c>
      <c r="AD36" s="371">
        <v>53</v>
      </c>
      <c r="AE36" s="372">
        <v>13</v>
      </c>
      <c r="AF36" s="372"/>
      <c r="AG36" s="372"/>
      <c r="AH36" s="372"/>
      <c r="AI36" s="372"/>
      <c r="AJ36" s="364">
        <f t="shared" si="4"/>
        <v>66</v>
      </c>
      <c r="AK36" s="371">
        <v>141</v>
      </c>
      <c r="AL36" s="372">
        <v>53</v>
      </c>
      <c r="AM36" s="372">
        <v>1</v>
      </c>
      <c r="AN36" s="372"/>
      <c r="AO36" s="372">
        <v>3</v>
      </c>
      <c r="AP36" s="372"/>
      <c r="AQ36" s="364">
        <f t="shared" si="5"/>
        <v>198</v>
      </c>
      <c r="AR36" s="371">
        <v>21</v>
      </c>
      <c r="AS36" s="372">
        <v>9</v>
      </c>
      <c r="AT36" s="372"/>
      <c r="AU36" s="372"/>
      <c r="AV36" s="372"/>
      <c r="AW36" s="372"/>
      <c r="AX36" s="364">
        <f t="shared" si="6"/>
        <v>30</v>
      </c>
      <c r="AY36" s="371">
        <v>39</v>
      </c>
      <c r="AZ36" s="372">
        <v>19</v>
      </c>
      <c r="BA36" s="372">
        <v>1</v>
      </c>
      <c r="BB36" s="372"/>
      <c r="BC36" s="372"/>
      <c r="BD36" s="372"/>
      <c r="BE36" s="364">
        <f t="shared" si="7"/>
        <v>59</v>
      </c>
      <c r="BF36" s="371">
        <v>8</v>
      </c>
      <c r="BG36" s="372">
        <v>1</v>
      </c>
      <c r="BH36" s="372"/>
      <c r="BI36" s="372"/>
      <c r="BJ36" s="372"/>
      <c r="BK36" s="372"/>
      <c r="BL36" s="364">
        <f t="shared" si="8"/>
        <v>9</v>
      </c>
      <c r="BM36" s="371">
        <v>52</v>
      </c>
      <c r="BN36" s="372">
        <v>12</v>
      </c>
      <c r="BO36" s="372"/>
      <c r="BP36" s="372"/>
      <c r="BQ36" s="372"/>
      <c r="BR36" s="372"/>
      <c r="BS36" s="364">
        <f t="shared" si="9"/>
        <v>64</v>
      </c>
      <c r="BT36" s="371">
        <v>42</v>
      </c>
      <c r="BU36" s="372">
        <v>7</v>
      </c>
      <c r="BV36" s="372"/>
      <c r="BW36" s="372"/>
      <c r="BX36" s="372"/>
      <c r="BY36" s="372"/>
      <c r="BZ36" s="364">
        <f t="shared" si="10"/>
        <v>49</v>
      </c>
      <c r="CA36" s="371"/>
      <c r="CB36" s="372"/>
      <c r="CC36" s="372"/>
      <c r="CD36" s="372"/>
      <c r="CE36" s="372"/>
      <c r="CF36" s="372"/>
      <c r="CG36" s="364">
        <f t="shared" si="11"/>
        <v>0</v>
      </c>
      <c r="CH36" s="371">
        <v>38</v>
      </c>
      <c r="CI36" s="372">
        <v>11</v>
      </c>
      <c r="CJ36" s="372"/>
      <c r="CK36" s="372"/>
      <c r="CL36" s="372"/>
      <c r="CM36" s="372"/>
      <c r="CN36" s="364">
        <f t="shared" si="12"/>
        <v>49</v>
      </c>
      <c r="CO36" s="371">
        <v>119</v>
      </c>
      <c r="CP36" s="372">
        <v>24</v>
      </c>
      <c r="CQ36" s="372">
        <v>1</v>
      </c>
      <c r="CR36" s="372"/>
      <c r="CS36" s="372"/>
      <c r="CT36" s="372"/>
      <c r="CU36" s="364">
        <f t="shared" si="13"/>
        <v>144</v>
      </c>
      <c r="CV36" s="371"/>
      <c r="CW36" s="372"/>
      <c r="CX36" s="372"/>
      <c r="CY36" s="372"/>
      <c r="CZ36" s="372"/>
      <c r="DA36" s="372"/>
      <c r="DB36" s="364">
        <f t="shared" si="14"/>
        <v>0</v>
      </c>
      <c r="DC36" s="371"/>
      <c r="DD36" s="372"/>
      <c r="DE36" s="372"/>
      <c r="DF36" s="372"/>
      <c r="DG36" s="372"/>
      <c r="DH36" s="372"/>
      <c r="DI36" s="364">
        <f t="shared" si="15"/>
        <v>0</v>
      </c>
      <c r="DJ36" s="373"/>
      <c r="DK36" s="374"/>
      <c r="DL36" s="374"/>
      <c r="DM36" s="374"/>
      <c r="DN36" s="374"/>
      <c r="DO36" s="374"/>
      <c r="DP36" s="367">
        <f t="shared" si="16"/>
        <v>0</v>
      </c>
      <c r="DQ36" s="373"/>
      <c r="DR36" s="374"/>
      <c r="DS36" s="374"/>
      <c r="DT36" s="374"/>
      <c r="DU36" s="374"/>
      <c r="DV36" s="374"/>
      <c r="DW36" s="367">
        <f t="shared" si="17"/>
        <v>0</v>
      </c>
      <c r="DX36" s="373"/>
      <c r="DY36" s="374"/>
      <c r="DZ36" s="374"/>
      <c r="EA36" s="374"/>
      <c r="EB36" s="374"/>
      <c r="EC36" s="374"/>
      <c r="ED36" s="367">
        <f t="shared" si="18"/>
        <v>0</v>
      </c>
      <c r="EE36" s="375"/>
      <c r="EF36" s="375"/>
      <c r="EG36" s="375"/>
      <c r="EH36" s="375"/>
      <c r="EI36" s="375"/>
      <c r="EJ36" s="375"/>
      <c r="EK36" s="375"/>
      <c r="EL36" s="373"/>
      <c r="EM36" s="374"/>
      <c r="EN36" s="374"/>
      <c r="EO36" s="374"/>
      <c r="EP36" s="374"/>
      <c r="EQ36" s="374"/>
      <c r="ER36" s="367">
        <f t="shared" si="19"/>
        <v>0</v>
      </c>
      <c r="ES36" s="373"/>
      <c r="ET36" s="374"/>
      <c r="EU36" s="374"/>
      <c r="EV36" s="374"/>
      <c r="EW36" s="374"/>
      <c r="EX36" s="374"/>
      <c r="EY36" s="367">
        <f t="shared" si="20"/>
        <v>0</v>
      </c>
      <c r="EZ36" s="373"/>
      <c r="FA36" s="374"/>
      <c r="FB36" s="374"/>
      <c r="FC36" s="374"/>
      <c r="FD36" s="374"/>
      <c r="FE36" s="374"/>
      <c r="FF36" s="367">
        <f t="shared" si="21"/>
        <v>0</v>
      </c>
      <c r="FG36" s="375"/>
      <c r="FH36" s="375"/>
      <c r="FI36" s="375"/>
      <c r="FJ36" s="375"/>
      <c r="FK36" s="375"/>
      <c r="FL36" s="375"/>
      <c r="FM36" s="375"/>
      <c r="FN36" s="373"/>
      <c r="FO36" s="374"/>
      <c r="FP36" s="374"/>
      <c r="FQ36" s="374"/>
      <c r="FR36" s="374"/>
      <c r="FS36" s="374"/>
      <c r="FT36" s="367">
        <f t="shared" si="22"/>
        <v>0</v>
      </c>
      <c r="FU36" s="373"/>
      <c r="FV36" s="374"/>
      <c r="FW36" s="374"/>
      <c r="FX36" s="374"/>
      <c r="FY36" s="374"/>
      <c r="FZ36" s="374"/>
      <c r="GA36" s="367">
        <f t="shared" si="23"/>
        <v>0</v>
      </c>
      <c r="GB36" s="373"/>
      <c r="GC36" s="374"/>
      <c r="GD36" s="374"/>
      <c r="GE36" s="374"/>
      <c r="GF36" s="374"/>
      <c r="GG36" s="374"/>
      <c r="GH36" s="367">
        <f t="shared" si="24"/>
        <v>0</v>
      </c>
      <c r="GI36" s="375"/>
      <c r="GJ36" s="375"/>
      <c r="GK36" s="375"/>
      <c r="GL36" s="375"/>
      <c r="GM36" s="375"/>
      <c r="GN36" s="375"/>
      <c r="GO36" s="375"/>
      <c r="GP36" s="373"/>
      <c r="GQ36" s="374"/>
      <c r="GR36" s="374"/>
      <c r="GS36" s="374"/>
      <c r="GT36" s="374"/>
      <c r="GU36" s="374"/>
      <c r="GV36" s="367">
        <f t="shared" si="25"/>
        <v>0</v>
      </c>
      <c r="GW36" s="373"/>
      <c r="GX36" s="374"/>
      <c r="GY36" s="374"/>
      <c r="GZ36" s="374"/>
      <c r="HA36" s="374"/>
      <c r="HB36" s="374"/>
      <c r="HC36" s="367">
        <f t="shared" si="26"/>
        <v>0</v>
      </c>
      <c r="HD36" s="373"/>
      <c r="HE36" s="374"/>
      <c r="HF36" s="374"/>
      <c r="HG36" s="374"/>
      <c r="HH36" s="374"/>
      <c r="HI36" s="374"/>
      <c r="HJ36" s="367">
        <f t="shared" si="27"/>
        <v>0</v>
      </c>
    </row>
    <row r="37" spans="1:218" s="369" customFormat="1" ht="21.75" customHeight="1" x14ac:dyDescent="0.6">
      <c r="A37" s="370" t="s">
        <v>92</v>
      </c>
      <c r="B37" s="371">
        <v>42</v>
      </c>
      <c r="C37" s="372">
        <v>7</v>
      </c>
      <c r="D37" s="372">
        <v>1</v>
      </c>
      <c r="E37" s="372"/>
      <c r="F37" s="372">
        <v>1</v>
      </c>
      <c r="G37" s="372">
        <v>3</v>
      </c>
      <c r="H37" s="364">
        <f t="shared" si="0"/>
        <v>54</v>
      </c>
      <c r="I37" s="371">
        <v>40</v>
      </c>
      <c r="J37" s="372">
        <v>12</v>
      </c>
      <c r="K37" s="372"/>
      <c r="L37" s="372"/>
      <c r="M37" s="372"/>
      <c r="N37" s="372"/>
      <c r="O37" s="364">
        <f t="shared" si="1"/>
        <v>52</v>
      </c>
      <c r="P37" s="371">
        <v>25</v>
      </c>
      <c r="Q37" s="372">
        <v>5</v>
      </c>
      <c r="R37" s="372"/>
      <c r="S37" s="372"/>
      <c r="T37" s="372"/>
      <c r="U37" s="372"/>
      <c r="V37" s="364">
        <f t="shared" si="2"/>
        <v>30</v>
      </c>
      <c r="W37" s="371"/>
      <c r="X37" s="372"/>
      <c r="Y37" s="372"/>
      <c r="Z37" s="372"/>
      <c r="AA37" s="372"/>
      <c r="AB37" s="372"/>
      <c r="AC37" s="364">
        <f t="shared" si="3"/>
        <v>0</v>
      </c>
      <c r="AD37" s="371">
        <v>57</v>
      </c>
      <c r="AE37" s="372">
        <v>19</v>
      </c>
      <c r="AF37" s="372"/>
      <c r="AG37" s="372"/>
      <c r="AH37" s="372"/>
      <c r="AI37" s="372"/>
      <c r="AJ37" s="364">
        <f t="shared" si="4"/>
        <v>76</v>
      </c>
      <c r="AK37" s="371">
        <v>168</v>
      </c>
      <c r="AL37" s="372">
        <v>44</v>
      </c>
      <c r="AM37" s="372"/>
      <c r="AN37" s="372">
        <v>1</v>
      </c>
      <c r="AO37" s="372">
        <v>5</v>
      </c>
      <c r="AP37" s="372">
        <v>1</v>
      </c>
      <c r="AQ37" s="364">
        <f t="shared" si="5"/>
        <v>219</v>
      </c>
      <c r="AR37" s="371">
        <v>29</v>
      </c>
      <c r="AS37" s="372">
        <v>6</v>
      </c>
      <c r="AT37" s="372"/>
      <c r="AU37" s="372"/>
      <c r="AV37" s="372"/>
      <c r="AW37" s="372"/>
      <c r="AX37" s="364">
        <f t="shared" si="6"/>
        <v>35</v>
      </c>
      <c r="AY37" s="371">
        <v>58</v>
      </c>
      <c r="AZ37" s="372">
        <v>26</v>
      </c>
      <c r="BA37" s="372"/>
      <c r="BB37" s="372"/>
      <c r="BC37" s="372">
        <v>2</v>
      </c>
      <c r="BD37" s="372">
        <v>1</v>
      </c>
      <c r="BE37" s="364">
        <f t="shared" si="7"/>
        <v>87</v>
      </c>
      <c r="BF37" s="371">
        <v>3</v>
      </c>
      <c r="BG37" s="372"/>
      <c r="BH37" s="372"/>
      <c r="BI37" s="372"/>
      <c r="BJ37" s="372"/>
      <c r="BK37" s="372"/>
      <c r="BL37" s="364">
        <f t="shared" si="8"/>
        <v>3</v>
      </c>
      <c r="BM37" s="371">
        <v>57</v>
      </c>
      <c r="BN37" s="372">
        <v>16</v>
      </c>
      <c r="BO37" s="372"/>
      <c r="BP37" s="372"/>
      <c r="BQ37" s="372"/>
      <c r="BR37" s="372"/>
      <c r="BS37" s="364">
        <f t="shared" si="9"/>
        <v>73</v>
      </c>
      <c r="BT37" s="371">
        <v>37</v>
      </c>
      <c r="BU37" s="372">
        <v>19</v>
      </c>
      <c r="BV37" s="372"/>
      <c r="BW37" s="372"/>
      <c r="BX37" s="372"/>
      <c r="BY37" s="372"/>
      <c r="BZ37" s="364">
        <f t="shared" si="10"/>
        <v>56</v>
      </c>
      <c r="CA37" s="371"/>
      <c r="CB37" s="372"/>
      <c r="CC37" s="372"/>
      <c r="CD37" s="372"/>
      <c r="CE37" s="372"/>
      <c r="CF37" s="372"/>
      <c r="CG37" s="364">
        <f t="shared" si="11"/>
        <v>0</v>
      </c>
      <c r="CH37" s="371">
        <v>42</v>
      </c>
      <c r="CI37" s="372">
        <v>12</v>
      </c>
      <c r="CJ37" s="372"/>
      <c r="CK37" s="372"/>
      <c r="CL37" s="372">
        <v>1</v>
      </c>
      <c r="CM37" s="372"/>
      <c r="CN37" s="364">
        <f t="shared" si="12"/>
        <v>55</v>
      </c>
      <c r="CO37" s="371">
        <v>103</v>
      </c>
      <c r="CP37" s="372">
        <v>28</v>
      </c>
      <c r="CQ37" s="372"/>
      <c r="CR37" s="372"/>
      <c r="CS37" s="372">
        <v>2</v>
      </c>
      <c r="CT37" s="372">
        <v>1</v>
      </c>
      <c r="CU37" s="364">
        <f t="shared" si="13"/>
        <v>134</v>
      </c>
      <c r="CV37" s="371"/>
      <c r="CW37" s="372"/>
      <c r="CX37" s="372"/>
      <c r="CY37" s="372"/>
      <c r="CZ37" s="372"/>
      <c r="DA37" s="372"/>
      <c r="DB37" s="364">
        <f t="shared" si="14"/>
        <v>0</v>
      </c>
      <c r="DC37" s="371"/>
      <c r="DD37" s="372"/>
      <c r="DE37" s="372"/>
      <c r="DF37" s="372"/>
      <c r="DG37" s="372"/>
      <c r="DH37" s="372"/>
      <c r="DI37" s="364">
        <f t="shared" si="15"/>
        <v>0</v>
      </c>
      <c r="DJ37" s="373"/>
      <c r="DK37" s="374"/>
      <c r="DL37" s="374"/>
      <c r="DM37" s="374"/>
      <c r="DN37" s="374"/>
      <c r="DO37" s="374"/>
      <c r="DP37" s="367">
        <f t="shared" si="16"/>
        <v>0</v>
      </c>
      <c r="DQ37" s="373"/>
      <c r="DR37" s="374"/>
      <c r="DS37" s="374"/>
      <c r="DT37" s="374"/>
      <c r="DU37" s="374"/>
      <c r="DV37" s="374"/>
      <c r="DW37" s="367">
        <f t="shared" si="17"/>
        <v>0</v>
      </c>
      <c r="DX37" s="373"/>
      <c r="DY37" s="374"/>
      <c r="DZ37" s="374"/>
      <c r="EA37" s="374"/>
      <c r="EB37" s="374"/>
      <c r="EC37" s="374"/>
      <c r="ED37" s="367">
        <f t="shared" si="18"/>
        <v>0</v>
      </c>
      <c r="EE37" s="375"/>
      <c r="EF37" s="375"/>
      <c r="EG37" s="375"/>
      <c r="EH37" s="375"/>
      <c r="EI37" s="375"/>
      <c r="EJ37" s="375"/>
      <c r="EK37" s="375"/>
      <c r="EL37" s="373"/>
      <c r="EM37" s="374"/>
      <c r="EN37" s="374"/>
      <c r="EO37" s="374"/>
      <c r="EP37" s="374"/>
      <c r="EQ37" s="374"/>
      <c r="ER37" s="367">
        <f t="shared" si="19"/>
        <v>0</v>
      </c>
      <c r="ES37" s="373"/>
      <c r="ET37" s="374"/>
      <c r="EU37" s="374"/>
      <c r="EV37" s="374"/>
      <c r="EW37" s="374"/>
      <c r="EX37" s="374"/>
      <c r="EY37" s="367">
        <f t="shared" si="20"/>
        <v>0</v>
      </c>
      <c r="EZ37" s="373"/>
      <c r="FA37" s="374"/>
      <c r="FB37" s="374"/>
      <c r="FC37" s="374"/>
      <c r="FD37" s="374"/>
      <c r="FE37" s="374"/>
      <c r="FF37" s="367">
        <f t="shared" si="21"/>
        <v>0</v>
      </c>
      <c r="FG37" s="375"/>
      <c r="FH37" s="375"/>
      <c r="FI37" s="375"/>
      <c r="FJ37" s="375"/>
      <c r="FK37" s="375"/>
      <c r="FL37" s="375"/>
      <c r="FM37" s="375"/>
      <c r="FN37" s="373"/>
      <c r="FO37" s="374"/>
      <c r="FP37" s="374"/>
      <c r="FQ37" s="374"/>
      <c r="FR37" s="374"/>
      <c r="FS37" s="374"/>
      <c r="FT37" s="367">
        <f t="shared" si="22"/>
        <v>0</v>
      </c>
      <c r="FU37" s="373"/>
      <c r="FV37" s="374"/>
      <c r="FW37" s="374"/>
      <c r="FX37" s="374"/>
      <c r="FY37" s="374"/>
      <c r="FZ37" s="374"/>
      <c r="GA37" s="367">
        <f t="shared" si="23"/>
        <v>0</v>
      </c>
      <c r="GB37" s="373"/>
      <c r="GC37" s="374"/>
      <c r="GD37" s="374"/>
      <c r="GE37" s="374"/>
      <c r="GF37" s="374"/>
      <c r="GG37" s="374"/>
      <c r="GH37" s="367">
        <f t="shared" si="24"/>
        <v>0</v>
      </c>
      <c r="GI37" s="375"/>
      <c r="GJ37" s="375"/>
      <c r="GK37" s="375"/>
      <c r="GL37" s="375"/>
      <c r="GM37" s="375"/>
      <c r="GN37" s="375"/>
      <c r="GO37" s="375"/>
      <c r="GP37" s="373"/>
      <c r="GQ37" s="374"/>
      <c r="GR37" s="374"/>
      <c r="GS37" s="374"/>
      <c r="GT37" s="374"/>
      <c r="GU37" s="374"/>
      <c r="GV37" s="367">
        <f t="shared" si="25"/>
        <v>0</v>
      </c>
      <c r="GW37" s="373"/>
      <c r="GX37" s="374"/>
      <c r="GY37" s="374"/>
      <c r="GZ37" s="374"/>
      <c r="HA37" s="374"/>
      <c r="HB37" s="374"/>
      <c r="HC37" s="367">
        <f t="shared" si="26"/>
        <v>0</v>
      </c>
      <c r="HD37" s="373"/>
      <c r="HE37" s="374"/>
      <c r="HF37" s="374"/>
      <c r="HG37" s="374"/>
      <c r="HH37" s="374"/>
      <c r="HI37" s="374"/>
      <c r="HJ37" s="367">
        <f t="shared" si="27"/>
        <v>0</v>
      </c>
    </row>
    <row r="38" spans="1:218" s="369" customFormat="1" ht="21.75" customHeight="1" x14ac:dyDescent="0.6">
      <c r="A38" s="376" t="s">
        <v>93</v>
      </c>
      <c r="B38" s="377">
        <v>35</v>
      </c>
      <c r="C38" s="378">
        <v>11</v>
      </c>
      <c r="D38" s="378"/>
      <c r="E38" s="378"/>
      <c r="F38" s="378"/>
      <c r="G38" s="378"/>
      <c r="H38" s="364">
        <f t="shared" si="0"/>
        <v>46</v>
      </c>
      <c r="I38" s="377">
        <v>37</v>
      </c>
      <c r="J38" s="378">
        <v>9</v>
      </c>
      <c r="K38" s="378"/>
      <c r="L38" s="378"/>
      <c r="M38" s="378"/>
      <c r="N38" s="378"/>
      <c r="O38" s="364">
        <f t="shared" si="1"/>
        <v>46</v>
      </c>
      <c r="P38" s="377">
        <v>20</v>
      </c>
      <c r="Q38" s="378">
        <v>9</v>
      </c>
      <c r="R38" s="378"/>
      <c r="S38" s="378"/>
      <c r="T38" s="378"/>
      <c r="U38" s="378"/>
      <c r="V38" s="364">
        <f t="shared" si="2"/>
        <v>29</v>
      </c>
      <c r="W38" s="377"/>
      <c r="X38" s="378"/>
      <c r="Y38" s="378"/>
      <c r="Z38" s="378"/>
      <c r="AA38" s="378"/>
      <c r="AB38" s="378"/>
      <c r="AC38" s="364">
        <f t="shared" si="3"/>
        <v>0</v>
      </c>
      <c r="AD38" s="377">
        <v>49</v>
      </c>
      <c r="AE38" s="378">
        <v>21</v>
      </c>
      <c r="AF38" s="378"/>
      <c r="AG38" s="378"/>
      <c r="AH38" s="378">
        <v>1</v>
      </c>
      <c r="AI38" s="378"/>
      <c r="AJ38" s="364">
        <f t="shared" si="4"/>
        <v>71</v>
      </c>
      <c r="AK38" s="377">
        <v>137</v>
      </c>
      <c r="AL38" s="378">
        <v>57</v>
      </c>
      <c r="AM38" s="378">
        <v>1</v>
      </c>
      <c r="AN38" s="378"/>
      <c r="AO38" s="378">
        <v>4</v>
      </c>
      <c r="AP38" s="378"/>
      <c r="AQ38" s="364">
        <f t="shared" si="5"/>
        <v>199</v>
      </c>
      <c r="AR38" s="377">
        <v>33</v>
      </c>
      <c r="AS38" s="378">
        <v>8</v>
      </c>
      <c r="AT38" s="378"/>
      <c r="AU38" s="378"/>
      <c r="AV38" s="378"/>
      <c r="AW38" s="378"/>
      <c r="AX38" s="364">
        <f t="shared" si="6"/>
        <v>41</v>
      </c>
      <c r="AY38" s="377">
        <v>62</v>
      </c>
      <c r="AZ38" s="378">
        <v>13</v>
      </c>
      <c r="BA38" s="378"/>
      <c r="BB38" s="378"/>
      <c r="BC38" s="378">
        <v>1</v>
      </c>
      <c r="BD38" s="378"/>
      <c r="BE38" s="364">
        <f t="shared" si="7"/>
        <v>76</v>
      </c>
      <c r="BF38" s="377">
        <v>5</v>
      </c>
      <c r="BG38" s="378"/>
      <c r="BH38" s="378"/>
      <c r="BI38" s="378"/>
      <c r="BJ38" s="378"/>
      <c r="BK38" s="378"/>
      <c r="BL38" s="364">
        <f t="shared" si="8"/>
        <v>5</v>
      </c>
      <c r="BM38" s="377">
        <v>64</v>
      </c>
      <c r="BN38" s="378">
        <v>15</v>
      </c>
      <c r="BO38" s="378"/>
      <c r="BP38" s="378"/>
      <c r="BQ38" s="378">
        <v>1</v>
      </c>
      <c r="BR38" s="378"/>
      <c r="BS38" s="364">
        <f t="shared" si="9"/>
        <v>80</v>
      </c>
      <c r="BT38" s="377">
        <v>51</v>
      </c>
      <c r="BU38" s="378">
        <v>12</v>
      </c>
      <c r="BV38" s="378"/>
      <c r="BW38" s="378"/>
      <c r="BX38" s="378"/>
      <c r="BY38" s="378"/>
      <c r="BZ38" s="364">
        <f t="shared" si="10"/>
        <v>63</v>
      </c>
      <c r="CA38" s="377"/>
      <c r="CB38" s="378"/>
      <c r="CC38" s="378"/>
      <c r="CD38" s="378"/>
      <c r="CE38" s="378"/>
      <c r="CF38" s="378"/>
      <c r="CG38" s="364">
        <f t="shared" si="11"/>
        <v>0</v>
      </c>
      <c r="CH38" s="377">
        <v>40</v>
      </c>
      <c r="CI38" s="378">
        <v>10</v>
      </c>
      <c r="CJ38" s="378"/>
      <c r="CK38" s="378"/>
      <c r="CL38" s="378"/>
      <c r="CM38" s="378"/>
      <c r="CN38" s="364">
        <f t="shared" si="12"/>
        <v>50</v>
      </c>
      <c r="CO38" s="377">
        <v>117</v>
      </c>
      <c r="CP38" s="378">
        <v>20</v>
      </c>
      <c r="CQ38" s="378"/>
      <c r="CR38" s="378"/>
      <c r="CS38" s="378">
        <v>2</v>
      </c>
      <c r="CT38" s="378"/>
      <c r="CU38" s="364">
        <f t="shared" si="13"/>
        <v>139</v>
      </c>
      <c r="CV38" s="377"/>
      <c r="CW38" s="378"/>
      <c r="CX38" s="378"/>
      <c r="CY38" s="378"/>
      <c r="CZ38" s="378"/>
      <c r="DA38" s="378"/>
      <c r="DB38" s="364">
        <f t="shared" si="14"/>
        <v>0</v>
      </c>
      <c r="DC38" s="377"/>
      <c r="DD38" s="378"/>
      <c r="DE38" s="378"/>
      <c r="DF38" s="378"/>
      <c r="DG38" s="378"/>
      <c r="DH38" s="378"/>
      <c r="DI38" s="364">
        <f t="shared" si="15"/>
        <v>0</v>
      </c>
      <c r="DJ38" s="379"/>
      <c r="DK38" s="380"/>
      <c r="DL38" s="380"/>
      <c r="DM38" s="380"/>
      <c r="DN38" s="380"/>
      <c r="DO38" s="380"/>
      <c r="DP38" s="367">
        <f t="shared" si="16"/>
        <v>0</v>
      </c>
      <c r="DQ38" s="379"/>
      <c r="DR38" s="380"/>
      <c r="DS38" s="380"/>
      <c r="DT38" s="380"/>
      <c r="DU38" s="380"/>
      <c r="DV38" s="380"/>
      <c r="DW38" s="367">
        <f t="shared" si="17"/>
        <v>0</v>
      </c>
      <c r="DX38" s="379"/>
      <c r="DY38" s="380"/>
      <c r="DZ38" s="380"/>
      <c r="EA38" s="380"/>
      <c r="EB38" s="380"/>
      <c r="EC38" s="380"/>
      <c r="ED38" s="367">
        <f t="shared" si="18"/>
        <v>0</v>
      </c>
      <c r="EE38" s="375"/>
      <c r="EF38" s="375"/>
      <c r="EG38" s="375"/>
      <c r="EH38" s="375"/>
      <c r="EI38" s="375"/>
      <c r="EJ38" s="375"/>
      <c r="EK38" s="375"/>
      <c r="EL38" s="379"/>
      <c r="EM38" s="380"/>
      <c r="EN38" s="380"/>
      <c r="EO38" s="380"/>
      <c r="EP38" s="380"/>
      <c r="EQ38" s="380"/>
      <c r="ER38" s="367">
        <f t="shared" si="19"/>
        <v>0</v>
      </c>
      <c r="ES38" s="379"/>
      <c r="ET38" s="380"/>
      <c r="EU38" s="380"/>
      <c r="EV38" s="380"/>
      <c r="EW38" s="380"/>
      <c r="EX38" s="380"/>
      <c r="EY38" s="367">
        <f t="shared" si="20"/>
        <v>0</v>
      </c>
      <c r="EZ38" s="379"/>
      <c r="FA38" s="380"/>
      <c r="FB38" s="380"/>
      <c r="FC38" s="380"/>
      <c r="FD38" s="380"/>
      <c r="FE38" s="380"/>
      <c r="FF38" s="367">
        <f t="shared" si="21"/>
        <v>0</v>
      </c>
      <c r="FG38" s="375"/>
      <c r="FH38" s="375"/>
      <c r="FI38" s="375"/>
      <c r="FJ38" s="375"/>
      <c r="FK38" s="375"/>
      <c r="FL38" s="375"/>
      <c r="FM38" s="375"/>
      <c r="FN38" s="379"/>
      <c r="FO38" s="380"/>
      <c r="FP38" s="380"/>
      <c r="FQ38" s="380"/>
      <c r="FR38" s="380"/>
      <c r="FS38" s="380"/>
      <c r="FT38" s="367">
        <f t="shared" si="22"/>
        <v>0</v>
      </c>
      <c r="FU38" s="379"/>
      <c r="FV38" s="380"/>
      <c r="FW38" s="380"/>
      <c r="FX38" s="380"/>
      <c r="FY38" s="380"/>
      <c r="FZ38" s="380"/>
      <c r="GA38" s="367">
        <f t="shared" si="23"/>
        <v>0</v>
      </c>
      <c r="GB38" s="379"/>
      <c r="GC38" s="380"/>
      <c r="GD38" s="380"/>
      <c r="GE38" s="380"/>
      <c r="GF38" s="380"/>
      <c r="GG38" s="380"/>
      <c r="GH38" s="367">
        <f t="shared" si="24"/>
        <v>0</v>
      </c>
      <c r="GI38" s="375"/>
      <c r="GJ38" s="375"/>
      <c r="GK38" s="375"/>
      <c r="GL38" s="375"/>
      <c r="GM38" s="375"/>
      <c r="GN38" s="375"/>
      <c r="GO38" s="375"/>
      <c r="GP38" s="379"/>
      <c r="GQ38" s="380"/>
      <c r="GR38" s="380"/>
      <c r="GS38" s="380"/>
      <c r="GT38" s="380"/>
      <c r="GU38" s="380"/>
      <c r="GV38" s="367">
        <f t="shared" si="25"/>
        <v>0</v>
      </c>
      <c r="GW38" s="379"/>
      <c r="GX38" s="380"/>
      <c r="GY38" s="380"/>
      <c r="GZ38" s="380"/>
      <c r="HA38" s="380"/>
      <c r="HB38" s="380"/>
      <c r="HC38" s="367">
        <f t="shared" si="26"/>
        <v>0</v>
      </c>
      <c r="HD38" s="379"/>
      <c r="HE38" s="380"/>
      <c r="HF38" s="380"/>
      <c r="HG38" s="380"/>
      <c r="HH38" s="380"/>
      <c r="HI38" s="380"/>
      <c r="HJ38" s="367">
        <f t="shared" si="27"/>
        <v>0</v>
      </c>
    </row>
    <row r="39" spans="1:218" s="369" customFormat="1" ht="21.75" customHeight="1" x14ac:dyDescent="0.6">
      <c r="A39" s="361" t="s">
        <v>94</v>
      </c>
      <c r="B39" s="362">
        <v>38</v>
      </c>
      <c r="C39" s="363">
        <v>9</v>
      </c>
      <c r="D39" s="363"/>
      <c r="E39" s="363"/>
      <c r="F39" s="363">
        <v>2</v>
      </c>
      <c r="G39" s="363">
        <v>1</v>
      </c>
      <c r="H39" s="364">
        <f t="shared" si="0"/>
        <v>50</v>
      </c>
      <c r="I39" s="362">
        <v>28</v>
      </c>
      <c r="J39" s="363">
        <v>13</v>
      </c>
      <c r="K39" s="363"/>
      <c r="L39" s="363"/>
      <c r="M39" s="363"/>
      <c r="N39" s="363"/>
      <c r="O39" s="364">
        <f t="shared" si="1"/>
        <v>41</v>
      </c>
      <c r="P39" s="362">
        <v>26</v>
      </c>
      <c r="Q39" s="363">
        <v>12</v>
      </c>
      <c r="R39" s="363"/>
      <c r="S39" s="363"/>
      <c r="T39" s="363">
        <v>1</v>
      </c>
      <c r="U39" s="363"/>
      <c r="V39" s="364">
        <f t="shared" si="2"/>
        <v>39</v>
      </c>
      <c r="W39" s="362"/>
      <c r="X39" s="363"/>
      <c r="Y39" s="363"/>
      <c r="Z39" s="363"/>
      <c r="AA39" s="363"/>
      <c r="AB39" s="363"/>
      <c r="AC39" s="364">
        <f t="shared" si="3"/>
        <v>0</v>
      </c>
      <c r="AD39" s="362">
        <v>61</v>
      </c>
      <c r="AE39" s="363">
        <v>17</v>
      </c>
      <c r="AF39" s="363"/>
      <c r="AG39" s="363"/>
      <c r="AH39" s="363"/>
      <c r="AI39" s="363"/>
      <c r="AJ39" s="364">
        <f t="shared" si="4"/>
        <v>78</v>
      </c>
      <c r="AK39" s="362">
        <v>159</v>
      </c>
      <c r="AL39" s="363">
        <v>46</v>
      </c>
      <c r="AM39" s="363"/>
      <c r="AN39" s="363"/>
      <c r="AO39" s="363">
        <v>2</v>
      </c>
      <c r="AP39" s="363"/>
      <c r="AQ39" s="364">
        <f t="shared" si="5"/>
        <v>207</v>
      </c>
      <c r="AR39" s="362">
        <v>39</v>
      </c>
      <c r="AS39" s="363">
        <v>10</v>
      </c>
      <c r="AT39" s="363"/>
      <c r="AU39" s="363"/>
      <c r="AV39" s="363">
        <v>1</v>
      </c>
      <c r="AW39" s="363">
        <v>1</v>
      </c>
      <c r="AX39" s="364">
        <f t="shared" si="6"/>
        <v>51</v>
      </c>
      <c r="AY39" s="362">
        <v>50</v>
      </c>
      <c r="AZ39" s="363">
        <v>25</v>
      </c>
      <c r="BA39" s="363"/>
      <c r="BB39" s="363"/>
      <c r="BC39" s="363"/>
      <c r="BD39" s="363">
        <v>1</v>
      </c>
      <c r="BE39" s="364">
        <f t="shared" si="7"/>
        <v>76</v>
      </c>
      <c r="BF39" s="362">
        <v>7</v>
      </c>
      <c r="BG39" s="363">
        <v>2</v>
      </c>
      <c r="BH39" s="363"/>
      <c r="BI39" s="363"/>
      <c r="BJ39" s="363">
        <v>2</v>
      </c>
      <c r="BK39" s="363"/>
      <c r="BL39" s="364">
        <f t="shared" si="8"/>
        <v>11</v>
      </c>
      <c r="BM39" s="362">
        <v>59</v>
      </c>
      <c r="BN39" s="363">
        <v>17</v>
      </c>
      <c r="BO39" s="363"/>
      <c r="BP39" s="363"/>
      <c r="BQ39" s="363"/>
      <c r="BR39" s="363"/>
      <c r="BS39" s="364">
        <f t="shared" si="9"/>
        <v>76</v>
      </c>
      <c r="BT39" s="362">
        <v>42</v>
      </c>
      <c r="BU39" s="363">
        <v>21</v>
      </c>
      <c r="BV39" s="363"/>
      <c r="BW39" s="363"/>
      <c r="BX39" s="363"/>
      <c r="BY39" s="363"/>
      <c r="BZ39" s="364">
        <f t="shared" si="10"/>
        <v>63</v>
      </c>
      <c r="CA39" s="362"/>
      <c r="CB39" s="363"/>
      <c r="CC39" s="363"/>
      <c r="CD39" s="363"/>
      <c r="CE39" s="363"/>
      <c r="CF39" s="363"/>
      <c r="CG39" s="364">
        <f t="shared" si="11"/>
        <v>0</v>
      </c>
      <c r="CH39" s="362">
        <v>46</v>
      </c>
      <c r="CI39" s="363">
        <v>7</v>
      </c>
      <c r="CJ39" s="363"/>
      <c r="CK39" s="363"/>
      <c r="CL39" s="363">
        <v>1</v>
      </c>
      <c r="CM39" s="363"/>
      <c r="CN39" s="364">
        <f t="shared" si="12"/>
        <v>54</v>
      </c>
      <c r="CO39" s="362">
        <v>129</v>
      </c>
      <c r="CP39" s="363">
        <v>40</v>
      </c>
      <c r="CQ39" s="363"/>
      <c r="CR39" s="363">
        <v>2</v>
      </c>
      <c r="CS39" s="363">
        <v>4</v>
      </c>
      <c r="CT39" s="363"/>
      <c r="CU39" s="364">
        <f t="shared" si="13"/>
        <v>175</v>
      </c>
      <c r="CV39" s="362"/>
      <c r="CW39" s="363"/>
      <c r="CX39" s="363"/>
      <c r="CY39" s="363"/>
      <c r="CZ39" s="363"/>
      <c r="DA39" s="363"/>
      <c r="DB39" s="364">
        <f t="shared" si="14"/>
        <v>0</v>
      </c>
      <c r="DC39" s="362"/>
      <c r="DD39" s="363"/>
      <c r="DE39" s="363"/>
      <c r="DF39" s="363"/>
      <c r="DG39" s="363"/>
      <c r="DH39" s="363"/>
      <c r="DI39" s="364">
        <f t="shared" si="15"/>
        <v>0</v>
      </c>
      <c r="DJ39" s="365"/>
      <c r="DK39" s="366"/>
      <c r="DL39" s="366"/>
      <c r="DM39" s="366"/>
      <c r="DN39" s="366"/>
      <c r="DO39" s="366"/>
      <c r="DP39" s="367">
        <f t="shared" si="16"/>
        <v>0</v>
      </c>
      <c r="DQ39" s="365"/>
      <c r="DR39" s="366"/>
      <c r="DS39" s="366"/>
      <c r="DT39" s="366"/>
      <c r="DU39" s="366"/>
      <c r="DV39" s="366"/>
      <c r="DW39" s="367">
        <f t="shared" si="17"/>
        <v>0</v>
      </c>
      <c r="DX39" s="365"/>
      <c r="DY39" s="366"/>
      <c r="DZ39" s="366"/>
      <c r="EA39" s="366"/>
      <c r="EB39" s="366"/>
      <c r="EC39" s="366"/>
      <c r="ED39" s="367">
        <f t="shared" si="18"/>
        <v>0</v>
      </c>
      <c r="EE39" s="368"/>
      <c r="EF39" s="368"/>
      <c r="EG39" s="368"/>
      <c r="EH39" s="368"/>
      <c r="EI39" s="368"/>
      <c r="EJ39" s="368"/>
      <c r="EK39" s="368"/>
      <c r="EL39" s="365"/>
      <c r="EM39" s="366"/>
      <c r="EN39" s="366"/>
      <c r="EO39" s="366"/>
      <c r="EP39" s="366"/>
      <c r="EQ39" s="366"/>
      <c r="ER39" s="367">
        <f t="shared" si="19"/>
        <v>0</v>
      </c>
      <c r="ES39" s="365"/>
      <c r="ET39" s="366"/>
      <c r="EU39" s="366"/>
      <c r="EV39" s="366"/>
      <c r="EW39" s="366"/>
      <c r="EX39" s="366"/>
      <c r="EY39" s="367">
        <f t="shared" si="20"/>
        <v>0</v>
      </c>
      <c r="EZ39" s="365"/>
      <c r="FA39" s="366"/>
      <c r="FB39" s="366"/>
      <c r="FC39" s="366"/>
      <c r="FD39" s="366"/>
      <c r="FE39" s="366"/>
      <c r="FF39" s="367">
        <f t="shared" si="21"/>
        <v>0</v>
      </c>
      <c r="FG39" s="368"/>
      <c r="FH39" s="368"/>
      <c r="FI39" s="368"/>
      <c r="FJ39" s="368"/>
      <c r="FK39" s="368"/>
      <c r="FL39" s="368"/>
      <c r="FM39" s="368"/>
      <c r="FN39" s="365"/>
      <c r="FO39" s="366"/>
      <c r="FP39" s="366"/>
      <c r="FQ39" s="366"/>
      <c r="FR39" s="366"/>
      <c r="FS39" s="366"/>
      <c r="FT39" s="367">
        <f t="shared" si="22"/>
        <v>0</v>
      </c>
      <c r="FU39" s="365"/>
      <c r="FV39" s="366"/>
      <c r="FW39" s="366"/>
      <c r="FX39" s="366"/>
      <c r="FY39" s="366"/>
      <c r="FZ39" s="366"/>
      <c r="GA39" s="367">
        <f t="shared" si="23"/>
        <v>0</v>
      </c>
      <c r="GB39" s="365"/>
      <c r="GC39" s="366"/>
      <c r="GD39" s="366"/>
      <c r="GE39" s="366"/>
      <c r="GF39" s="366"/>
      <c r="GG39" s="366"/>
      <c r="GH39" s="367">
        <f t="shared" si="24"/>
        <v>0</v>
      </c>
      <c r="GI39" s="368"/>
      <c r="GJ39" s="368"/>
      <c r="GK39" s="368"/>
      <c r="GL39" s="368"/>
      <c r="GM39" s="368"/>
      <c r="GN39" s="368"/>
      <c r="GO39" s="368"/>
      <c r="GP39" s="365"/>
      <c r="GQ39" s="366"/>
      <c r="GR39" s="366"/>
      <c r="GS39" s="366"/>
      <c r="GT39" s="366"/>
      <c r="GU39" s="366"/>
      <c r="GV39" s="367">
        <f t="shared" si="25"/>
        <v>0</v>
      </c>
      <c r="GW39" s="365"/>
      <c r="GX39" s="366"/>
      <c r="GY39" s="366"/>
      <c r="GZ39" s="366"/>
      <c r="HA39" s="366"/>
      <c r="HB39" s="366"/>
      <c r="HC39" s="367">
        <f t="shared" si="26"/>
        <v>0</v>
      </c>
      <c r="HD39" s="365"/>
      <c r="HE39" s="366"/>
      <c r="HF39" s="366"/>
      <c r="HG39" s="366"/>
      <c r="HH39" s="366"/>
      <c r="HI39" s="366"/>
      <c r="HJ39" s="367">
        <f t="shared" si="27"/>
        <v>0</v>
      </c>
    </row>
    <row r="40" spans="1:218" s="369" customFormat="1" ht="21.75" customHeight="1" x14ac:dyDescent="0.6">
      <c r="A40" s="370" t="s">
        <v>95</v>
      </c>
      <c r="B40" s="371">
        <v>46</v>
      </c>
      <c r="C40" s="372">
        <v>9</v>
      </c>
      <c r="D40" s="372"/>
      <c r="E40" s="372"/>
      <c r="F40" s="372"/>
      <c r="G40" s="372"/>
      <c r="H40" s="364">
        <f t="shared" si="0"/>
        <v>55</v>
      </c>
      <c r="I40" s="371">
        <v>32</v>
      </c>
      <c r="J40" s="372">
        <v>10</v>
      </c>
      <c r="K40" s="372"/>
      <c r="L40" s="372"/>
      <c r="M40" s="372"/>
      <c r="N40" s="372"/>
      <c r="O40" s="364">
        <f t="shared" si="1"/>
        <v>42</v>
      </c>
      <c r="P40" s="371">
        <v>24</v>
      </c>
      <c r="Q40" s="372">
        <v>14</v>
      </c>
      <c r="R40" s="372"/>
      <c r="S40" s="372"/>
      <c r="T40" s="372">
        <v>2</v>
      </c>
      <c r="U40" s="372"/>
      <c r="V40" s="364">
        <f t="shared" si="2"/>
        <v>40</v>
      </c>
      <c r="W40" s="371"/>
      <c r="X40" s="372"/>
      <c r="Y40" s="372"/>
      <c r="Z40" s="372"/>
      <c r="AA40" s="372"/>
      <c r="AB40" s="372"/>
      <c r="AC40" s="364">
        <f t="shared" si="3"/>
        <v>0</v>
      </c>
      <c r="AD40" s="371">
        <v>54</v>
      </c>
      <c r="AE40" s="372">
        <v>14</v>
      </c>
      <c r="AF40" s="372">
        <v>1</v>
      </c>
      <c r="AG40" s="372"/>
      <c r="AH40" s="372"/>
      <c r="AI40" s="372">
        <v>1</v>
      </c>
      <c r="AJ40" s="364">
        <f t="shared" si="4"/>
        <v>70</v>
      </c>
      <c r="AK40" s="371">
        <v>172</v>
      </c>
      <c r="AL40" s="372">
        <v>51</v>
      </c>
      <c r="AM40" s="372">
        <v>1</v>
      </c>
      <c r="AN40" s="372"/>
      <c r="AO40" s="372">
        <v>1</v>
      </c>
      <c r="AP40" s="372"/>
      <c r="AQ40" s="364">
        <f t="shared" si="5"/>
        <v>225</v>
      </c>
      <c r="AR40" s="371">
        <v>37</v>
      </c>
      <c r="AS40" s="372">
        <v>8</v>
      </c>
      <c r="AT40" s="372"/>
      <c r="AU40" s="372"/>
      <c r="AV40" s="372">
        <v>1</v>
      </c>
      <c r="AW40" s="372"/>
      <c r="AX40" s="364">
        <f t="shared" si="6"/>
        <v>46</v>
      </c>
      <c r="AY40" s="371">
        <v>41</v>
      </c>
      <c r="AZ40" s="372">
        <v>18</v>
      </c>
      <c r="BA40" s="372">
        <v>2</v>
      </c>
      <c r="BB40" s="372"/>
      <c r="BC40" s="372">
        <v>1</v>
      </c>
      <c r="BD40" s="372"/>
      <c r="BE40" s="364">
        <f t="shared" si="7"/>
        <v>62</v>
      </c>
      <c r="BF40" s="371">
        <v>4</v>
      </c>
      <c r="BG40" s="372">
        <v>1</v>
      </c>
      <c r="BH40" s="372"/>
      <c r="BI40" s="372"/>
      <c r="BJ40" s="372">
        <v>2</v>
      </c>
      <c r="BK40" s="372"/>
      <c r="BL40" s="364">
        <f t="shared" si="8"/>
        <v>7</v>
      </c>
      <c r="BM40" s="371">
        <v>62</v>
      </c>
      <c r="BN40" s="372">
        <v>14</v>
      </c>
      <c r="BO40" s="372"/>
      <c r="BP40" s="372"/>
      <c r="BQ40" s="372"/>
      <c r="BR40" s="372"/>
      <c r="BS40" s="364">
        <f t="shared" si="9"/>
        <v>76</v>
      </c>
      <c r="BT40" s="371">
        <v>47</v>
      </c>
      <c r="BU40" s="372">
        <v>13</v>
      </c>
      <c r="BV40" s="372"/>
      <c r="BW40" s="372"/>
      <c r="BX40" s="372"/>
      <c r="BY40" s="372"/>
      <c r="BZ40" s="364">
        <f t="shared" si="10"/>
        <v>60</v>
      </c>
      <c r="CA40" s="371"/>
      <c r="CB40" s="372"/>
      <c r="CC40" s="372"/>
      <c r="CD40" s="372"/>
      <c r="CE40" s="372"/>
      <c r="CF40" s="372"/>
      <c r="CG40" s="364">
        <f t="shared" si="11"/>
        <v>0</v>
      </c>
      <c r="CH40" s="371">
        <v>53</v>
      </c>
      <c r="CI40" s="372">
        <v>8</v>
      </c>
      <c r="CJ40" s="372"/>
      <c r="CK40" s="372"/>
      <c r="CL40" s="372"/>
      <c r="CM40" s="372"/>
      <c r="CN40" s="364">
        <f t="shared" si="12"/>
        <v>61</v>
      </c>
      <c r="CO40" s="371">
        <v>133</v>
      </c>
      <c r="CP40" s="372">
        <v>43</v>
      </c>
      <c r="CQ40" s="372"/>
      <c r="CR40" s="372"/>
      <c r="CS40" s="372">
        <v>2</v>
      </c>
      <c r="CT40" s="372"/>
      <c r="CU40" s="364">
        <f t="shared" si="13"/>
        <v>178</v>
      </c>
      <c r="CV40" s="371"/>
      <c r="CW40" s="372"/>
      <c r="CX40" s="372"/>
      <c r="CY40" s="372"/>
      <c r="CZ40" s="372"/>
      <c r="DA40" s="372"/>
      <c r="DB40" s="364">
        <f t="shared" si="14"/>
        <v>0</v>
      </c>
      <c r="DC40" s="371"/>
      <c r="DD40" s="372"/>
      <c r="DE40" s="372"/>
      <c r="DF40" s="372"/>
      <c r="DG40" s="372"/>
      <c r="DH40" s="372"/>
      <c r="DI40" s="364">
        <f t="shared" si="15"/>
        <v>0</v>
      </c>
      <c r="DJ40" s="373"/>
      <c r="DK40" s="374"/>
      <c r="DL40" s="374"/>
      <c r="DM40" s="374"/>
      <c r="DN40" s="374"/>
      <c r="DO40" s="374"/>
      <c r="DP40" s="367">
        <f t="shared" si="16"/>
        <v>0</v>
      </c>
      <c r="DQ40" s="373"/>
      <c r="DR40" s="374"/>
      <c r="DS40" s="374"/>
      <c r="DT40" s="374"/>
      <c r="DU40" s="374"/>
      <c r="DV40" s="374"/>
      <c r="DW40" s="367">
        <f t="shared" si="17"/>
        <v>0</v>
      </c>
      <c r="DX40" s="373"/>
      <c r="DY40" s="374"/>
      <c r="DZ40" s="374"/>
      <c r="EA40" s="374"/>
      <c r="EB40" s="374"/>
      <c r="EC40" s="374"/>
      <c r="ED40" s="367">
        <f t="shared" si="18"/>
        <v>0</v>
      </c>
      <c r="EE40" s="375"/>
      <c r="EF40" s="375"/>
      <c r="EG40" s="375"/>
      <c r="EH40" s="375"/>
      <c r="EI40" s="375"/>
      <c r="EJ40" s="375"/>
      <c r="EK40" s="375"/>
      <c r="EL40" s="373"/>
      <c r="EM40" s="374"/>
      <c r="EN40" s="374"/>
      <c r="EO40" s="374"/>
      <c r="EP40" s="374"/>
      <c r="EQ40" s="374"/>
      <c r="ER40" s="367">
        <f t="shared" si="19"/>
        <v>0</v>
      </c>
      <c r="ES40" s="373"/>
      <c r="ET40" s="374"/>
      <c r="EU40" s="374"/>
      <c r="EV40" s="374"/>
      <c r="EW40" s="374"/>
      <c r="EX40" s="374"/>
      <c r="EY40" s="367">
        <f t="shared" si="20"/>
        <v>0</v>
      </c>
      <c r="EZ40" s="373"/>
      <c r="FA40" s="374"/>
      <c r="FB40" s="374"/>
      <c r="FC40" s="374"/>
      <c r="FD40" s="374"/>
      <c r="FE40" s="374"/>
      <c r="FF40" s="367">
        <f t="shared" si="21"/>
        <v>0</v>
      </c>
      <c r="FG40" s="375"/>
      <c r="FH40" s="375"/>
      <c r="FI40" s="375"/>
      <c r="FJ40" s="375"/>
      <c r="FK40" s="375"/>
      <c r="FL40" s="375"/>
      <c r="FM40" s="375"/>
      <c r="FN40" s="373"/>
      <c r="FO40" s="374"/>
      <c r="FP40" s="374"/>
      <c r="FQ40" s="374"/>
      <c r="FR40" s="374"/>
      <c r="FS40" s="374"/>
      <c r="FT40" s="367">
        <f t="shared" si="22"/>
        <v>0</v>
      </c>
      <c r="FU40" s="373"/>
      <c r="FV40" s="374"/>
      <c r="FW40" s="374"/>
      <c r="FX40" s="374"/>
      <c r="FY40" s="374"/>
      <c r="FZ40" s="374"/>
      <c r="GA40" s="367">
        <f t="shared" si="23"/>
        <v>0</v>
      </c>
      <c r="GB40" s="373"/>
      <c r="GC40" s="374"/>
      <c r="GD40" s="374"/>
      <c r="GE40" s="374"/>
      <c r="GF40" s="374"/>
      <c r="GG40" s="374"/>
      <c r="GH40" s="367">
        <f t="shared" si="24"/>
        <v>0</v>
      </c>
      <c r="GI40" s="375"/>
      <c r="GJ40" s="375"/>
      <c r="GK40" s="375"/>
      <c r="GL40" s="375"/>
      <c r="GM40" s="375"/>
      <c r="GN40" s="375"/>
      <c r="GO40" s="375"/>
      <c r="GP40" s="373"/>
      <c r="GQ40" s="374"/>
      <c r="GR40" s="374"/>
      <c r="GS40" s="374"/>
      <c r="GT40" s="374"/>
      <c r="GU40" s="374"/>
      <c r="GV40" s="367">
        <f t="shared" si="25"/>
        <v>0</v>
      </c>
      <c r="GW40" s="373"/>
      <c r="GX40" s="374"/>
      <c r="GY40" s="374"/>
      <c r="GZ40" s="374"/>
      <c r="HA40" s="374"/>
      <c r="HB40" s="374"/>
      <c r="HC40" s="367">
        <f t="shared" si="26"/>
        <v>0</v>
      </c>
      <c r="HD40" s="373"/>
      <c r="HE40" s="374"/>
      <c r="HF40" s="374"/>
      <c r="HG40" s="374"/>
      <c r="HH40" s="374"/>
      <c r="HI40" s="374"/>
      <c r="HJ40" s="367">
        <f t="shared" si="27"/>
        <v>0</v>
      </c>
    </row>
    <row r="41" spans="1:218" s="369" customFormat="1" ht="21.75" customHeight="1" x14ac:dyDescent="0.6">
      <c r="A41" s="370" t="s">
        <v>96</v>
      </c>
      <c r="B41" s="371">
        <v>52</v>
      </c>
      <c r="C41" s="372">
        <v>5</v>
      </c>
      <c r="D41" s="372"/>
      <c r="E41" s="372"/>
      <c r="F41" s="372"/>
      <c r="G41" s="372"/>
      <c r="H41" s="364">
        <f t="shared" si="0"/>
        <v>57</v>
      </c>
      <c r="I41" s="371">
        <v>39</v>
      </c>
      <c r="J41" s="372">
        <v>12</v>
      </c>
      <c r="K41" s="372"/>
      <c r="L41" s="372"/>
      <c r="M41" s="372"/>
      <c r="N41" s="372"/>
      <c r="O41" s="364">
        <f t="shared" si="1"/>
        <v>51</v>
      </c>
      <c r="P41" s="371">
        <v>28</v>
      </c>
      <c r="Q41" s="372">
        <v>10</v>
      </c>
      <c r="R41" s="372"/>
      <c r="S41" s="372"/>
      <c r="T41" s="372"/>
      <c r="U41" s="372"/>
      <c r="V41" s="364">
        <f t="shared" si="2"/>
        <v>38</v>
      </c>
      <c r="W41" s="371"/>
      <c r="X41" s="372"/>
      <c r="Y41" s="372"/>
      <c r="Z41" s="372"/>
      <c r="AA41" s="372"/>
      <c r="AB41" s="372"/>
      <c r="AC41" s="364">
        <f t="shared" si="3"/>
        <v>0</v>
      </c>
      <c r="AD41" s="371">
        <v>63</v>
      </c>
      <c r="AE41" s="372">
        <v>18</v>
      </c>
      <c r="AF41" s="372"/>
      <c r="AG41" s="372"/>
      <c r="AH41" s="372">
        <v>1</v>
      </c>
      <c r="AI41" s="372"/>
      <c r="AJ41" s="364">
        <f t="shared" si="4"/>
        <v>82</v>
      </c>
      <c r="AK41" s="371">
        <v>151</v>
      </c>
      <c r="AL41" s="372">
        <v>43</v>
      </c>
      <c r="AM41" s="372">
        <v>3</v>
      </c>
      <c r="AN41" s="372">
        <v>1</v>
      </c>
      <c r="AO41" s="372">
        <v>3</v>
      </c>
      <c r="AP41" s="372"/>
      <c r="AQ41" s="364">
        <f t="shared" si="5"/>
        <v>201</v>
      </c>
      <c r="AR41" s="371">
        <v>42</v>
      </c>
      <c r="AS41" s="372">
        <v>6</v>
      </c>
      <c r="AT41" s="372"/>
      <c r="AU41" s="372"/>
      <c r="AV41" s="372"/>
      <c r="AW41" s="372"/>
      <c r="AX41" s="364">
        <f t="shared" si="6"/>
        <v>48</v>
      </c>
      <c r="AY41" s="371">
        <v>63</v>
      </c>
      <c r="AZ41" s="372">
        <v>31</v>
      </c>
      <c r="BA41" s="372"/>
      <c r="BB41" s="372"/>
      <c r="BC41" s="372"/>
      <c r="BD41" s="372"/>
      <c r="BE41" s="364">
        <f t="shared" si="7"/>
        <v>94</v>
      </c>
      <c r="BF41" s="371">
        <v>3</v>
      </c>
      <c r="BG41" s="372">
        <v>1</v>
      </c>
      <c r="BH41" s="372"/>
      <c r="BI41" s="372"/>
      <c r="BJ41" s="372"/>
      <c r="BK41" s="372"/>
      <c r="BL41" s="364">
        <f t="shared" si="8"/>
        <v>4</v>
      </c>
      <c r="BM41" s="371">
        <v>58</v>
      </c>
      <c r="BN41" s="372">
        <v>16</v>
      </c>
      <c r="BO41" s="372"/>
      <c r="BP41" s="372"/>
      <c r="BQ41" s="372">
        <v>1</v>
      </c>
      <c r="BR41" s="372"/>
      <c r="BS41" s="364">
        <f t="shared" si="9"/>
        <v>75</v>
      </c>
      <c r="BT41" s="371">
        <v>56</v>
      </c>
      <c r="BU41" s="372">
        <v>19</v>
      </c>
      <c r="BV41" s="372"/>
      <c r="BW41" s="372"/>
      <c r="BX41" s="372"/>
      <c r="BY41" s="372"/>
      <c r="BZ41" s="364">
        <f t="shared" si="10"/>
        <v>75</v>
      </c>
      <c r="CA41" s="371"/>
      <c r="CB41" s="372"/>
      <c r="CC41" s="372"/>
      <c r="CD41" s="372"/>
      <c r="CE41" s="372"/>
      <c r="CF41" s="372"/>
      <c r="CG41" s="364">
        <f t="shared" si="11"/>
        <v>0</v>
      </c>
      <c r="CH41" s="371">
        <v>51</v>
      </c>
      <c r="CI41" s="372">
        <v>8</v>
      </c>
      <c r="CJ41" s="372"/>
      <c r="CK41" s="372"/>
      <c r="CL41" s="372">
        <v>2</v>
      </c>
      <c r="CM41" s="372"/>
      <c r="CN41" s="364">
        <f t="shared" si="12"/>
        <v>61</v>
      </c>
      <c r="CO41" s="371">
        <v>104</v>
      </c>
      <c r="CP41" s="372">
        <v>34</v>
      </c>
      <c r="CQ41" s="372"/>
      <c r="CR41" s="372"/>
      <c r="CS41" s="372"/>
      <c r="CT41" s="372"/>
      <c r="CU41" s="364">
        <f t="shared" si="13"/>
        <v>138</v>
      </c>
      <c r="CV41" s="371"/>
      <c r="CW41" s="372"/>
      <c r="CX41" s="372"/>
      <c r="CY41" s="372"/>
      <c r="CZ41" s="372"/>
      <c r="DA41" s="372"/>
      <c r="DB41" s="364">
        <f t="shared" si="14"/>
        <v>0</v>
      </c>
      <c r="DC41" s="371"/>
      <c r="DD41" s="372"/>
      <c r="DE41" s="372"/>
      <c r="DF41" s="372"/>
      <c r="DG41" s="372"/>
      <c r="DH41" s="372"/>
      <c r="DI41" s="364">
        <f t="shared" si="15"/>
        <v>0</v>
      </c>
      <c r="DJ41" s="373"/>
      <c r="DK41" s="374"/>
      <c r="DL41" s="374"/>
      <c r="DM41" s="374"/>
      <c r="DN41" s="374"/>
      <c r="DO41" s="374"/>
      <c r="DP41" s="367">
        <f t="shared" si="16"/>
        <v>0</v>
      </c>
      <c r="DQ41" s="373"/>
      <c r="DR41" s="374"/>
      <c r="DS41" s="374"/>
      <c r="DT41" s="374"/>
      <c r="DU41" s="374"/>
      <c r="DV41" s="374"/>
      <c r="DW41" s="367">
        <f t="shared" si="17"/>
        <v>0</v>
      </c>
      <c r="DX41" s="373"/>
      <c r="DY41" s="374"/>
      <c r="DZ41" s="374"/>
      <c r="EA41" s="374"/>
      <c r="EB41" s="374"/>
      <c r="EC41" s="374"/>
      <c r="ED41" s="367">
        <f t="shared" si="18"/>
        <v>0</v>
      </c>
      <c r="EE41" s="375"/>
      <c r="EF41" s="375"/>
      <c r="EG41" s="375"/>
      <c r="EH41" s="375"/>
      <c r="EI41" s="375"/>
      <c r="EJ41" s="375"/>
      <c r="EK41" s="375"/>
      <c r="EL41" s="373"/>
      <c r="EM41" s="374"/>
      <c r="EN41" s="374"/>
      <c r="EO41" s="374"/>
      <c r="EP41" s="374"/>
      <c r="EQ41" s="374"/>
      <c r="ER41" s="367">
        <f t="shared" si="19"/>
        <v>0</v>
      </c>
      <c r="ES41" s="373"/>
      <c r="ET41" s="374"/>
      <c r="EU41" s="374"/>
      <c r="EV41" s="374"/>
      <c r="EW41" s="374"/>
      <c r="EX41" s="374"/>
      <c r="EY41" s="367">
        <f t="shared" si="20"/>
        <v>0</v>
      </c>
      <c r="EZ41" s="373"/>
      <c r="FA41" s="374"/>
      <c r="FB41" s="374"/>
      <c r="FC41" s="374"/>
      <c r="FD41" s="374"/>
      <c r="FE41" s="374"/>
      <c r="FF41" s="367">
        <f t="shared" si="21"/>
        <v>0</v>
      </c>
      <c r="FG41" s="375"/>
      <c r="FH41" s="375"/>
      <c r="FI41" s="375"/>
      <c r="FJ41" s="375"/>
      <c r="FK41" s="375"/>
      <c r="FL41" s="375"/>
      <c r="FM41" s="375"/>
      <c r="FN41" s="373"/>
      <c r="FO41" s="374"/>
      <c r="FP41" s="374"/>
      <c r="FQ41" s="374"/>
      <c r="FR41" s="374"/>
      <c r="FS41" s="374"/>
      <c r="FT41" s="367">
        <f t="shared" si="22"/>
        <v>0</v>
      </c>
      <c r="FU41" s="373"/>
      <c r="FV41" s="374"/>
      <c r="FW41" s="374"/>
      <c r="FX41" s="374"/>
      <c r="FY41" s="374"/>
      <c r="FZ41" s="374"/>
      <c r="GA41" s="367">
        <f t="shared" si="23"/>
        <v>0</v>
      </c>
      <c r="GB41" s="373"/>
      <c r="GC41" s="374"/>
      <c r="GD41" s="374"/>
      <c r="GE41" s="374"/>
      <c r="GF41" s="374"/>
      <c r="GG41" s="374"/>
      <c r="GH41" s="367">
        <f t="shared" si="24"/>
        <v>0</v>
      </c>
      <c r="GI41" s="375"/>
      <c r="GJ41" s="375"/>
      <c r="GK41" s="375"/>
      <c r="GL41" s="375"/>
      <c r="GM41" s="375"/>
      <c r="GN41" s="375"/>
      <c r="GO41" s="375"/>
      <c r="GP41" s="373"/>
      <c r="GQ41" s="374"/>
      <c r="GR41" s="374"/>
      <c r="GS41" s="374"/>
      <c r="GT41" s="374"/>
      <c r="GU41" s="374"/>
      <c r="GV41" s="367">
        <f t="shared" si="25"/>
        <v>0</v>
      </c>
      <c r="GW41" s="373"/>
      <c r="GX41" s="374"/>
      <c r="GY41" s="374"/>
      <c r="GZ41" s="374"/>
      <c r="HA41" s="374"/>
      <c r="HB41" s="374"/>
      <c r="HC41" s="367">
        <f t="shared" si="26"/>
        <v>0</v>
      </c>
      <c r="HD41" s="373"/>
      <c r="HE41" s="374"/>
      <c r="HF41" s="374"/>
      <c r="HG41" s="374"/>
      <c r="HH41" s="374"/>
      <c r="HI41" s="374"/>
      <c r="HJ41" s="367">
        <f t="shared" si="27"/>
        <v>0</v>
      </c>
    </row>
    <row r="42" spans="1:218" s="369" customFormat="1" ht="21.75" customHeight="1" x14ac:dyDescent="0.6">
      <c r="A42" s="376" t="s">
        <v>97</v>
      </c>
      <c r="B42" s="377">
        <v>55</v>
      </c>
      <c r="C42" s="378">
        <v>8</v>
      </c>
      <c r="D42" s="378"/>
      <c r="E42" s="378"/>
      <c r="F42" s="378">
        <v>1</v>
      </c>
      <c r="G42" s="378">
        <v>1</v>
      </c>
      <c r="H42" s="364">
        <f t="shared" si="0"/>
        <v>65</v>
      </c>
      <c r="I42" s="377">
        <v>30</v>
      </c>
      <c r="J42" s="378">
        <v>10</v>
      </c>
      <c r="K42" s="378"/>
      <c r="L42" s="378"/>
      <c r="M42" s="378"/>
      <c r="N42" s="378"/>
      <c r="O42" s="364">
        <f t="shared" si="1"/>
        <v>40</v>
      </c>
      <c r="P42" s="377">
        <v>33</v>
      </c>
      <c r="Q42" s="378">
        <v>15</v>
      </c>
      <c r="R42" s="378"/>
      <c r="S42" s="378"/>
      <c r="T42" s="378">
        <v>1</v>
      </c>
      <c r="U42" s="378"/>
      <c r="V42" s="364">
        <f t="shared" si="2"/>
        <v>49</v>
      </c>
      <c r="W42" s="377"/>
      <c r="X42" s="378"/>
      <c r="Y42" s="378"/>
      <c r="Z42" s="378"/>
      <c r="AA42" s="378"/>
      <c r="AB42" s="378"/>
      <c r="AC42" s="364">
        <f t="shared" si="3"/>
        <v>0</v>
      </c>
      <c r="AD42" s="377">
        <v>70</v>
      </c>
      <c r="AE42" s="378">
        <v>22</v>
      </c>
      <c r="AF42" s="378"/>
      <c r="AG42" s="378"/>
      <c r="AH42" s="378">
        <v>2</v>
      </c>
      <c r="AI42" s="378"/>
      <c r="AJ42" s="364">
        <f t="shared" si="4"/>
        <v>94</v>
      </c>
      <c r="AK42" s="377">
        <v>160</v>
      </c>
      <c r="AL42" s="378">
        <v>38</v>
      </c>
      <c r="AM42" s="378">
        <v>2</v>
      </c>
      <c r="AN42" s="378"/>
      <c r="AO42" s="378">
        <v>1</v>
      </c>
      <c r="AP42" s="378">
        <v>1</v>
      </c>
      <c r="AQ42" s="364">
        <f t="shared" si="5"/>
        <v>202</v>
      </c>
      <c r="AR42" s="377">
        <v>45</v>
      </c>
      <c r="AS42" s="378">
        <v>6</v>
      </c>
      <c r="AT42" s="378"/>
      <c r="AU42" s="378"/>
      <c r="AV42" s="378"/>
      <c r="AW42" s="378">
        <v>1</v>
      </c>
      <c r="AX42" s="364">
        <f t="shared" si="6"/>
        <v>52</v>
      </c>
      <c r="AY42" s="377">
        <v>55</v>
      </c>
      <c r="AZ42" s="378">
        <v>22</v>
      </c>
      <c r="BA42" s="378">
        <v>1</v>
      </c>
      <c r="BB42" s="378"/>
      <c r="BC42" s="378">
        <v>1</v>
      </c>
      <c r="BD42" s="378"/>
      <c r="BE42" s="364">
        <f t="shared" si="7"/>
        <v>79</v>
      </c>
      <c r="BF42" s="377">
        <v>9</v>
      </c>
      <c r="BG42" s="378"/>
      <c r="BH42" s="378"/>
      <c r="BI42" s="378"/>
      <c r="BJ42" s="378"/>
      <c r="BK42" s="378"/>
      <c r="BL42" s="364">
        <f t="shared" si="8"/>
        <v>9</v>
      </c>
      <c r="BM42" s="377">
        <v>59</v>
      </c>
      <c r="BN42" s="378">
        <v>12</v>
      </c>
      <c r="BO42" s="378"/>
      <c r="BP42" s="378"/>
      <c r="BQ42" s="378"/>
      <c r="BR42" s="378"/>
      <c r="BS42" s="364">
        <f t="shared" si="9"/>
        <v>71</v>
      </c>
      <c r="BT42" s="377">
        <v>69</v>
      </c>
      <c r="BU42" s="378">
        <v>8</v>
      </c>
      <c r="BV42" s="378"/>
      <c r="BW42" s="378"/>
      <c r="BX42" s="378"/>
      <c r="BY42" s="378"/>
      <c r="BZ42" s="364">
        <f t="shared" si="10"/>
        <v>77</v>
      </c>
      <c r="CA42" s="377"/>
      <c r="CB42" s="378"/>
      <c r="CC42" s="378"/>
      <c r="CD42" s="378"/>
      <c r="CE42" s="378"/>
      <c r="CF42" s="378"/>
      <c r="CG42" s="364">
        <f t="shared" si="11"/>
        <v>0</v>
      </c>
      <c r="CH42" s="377">
        <v>59</v>
      </c>
      <c r="CI42" s="378">
        <v>9</v>
      </c>
      <c r="CJ42" s="378"/>
      <c r="CK42" s="378"/>
      <c r="CL42" s="378">
        <v>1</v>
      </c>
      <c r="CM42" s="378">
        <v>1</v>
      </c>
      <c r="CN42" s="364">
        <f t="shared" si="12"/>
        <v>70</v>
      </c>
      <c r="CO42" s="377">
        <v>128</v>
      </c>
      <c r="CP42" s="378">
        <v>30</v>
      </c>
      <c r="CQ42" s="378"/>
      <c r="CR42" s="378"/>
      <c r="CS42" s="378">
        <v>1</v>
      </c>
      <c r="CT42" s="378"/>
      <c r="CU42" s="364">
        <f t="shared" si="13"/>
        <v>159</v>
      </c>
      <c r="CV42" s="377"/>
      <c r="CW42" s="378"/>
      <c r="CX42" s="378"/>
      <c r="CY42" s="378"/>
      <c r="CZ42" s="378"/>
      <c r="DA42" s="378"/>
      <c r="DB42" s="364">
        <f t="shared" si="14"/>
        <v>0</v>
      </c>
      <c r="DC42" s="377"/>
      <c r="DD42" s="378"/>
      <c r="DE42" s="378"/>
      <c r="DF42" s="378"/>
      <c r="DG42" s="378"/>
      <c r="DH42" s="378"/>
      <c r="DI42" s="364">
        <f t="shared" si="15"/>
        <v>0</v>
      </c>
      <c r="DJ42" s="379"/>
      <c r="DK42" s="380"/>
      <c r="DL42" s="380"/>
      <c r="DM42" s="380"/>
      <c r="DN42" s="380"/>
      <c r="DO42" s="380"/>
      <c r="DP42" s="367">
        <f t="shared" si="16"/>
        <v>0</v>
      </c>
      <c r="DQ42" s="379"/>
      <c r="DR42" s="380"/>
      <c r="DS42" s="380"/>
      <c r="DT42" s="380"/>
      <c r="DU42" s="380"/>
      <c r="DV42" s="380"/>
      <c r="DW42" s="367">
        <f t="shared" si="17"/>
        <v>0</v>
      </c>
      <c r="DX42" s="379"/>
      <c r="DY42" s="380"/>
      <c r="DZ42" s="380"/>
      <c r="EA42" s="380"/>
      <c r="EB42" s="380"/>
      <c r="EC42" s="380"/>
      <c r="ED42" s="367">
        <f t="shared" si="18"/>
        <v>0</v>
      </c>
      <c r="EE42" s="375"/>
      <c r="EF42" s="375"/>
      <c r="EG42" s="375"/>
      <c r="EH42" s="375"/>
      <c r="EI42" s="375"/>
      <c r="EJ42" s="375"/>
      <c r="EK42" s="375"/>
      <c r="EL42" s="379"/>
      <c r="EM42" s="380"/>
      <c r="EN42" s="380"/>
      <c r="EO42" s="380"/>
      <c r="EP42" s="380"/>
      <c r="EQ42" s="380"/>
      <c r="ER42" s="367">
        <f t="shared" si="19"/>
        <v>0</v>
      </c>
      <c r="ES42" s="379"/>
      <c r="ET42" s="380"/>
      <c r="EU42" s="380"/>
      <c r="EV42" s="380"/>
      <c r="EW42" s="380"/>
      <c r="EX42" s="380"/>
      <c r="EY42" s="367">
        <f t="shared" si="20"/>
        <v>0</v>
      </c>
      <c r="EZ42" s="379"/>
      <c r="FA42" s="380"/>
      <c r="FB42" s="380"/>
      <c r="FC42" s="380"/>
      <c r="FD42" s="380"/>
      <c r="FE42" s="380"/>
      <c r="FF42" s="367">
        <f t="shared" si="21"/>
        <v>0</v>
      </c>
      <c r="FG42" s="375"/>
      <c r="FH42" s="375"/>
      <c r="FI42" s="375"/>
      <c r="FJ42" s="375"/>
      <c r="FK42" s="375"/>
      <c r="FL42" s="375"/>
      <c r="FM42" s="375"/>
      <c r="FN42" s="379"/>
      <c r="FO42" s="380"/>
      <c r="FP42" s="380"/>
      <c r="FQ42" s="380"/>
      <c r="FR42" s="380"/>
      <c r="FS42" s="380"/>
      <c r="FT42" s="367">
        <f t="shared" si="22"/>
        <v>0</v>
      </c>
      <c r="FU42" s="379"/>
      <c r="FV42" s="380"/>
      <c r="FW42" s="380"/>
      <c r="FX42" s="380"/>
      <c r="FY42" s="380"/>
      <c r="FZ42" s="380"/>
      <c r="GA42" s="367">
        <f t="shared" si="23"/>
        <v>0</v>
      </c>
      <c r="GB42" s="379"/>
      <c r="GC42" s="380"/>
      <c r="GD42" s="380"/>
      <c r="GE42" s="380"/>
      <c r="GF42" s="380"/>
      <c r="GG42" s="380"/>
      <c r="GH42" s="367">
        <f t="shared" si="24"/>
        <v>0</v>
      </c>
      <c r="GI42" s="375"/>
      <c r="GJ42" s="375"/>
      <c r="GK42" s="375"/>
      <c r="GL42" s="375"/>
      <c r="GM42" s="375"/>
      <c r="GN42" s="375"/>
      <c r="GO42" s="375"/>
      <c r="GP42" s="379"/>
      <c r="GQ42" s="380"/>
      <c r="GR42" s="380"/>
      <c r="GS42" s="380"/>
      <c r="GT42" s="380"/>
      <c r="GU42" s="380"/>
      <c r="GV42" s="367">
        <f t="shared" si="25"/>
        <v>0</v>
      </c>
      <c r="GW42" s="379"/>
      <c r="GX42" s="380"/>
      <c r="GY42" s="380"/>
      <c r="GZ42" s="380"/>
      <c r="HA42" s="380"/>
      <c r="HB42" s="380"/>
      <c r="HC42" s="367">
        <f t="shared" si="26"/>
        <v>0</v>
      </c>
      <c r="HD42" s="379"/>
      <c r="HE42" s="380"/>
      <c r="HF42" s="380"/>
      <c r="HG42" s="380"/>
      <c r="HH42" s="380"/>
      <c r="HI42" s="380"/>
      <c r="HJ42" s="367">
        <f t="shared" si="27"/>
        <v>0</v>
      </c>
    </row>
    <row r="43" spans="1:218" s="369" customFormat="1" ht="21.75" customHeight="1" x14ac:dyDescent="0.6">
      <c r="A43" s="361" t="s">
        <v>98</v>
      </c>
      <c r="B43" s="362">
        <v>49</v>
      </c>
      <c r="C43" s="363">
        <v>6</v>
      </c>
      <c r="D43" s="363"/>
      <c r="E43" s="363"/>
      <c r="F43" s="363"/>
      <c r="G43" s="363"/>
      <c r="H43" s="364">
        <f t="shared" si="0"/>
        <v>55</v>
      </c>
      <c r="I43" s="362">
        <v>28</v>
      </c>
      <c r="J43" s="363">
        <v>8</v>
      </c>
      <c r="K43" s="363"/>
      <c r="L43" s="363"/>
      <c r="M43" s="363"/>
      <c r="N43" s="363"/>
      <c r="O43" s="364">
        <f t="shared" si="1"/>
        <v>36</v>
      </c>
      <c r="P43" s="362">
        <v>24</v>
      </c>
      <c r="Q43" s="363">
        <v>8</v>
      </c>
      <c r="R43" s="363"/>
      <c r="S43" s="363"/>
      <c r="T43" s="363"/>
      <c r="U43" s="363"/>
      <c r="V43" s="364">
        <f t="shared" si="2"/>
        <v>32</v>
      </c>
      <c r="W43" s="362"/>
      <c r="X43" s="363"/>
      <c r="Y43" s="363"/>
      <c r="Z43" s="363"/>
      <c r="AA43" s="363"/>
      <c r="AB43" s="363"/>
      <c r="AC43" s="364">
        <f t="shared" si="3"/>
        <v>0</v>
      </c>
      <c r="AD43" s="362">
        <v>52</v>
      </c>
      <c r="AE43" s="363">
        <v>20</v>
      </c>
      <c r="AF43" s="363"/>
      <c r="AG43" s="363"/>
      <c r="AH43" s="363"/>
      <c r="AI43" s="363">
        <v>1</v>
      </c>
      <c r="AJ43" s="364">
        <f t="shared" si="4"/>
        <v>73</v>
      </c>
      <c r="AK43" s="362">
        <v>148</v>
      </c>
      <c r="AL43" s="363">
        <v>42</v>
      </c>
      <c r="AM43" s="363">
        <v>1</v>
      </c>
      <c r="AN43" s="363"/>
      <c r="AO43" s="363">
        <v>4</v>
      </c>
      <c r="AP43" s="363">
        <v>1</v>
      </c>
      <c r="AQ43" s="364">
        <f t="shared" si="5"/>
        <v>196</v>
      </c>
      <c r="AR43" s="362">
        <v>38</v>
      </c>
      <c r="AS43" s="363">
        <v>4</v>
      </c>
      <c r="AT43" s="363"/>
      <c r="AU43" s="363"/>
      <c r="AV43" s="363"/>
      <c r="AW43" s="363"/>
      <c r="AX43" s="364">
        <f t="shared" si="6"/>
        <v>42</v>
      </c>
      <c r="AY43" s="362">
        <v>61</v>
      </c>
      <c r="AZ43" s="363">
        <v>19</v>
      </c>
      <c r="BA43" s="363"/>
      <c r="BB43" s="363"/>
      <c r="BC43" s="363"/>
      <c r="BD43" s="363">
        <v>2</v>
      </c>
      <c r="BE43" s="364">
        <f t="shared" si="7"/>
        <v>82</v>
      </c>
      <c r="BF43" s="362">
        <v>2</v>
      </c>
      <c r="BG43" s="363">
        <v>2</v>
      </c>
      <c r="BH43" s="363"/>
      <c r="BI43" s="363"/>
      <c r="BJ43" s="363"/>
      <c r="BK43" s="363"/>
      <c r="BL43" s="364">
        <f t="shared" si="8"/>
        <v>4</v>
      </c>
      <c r="BM43" s="362">
        <v>61</v>
      </c>
      <c r="BN43" s="363">
        <v>17</v>
      </c>
      <c r="BO43" s="363"/>
      <c r="BP43" s="363"/>
      <c r="BQ43" s="363"/>
      <c r="BR43" s="363"/>
      <c r="BS43" s="364">
        <f t="shared" si="9"/>
        <v>78</v>
      </c>
      <c r="BT43" s="362">
        <v>78</v>
      </c>
      <c r="BU43" s="363">
        <v>14</v>
      </c>
      <c r="BV43" s="363"/>
      <c r="BW43" s="363"/>
      <c r="BX43" s="363"/>
      <c r="BY43" s="363"/>
      <c r="BZ43" s="364">
        <f t="shared" si="10"/>
        <v>92</v>
      </c>
      <c r="CA43" s="362"/>
      <c r="CB43" s="363"/>
      <c r="CC43" s="363"/>
      <c r="CD43" s="363"/>
      <c r="CE43" s="363"/>
      <c r="CF43" s="363"/>
      <c r="CG43" s="364">
        <f t="shared" si="11"/>
        <v>0</v>
      </c>
      <c r="CH43" s="362">
        <v>65</v>
      </c>
      <c r="CI43" s="363">
        <v>12</v>
      </c>
      <c r="CJ43" s="363"/>
      <c r="CK43" s="363"/>
      <c r="CL43" s="363"/>
      <c r="CM43" s="363">
        <v>1</v>
      </c>
      <c r="CN43" s="364">
        <f t="shared" si="12"/>
        <v>78</v>
      </c>
      <c r="CO43" s="362">
        <v>133</v>
      </c>
      <c r="CP43" s="363">
        <v>47</v>
      </c>
      <c r="CQ43" s="363"/>
      <c r="CR43" s="363"/>
      <c r="CS43" s="363">
        <v>3</v>
      </c>
      <c r="CT43" s="363"/>
      <c r="CU43" s="364">
        <f t="shared" si="13"/>
        <v>183</v>
      </c>
      <c r="CV43" s="362"/>
      <c r="CW43" s="363"/>
      <c r="CX43" s="363"/>
      <c r="CY43" s="363"/>
      <c r="CZ43" s="363"/>
      <c r="DA43" s="363"/>
      <c r="DB43" s="364">
        <f t="shared" si="14"/>
        <v>0</v>
      </c>
      <c r="DC43" s="362"/>
      <c r="DD43" s="363"/>
      <c r="DE43" s="363"/>
      <c r="DF43" s="363"/>
      <c r="DG43" s="363"/>
      <c r="DH43" s="363"/>
      <c r="DI43" s="364">
        <f t="shared" si="15"/>
        <v>0</v>
      </c>
      <c r="DJ43" s="365"/>
      <c r="DK43" s="366"/>
      <c r="DL43" s="366"/>
      <c r="DM43" s="366"/>
      <c r="DN43" s="366"/>
      <c r="DO43" s="366"/>
      <c r="DP43" s="367">
        <f t="shared" si="16"/>
        <v>0</v>
      </c>
      <c r="DQ43" s="365"/>
      <c r="DR43" s="366"/>
      <c r="DS43" s="366"/>
      <c r="DT43" s="366"/>
      <c r="DU43" s="366"/>
      <c r="DV43" s="366"/>
      <c r="DW43" s="367">
        <f t="shared" si="17"/>
        <v>0</v>
      </c>
      <c r="DX43" s="365"/>
      <c r="DY43" s="366"/>
      <c r="DZ43" s="366"/>
      <c r="EA43" s="366"/>
      <c r="EB43" s="366"/>
      <c r="EC43" s="366"/>
      <c r="ED43" s="367">
        <f t="shared" si="18"/>
        <v>0</v>
      </c>
      <c r="EE43" s="368"/>
      <c r="EF43" s="368"/>
      <c r="EG43" s="368"/>
      <c r="EH43" s="368"/>
      <c r="EI43" s="368"/>
      <c r="EJ43" s="368"/>
      <c r="EK43" s="368"/>
      <c r="EL43" s="365"/>
      <c r="EM43" s="366"/>
      <c r="EN43" s="366"/>
      <c r="EO43" s="366"/>
      <c r="EP43" s="366"/>
      <c r="EQ43" s="366"/>
      <c r="ER43" s="367">
        <f t="shared" si="19"/>
        <v>0</v>
      </c>
      <c r="ES43" s="365"/>
      <c r="ET43" s="366"/>
      <c r="EU43" s="366"/>
      <c r="EV43" s="366"/>
      <c r="EW43" s="366"/>
      <c r="EX43" s="366"/>
      <c r="EY43" s="367">
        <f t="shared" si="20"/>
        <v>0</v>
      </c>
      <c r="EZ43" s="365"/>
      <c r="FA43" s="366"/>
      <c r="FB43" s="366"/>
      <c r="FC43" s="366"/>
      <c r="FD43" s="366"/>
      <c r="FE43" s="366"/>
      <c r="FF43" s="367">
        <f t="shared" si="21"/>
        <v>0</v>
      </c>
      <c r="FG43" s="368"/>
      <c r="FH43" s="368"/>
      <c r="FI43" s="368"/>
      <c r="FJ43" s="368"/>
      <c r="FK43" s="368"/>
      <c r="FL43" s="368"/>
      <c r="FM43" s="368"/>
      <c r="FN43" s="365"/>
      <c r="FO43" s="366"/>
      <c r="FP43" s="366"/>
      <c r="FQ43" s="366"/>
      <c r="FR43" s="366"/>
      <c r="FS43" s="366"/>
      <c r="FT43" s="367">
        <f t="shared" si="22"/>
        <v>0</v>
      </c>
      <c r="FU43" s="365"/>
      <c r="FV43" s="366"/>
      <c r="FW43" s="366"/>
      <c r="FX43" s="366"/>
      <c r="FY43" s="366"/>
      <c r="FZ43" s="366"/>
      <c r="GA43" s="367">
        <f t="shared" si="23"/>
        <v>0</v>
      </c>
      <c r="GB43" s="365"/>
      <c r="GC43" s="366"/>
      <c r="GD43" s="366"/>
      <c r="GE43" s="366"/>
      <c r="GF43" s="366"/>
      <c r="GG43" s="366"/>
      <c r="GH43" s="367">
        <f t="shared" si="24"/>
        <v>0</v>
      </c>
      <c r="GI43" s="368"/>
      <c r="GJ43" s="368"/>
      <c r="GK43" s="368"/>
      <c r="GL43" s="368"/>
      <c r="GM43" s="368"/>
      <c r="GN43" s="368"/>
      <c r="GO43" s="368"/>
      <c r="GP43" s="365"/>
      <c r="GQ43" s="366"/>
      <c r="GR43" s="366"/>
      <c r="GS43" s="366"/>
      <c r="GT43" s="366"/>
      <c r="GU43" s="366"/>
      <c r="GV43" s="367">
        <f t="shared" si="25"/>
        <v>0</v>
      </c>
      <c r="GW43" s="365"/>
      <c r="GX43" s="366"/>
      <c r="GY43" s="366"/>
      <c r="GZ43" s="366"/>
      <c r="HA43" s="366"/>
      <c r="HB43" s="366"/>
      <c r="HC43" s="367">
        <f t="shared" si="26"/>
        <v>0</v>
      </c>
      <c r="HD43" s="365"/>
      <c r="HE43" s="366"/>
      <c r="HF43" s="366"/>
      <c r="HG43" s="366"/>
      <c r="HH43" s="366"/>
      <c r="HI43" s="366"/>
      <c r="HJ43" s="367">
        <f t="shared" si="27"/>
        <v>0</v>
      </c>
    </row>
    <row r="44" spans="1:218" s="369" customFormat="1" ht="21.75" customHeight="1" x14ac:dyDescent="0.6">
      <c r="A44" s="370" t="s">
        <v>99</v>
      </c>
      <c r="B44" s="371">
        <v>51</v>
      </c>
      <c r="C44" s="372">
        <v>4</v>
      </c>
      <c r="D44" s="372"/>
      <c r="E44" s="372"/>
      <c r="F44" s="372">
        <v>2</v>
      </c>
      <c r="G44" s="372"/>
      <c r="H44" s="364">
        <f t="shared" si="0"/>
        <v>57</v>
      </c>
      <c r="I44" s="371">
        <v>20</v>
      </c>
      <c r="J44" s="372">
        <v>10</v>
      </c>
      <c r="K44" s="372"/>
      <c r="L44" s="372"/>
      <c r="M44" s="372"/>
      <c r="N44" s="372"/>
      <c r="O44" s="364">
        <f t="shared" si="1"/>
        <v>30</v>
      </c>
      <c r="P44" s="371">
        <v>30</v>
      </c>
      <c r="Q44" s="372">
        <v>10</v>
      </c>
      <c r="R44" s="372"/>
      <c r="S44" s="372"/>
      <c r="T44" s="372"/>
      <c r="U44" s="372"/>
      <c r="V44" s="364">
        <f t="shared" si="2"/>
        <v>40</v>
      </c>
      <c r="W44" s="371"/>
      <c r="X44" s="372"/>
      <c r="Y44" s="372"/>
      <c r="Z44" s="372"/>
      <c r="AA44" s="372"/>
      <c r="AB44" s="372"/>
      <c r="AC44" s="364">
        <f t="shared" si="3"/>
        <v>0</v>
      </c>
      <c r="AD44" s="371">
        <v>58</v>
      </c>
      <c r="AE44" s="372">
        <v>28</v>
      </c>
      <c r="AF44" s="372">
        <v>1</v>
      </c>
      <c r="AG44" s="372"/>
      <c r="AH44" s="372"/>
      <c r="AI44" s="372"/>
      <c r="AJ44" s="364">
        <f t="shared" si="4"/>
        <v>87</v>
      </c>
      <c r="AK44" s="371">
        <v>174</v>
      </c>
      <c r="AL44" s="372">
        <v>37</v>
      </c>
      <c r="AM44" s="372"/>
      <c r="AN44" s="372">
        <v>1</v>
      </c>
      <c r="AO44" s="372">
        <v>2</v>
      </c>
      <c r="AP44" s="372"/>
      <c r="AQ44" s="364">
        <f t="shared" si="5"/>
        <v>214</v>
      </c>
      <c r="AR44" s="371">
        <v>46</v>
      </c>
      <c r="AS44" s="372">
        <v>7</v>
      </c>
      <c r="AT44" s="372"/>
      <c r="AU44" s="372"/>
      <c r="AV44" s="372">
        <v>2</v>
      </c>
      <c r="AW44" s="372">
        <v>1</v>
      </c>
      <c r="AX44" s="364">
        <f t="shared" si="6"/>
        <v>56</v>
      </c>
      <c r="AY44" s="371">
        <v>40</v>
      </c>
      <c r="AZ44" s="372">
        <v>18</v>
      </c>
      <c r="BA44" s="372"/>
      <c r="BB44" s="372"/>
      <c r="BC44" s="372">
        <v>3</v>
      </c>
      <c r="BD44" s="372"/>
      <c r="BE44" s="364">
        <f t="shared" si="7"/>
        <v>61</v>
      </c>
      <c r="BF44" s="371">
        <v>4</v>
      </c>
      <c r="BG44" s="372"/>
      <c r="BH44" s="372"/>
      <c r="BI44" s="372"/>
      <c r="BJ44" s="372">
        <v>1</v>
      </c>
      <c r="BK44" s="372"/>
      <c r="BL44" s="364">
        <f t="shared" si="8"/>
        <v>5</v>
      </c>
      <c r="BM44" s="371">
        <v>54</v>
      </c>
      <c r="BN44" s="372">
        <v>14</v>
      </c>
      <c r="BO44" s="372"/>
      <c r="BP44" s="372"/>
      <c r="BQ44" s="372">
        <v>2</v>
      </c>
      <c r="BR44" s="372"/>
      <c r="BS44" s="364">
        <f t="shared" si="9"/>
        <v>70</v>
      </c>
      <c r="BT44" s="371">
        <v>70</v>
      </c>
      <c r="BU44" s="372">
        <v>19</v>
      </c>
      <c r="BV44" s="372"/>
      <c r="BW44" s="372"/>
      <c r="BX44" s="372"/>
      <c r="BY44" s="372"/>
      <c r="BZ44" s="364">
        <f t="shared" si="10"/>
        <v>89</v>
      </c>
      <c r="CA44" s="371"/>
      <c r="CB44" s="372"/>
      <c r="CC44" s="372"/>
      <c r="CD44" s="372"/>
      <c r="CE44" s="372"/>
      <c r="CF44" s="372"/>
      <c r="CG44" s="364">
        <f t="shared" si="11"/>
        <v>0</v>
      </c>
      <c r="CH44" s="371">
        <v>71</v>
      </c>
      <c r="CI44" s="372">
        <v>12</v>
      </c>
      <c r="CJ44" s="372"/>
      <c r="CK44" s="372"/>
      <c r="CL44" s="372">
        <v>1</v>
      </c>
      <c r="CM44" s="372"/>
      <c r="CN44" s="364">
        <f t="shared" si="12"/>
        <v>84</v>
      </c>
      <c r="CO44" s="371">
        <v>140</v>
      </c>
      <c r="CP44" s="372">
        <v>52</v>
      </c>
      <c r="CQ44" s="372"/>
      <c r="CR44" s="372"/>
      <c r="CS44" s="372"/>
      <c r="CT44" s="372"/>
      <c r="CU44" s="364">
        <f t="shared" si="13"/>
        <v>192</v>
      </c>
      <c r="CV44" s="371"/>
      <c r="CW44" s="372"/>
      <c r="CX44" s="372"/>
      <c r="CY44" s="372"/>
      <c r="CZ44" s="372"/>
      <c r="DA44" s="372"/>
      <c r="DB44" s="364">
        <f t="shared" si="14"/>
        <v>0</v>
      </c>
      <c r="DC44" s="371"/>
      <c r="DD44" s="372"/>
      <c r="DE44" s="372"/>
      <c r="DF44" s="372"/>
      <c r="DG44" s="372"/>
      <c r="DH44" s="372"/>
      <c r="DI44" s="364">
        <f t="shared" si="15"/>
        <v>0</v>
      </c>
      <c r="DJ44" s="373"/>
      <c r="DK44" s="374"/>
      <c r="DL44" s="374"/>
      <c r="DM44" s="374"/>
      <c r="DN44" s="374"/>
      <c r="DO44" s="374"/>
      <c r="DP44" s="367">
        <f t="shared" si="16"/>
        <v>0</v>
      </c>
      <c r="DQ44" s="373"/>
      <c r="DR44" s="374"/>
      <c r="DS44" s="374"/>
      <c r="DT44" s="374"/>
      <c r="DU44" s="374"/>
      <c r="DV44" s="374"/>
      <c r="DW44" s="367">
        <f t="shared" si="17"/>
        <v>0</v>
      </c>
      <c r="DX44" s="373"/>
      <c r="DY44" s="374"/>
      <c r="DZ44" s="374"/>
      <c r="EA44" s="374"/>
      <c r="EB44" s="374"/>
      <c r="EC44" s="374"/>
      <c r="ED44" s="367">
        <f t="shared" si="18"/>
        <v>0</v>
      </c>
      <c r="EE44" s="375"/>
      <c r="EF44" s="375"/>
      <c r="EG44" s="375"/>
      <c r="EH44" s="375"/>
      <c r="EI44" s="375"/>
      <c r="EJ44" s="375"/>
      <c r="EK44" s="375"/>
      <c r="EL44" s="373"/>
      <c r="EM44" s="374"/>
      <c r="EN44" s="374"/>
      <c r="EO44" s="374"/>
      <c r="EP44" s="374"/>
      <c r="EQ44" s="374"/>
      <c r="ER44" s="367">
        <f t="shared" si="19"/>
        <v>0</v>
      </c>
      <c r="ES44" s="373"/>
      <c r="ET44" s="374"/>
      <c r="EU44" s="374"/>
      <c r="EV44" s="374"/>
      <c r="EW44" s="374"/>
      <c r="EX44" s="374"/>
      <c r="EY44" s="367">
        <f t="shared" si="20"/>
        <v>0</v>
      </c>
      <c r="EZ44" s="373"/>
      <c r="FA44" s="374"/>
      <c r="FB44" s="374"/>
      <c r="FC44" s="374"/>
      <c r="FD44" s="374"/>
      <c r="FE44" s="374"/>
      <c r="FF44" s="367">
        <f t="shared" si="21"/>
        <v>0</v>
      </c>
      <c r="FG44" s="375"/>
      <c r="FH44" s="375"/>
      <c r="FI44" s="375"/>
      <c r="FJ44" s="375"/>
      <c r="FK44" s="375"/>
      <c r="FL44" s="375"/>
      <c r="FM44" s="375"/>
      <c r="FN44" s="373"/>
      <c r="FO44" s="374"/>
      <c r="FP44" s="374"/>
      <c r="FQ44" s="374"/>
      <c r="FR44" s="374"/>
      <c r="FS44" s="374"/>
      <c r="FT44" s="367">
        <f t="shared" si="22"/>
        <v>0</v>
      </c>
      <c r="FU44" s="373"/>
      <c r="FV44" s="374"/>
      <c r="FW44" s="374"/>
      <c r="FX44" s="374"/>
      <c r="FY44" s="374"/>
      <c r="FZ44" s="374"/>
      <c r="GA44" s="367">
        <f t="shared" si="23"/>
        <v>0</v>
      </c>
      <c r="GB44" s="373"/>
      <c r="GC44" s="374"/>
      <c r="GD44" s="374"/>
      <c r="GE44" s="374"/>
      <c r="GF44" s="374"/>
      <c r="GG44" s="374"/>
      <c r="GH44" s="367">
        <f t="shared" si="24"/>
        <v>0</v>
      </c>
      <c r="GI44" s="375"/>
      <c r="GJ44" s="375"/>
      <c r="GK44" s="375"/>
      <c r="GL44" s="375"/>
      <c r="GM44" s="375"/>
      <c r="GN44" s="375"/>
      <c r="GO44" s="375"/>
      <c r="GP44" s="373"/>
      <c r="GQ44" s="374"/>
      <c r="GR44" s="374"/>
      <c r="GS44" s="374"/>
      <c r="GT44" s="374"/>
      <c r="GU44" s="374"/>
      <c r="GV44" s="367">
        <f t="shared" si="25"/>
        <v>0</v>
      </c>
      <c r="GW44" s="373"/>
      <c r="GX44" s="374"/>
      <c r="GY44" s="374"/>
      <c r="GZ44" s="374"/>
      <c r="HA44" s="374"/>
      <c r="HB44" s="374"/>
      <c r="HC44" s="367">
        <f t="shared" si="26"/>
        <v>0</v>
      </c>
      <c r="HD44" s="373"/>
      <c r="HE44" s="374"/>
      <c r="HF44" s="374"/>
      <c r="HG44" s="374"/>
      <c r="HH44" s="374"/>
      <c r="HI44" s="374"/>
      <c r="HJ44" s="367">
        <f t="shared" si="27"/>
        <v>0</v>
      </c>
    </row>
    <row r="45" spans="1:218" s="369" customFormat="1" ht="21.75" customHeight="1" x14ac:dyDescent="0.6">
      <c r="A45" s="370" t="s">
        <v>100</v>
      </c>
      <c r="B45" s="371">
        <v>55</v>
      </c>
      <c r="C45" s="372">
        <v>10</v>
      </c>
      <c r="D45" s="372">
        <v>1</v>
      </c>
      <c r="E45" s="372"/>
      <c r="F45" s="372"/>
      <c r="G45" s="372">
        <v>2</v>
      </c>
      <c r="H45" s="364">
        <f t="shared" si="0"/>
        <v>68</v>
      </c>
      <c r="I45" s="371">
        <v>25</v>
      </c>
      <c r="J45" s="372">
        <v>9</v>
      </c>
      <c r="K45" s="372"/>
      <c r="L45" s="372"/>
      <c r="M45" s="372"/>
      <c r="N45" s="372"/>
      <c r="O45" s="364">
        <f t="shared" si="1"/>
        <v>34</v>
      </c>
      <c r="P45" s="371">
        <v>16</v>
      </c>
      <c r="Q45" s="372">
        <v>3</v>
      </c>
      <c r="R45" s="372"/>
      <c r="S45" s="372"/>
      <c r="T45" s="372"/>
      <c r="U45" s="372"/>
      <c r="V45" s="364">
        <f t="shared" si="2"/>
        <v>19</v>
      </c>
      <c r="W45" s="371"/>
      <c r="X45" s="372"/>
      <c r="Y45" s="372"/>
      <c r="Z45" s="372"/>
      <c r="AA45" s="372"/>
      <c r="AB45" s="372"/>
      <c r="AC45" s="364">
        <f t="shared" si="3"/>
        <v>0</v>
      </c>
      <c r="AD45" s="371">
        <v>47</v>
      </c>
      <c r="AE45" s="372">
        <v>19</v>
      </c>
      <c r="AF45" s="372"/>
      <c r="AG45" s="372"/>
      <c r="AH45" s="372"/>
      <c r="AI45" s="372"/>
      <c r="AJ45" s="364">
        <f t="shared" si="4"/>
        <v>66</v>
      </c>
      <c r="AK45" s="371">
        <v>163</v>
      </c>
      <c r="AL45" s="372">
        <v>43</v>
      </c>
      <c r="AM45" s="372">
        <v>2</v>
      </c>
      <c r="AN45" s="372">
        <v>1</v>
      </c>
      <c r="AO45" s="372">
        <v>1</v>
      </c>
      <c r="AP45" s="372"/>
      <c r="AQ45" s="364">
        <f t="shared" si="5"/>
        <v>210</v>
      </c>
      <c r="AR45" s="371">
        <v>40</v>
      </c>
      <c r="AS45" s="372">
        <v>11</v>
      </c>
      <c r="AT45" s="372"/>
      <c r="AU45" s="372"/>
      <c r="AV45" s="372"/>
      <c r="AW45" s="372">
        <v>1</v>
      </c>
      <c r="AX45" s="364">
        <f t="shared" si="6"/>
        <v>52</v>
      </c>
      <c r="AY45" s="371">
        <v>52</v>
      </c>
      <c r="AZ45" s="372">
        <v>16</v>
      </c>
      <c r="BA45" s="372">
        <v>1</v>
      </c>
      <c r="BB45" s="372"/>
      <c r="BC45" s="372">
        <v>2</v>
      </c>
      <c r="BD45" s="372"/>
      <c r="BE45" s="364">
        <f t="shared" si="7"/>
        <v>71</v>
      </c>
      <c r="BF45" s="371">
        <v>6</v>
      </c>
      <c r="BG45" s="372">
        <v>4</v>
      </c>
      <c r="BH45" s="372"/>
      <c r="BI45" s="372"/>
      <c r="BJ45" s="372"/>
      <c r="BK45" s="372"/>
      <c r="BL45" s="364">
        <f t="shared" si="8"/>
        <v>10</v>
      </c>
      <c r="BM45" s="371">
        <v>62</v>
      </c>
      <c r="BN45" s="372">
        <v>12</v>
      </c>
      <c r="BO45" s="372">
        <v>1</v>
      </c>
      <c r="BP45" s="372"/>
      <c r="BQ45" s="372"/>
      <c r="BR45" s="372"/>
      <c r="BS45" s="364">
        <f t="shared" si="9"/>
        <v>75</v>
      </c>
      <c r="BT45" s="371">
        <v>52</v>
      </c>
      <c r="BU45" s="372">
        <v>23</v>
      </c>
      <c r="BV45" s="372"/>
      <c r="BW45" s="372"/>
      <c r="BX45" s="372"/>
      <c r="BY45" s="372"/>
      <c r="BZ45" s="364">
        <f t="shared" si="10"/>
        <v>75</v>
      </c>
      <c r="CA45" s="371"/>
      <c r="CB45" s="372"/>
      <c r="CC45" s="372"/>
      <c r="CD45" s="372"/>
      <c r="CE45" s="372"/>
      <c r="CF45" s="372"/>
      <c r="CG45" s="364">
        <f t="shared" si="11"/>
        <v>0</v>
      </c>
      <c r="CH45" s="371">
        <v>68</v>
      </c>
      <c r="CI45" s="372">
        <v>8</v>
      </c>
      <c r="CJ45" s="372"/>
      <c r="CK45" s="372"/>
      <c r="CL45" s="372"/>
      <c r="CM45" s="372"/>
      <c r="CN45" s="364">
        <f t="shared" si="12"/>
        <v>76</v>
      </c>
      <c r="CO45" s="371">
        <v>103</v>
      </c>
      <c r="CP45" s="372">
        <v>42</v>
      </c>
      <c r="CQ45" s="372"/>
      <c r="CR45" s="372">
        <v>1</v>
      </c>
      <c r="CS45" s="372">
        <v>1</v>
      </c>
      <c r="CT45" s="372">
        <v>1</v>
      </c>
      <c r="CU45" s="364">
        <f t="shared" si="13"/>
        <v>148</v>
      </c>
      <c r="CV45" s="371"/>
      <c r="CW45" s="372"/>
      <c r="CX45" s="372"/>
      <c r="CY45" s="372"/>
      <c r="CZ45" s="372"/>
      <c r="DA45" s="372"/>
      <c r="DB45" s="364">
        <f t="shared" si="14"/>
        <v>0</v>
      </c>
      <c r="DC45" s="371"/>
      <c r="DD45" s="372"/>
      <c r="DE45" s="372"/>
      <c r="DF45" s="372"/>
      <c r="DG45" s="372"/>
      <c r="DH45" s="372"/>
      <c r="DI45" s="364">
        <f t="shared" si="15"/>
        <v>0</v>
      </c>
      <c r="DJ45" s="373"/>
      <c r="DK45" s="374"/>
      <c r="DL45" s="374"/>
      <c r="DM45" s="374"/>
      <c r="DN45" s="374"/>
      <c r="DO45" s="374"/>
      <c r="DP45" s="367">
        <f t="shared" si="16"/>
        <v>0</v>
      </c>
      <c r="DQ45" s="373"/>
      <c r="DR45" s="374"/>
      <c r="DS45" s="374"/>
      <c r="DT45" s="374"/>
      <c r="DU45" s="374"/>
      <c r="DV45" s="374"/>
      <c r="DW45" s="367">
        <f t="shared" si="17"/>
        <v>0</v>
      </c>
      <c r="DX45" s="373"/>
      <c r="DY45" s="374"/>
      <c r="DZ45" s="374"/>
      <c r="EA45" s="374"/>
      <c r="EB45" s="374"/>
      <c r="EC45" s="374"/>
      <c r="ED45" s="367">
        <f t="shared" si="18"/>
        <v>0</v>
      </c>
      <c r="EE45" s="375"/>
      <c r="EF45" s="375"/>
      <c r="EG45" s="375"/>
      <c r="EH45" s="375"/>
      <c r="EI45" s="375"/>
      <c r="EJ45" s="375"/>
      <c r="EK45" s="375"/>
      <c r="EL45" s="373"/>
      <c r="EM45" s="374"/>
      <c r="EN45" s="374"/>
      <c r="EO45" s="374"/>
      <c r="EP45" s="374"/>
      <c r="EQ45" s="374"/>
      <c r="ER45" s="367">
        <f t="shared" si="19"/>
        <v>0</v>
      </c>
      <c r="ES45" s="373"/>
      <c r="ET45" s="374"/>
      <c r="EU45" s="374"/>
      <c r="EV45" s="374"/>
      <c r="EW45" s="374"/>
      <c r="EX45" s="374"/>
      <c r="EY45" s="367">
        <f t="shared" si="20"/>
        <v>0</v>
      </c>
      <c r="EZ45" s="373"/>
      <c r="FA45" s="374"/>
      <c r="FB45" s="374"/>
      <c r="FC45" s="374"/>
      <c r="FD45" s="374"/>
      <c r="FE45" s="374"/>
      <c r="FF45" s="367">
        <f t="shared" si="21"/>
        <v>0</v>
      </c>
      <c r="FG45" s="375"/>
      <c r="FH45" s="375"/>
      <c r="FI45" s="375"/>
      <c r="FJ45" s="375"/>
      <c r="FK45" s="375"/>
      <c r="FL45" s="375"/>
      <c r="FM45" s="375"/>
      <c r="FN45" s="373"/>
      <c r="FO45" s="374"/>
      <c r="FP45" s="374"/>
      <c r="FQ45" s="374"/>
      <c r="FR45" s="374"/>
      <c r="FS45" s="374"/>
      <c r="FT45" s="367">
        <f t="shared" si="22"/>
        <v>0</v>
      </c>
      <c r="FU45" s="373"/>
      <c r="FV45" s="374"/>
      <c r="FW45" s="374"/>
      <c r="FX45" s="374"/>
      <c r="FY45" s="374"/>
      <c r="FZ45" s="374"/>
      <c r="GA45" s="367">
        <f t="shared" si="23"/>
        <v>0</v>
      </c>
      <c r="GB45" s="373"/>
      <c r="GC45" s="374"/>
      <c r="GD45" s="374"/>
      <c r="GE45" s="374"/>
      <c r="GF45" s="374"/>
      <c r="GG45" s="374"/>
      <c r="GH45" s="367">
        <f t="shared" si="24"/>
        <v>0</v>
      </c>
      <c r="GI45" s="375"/>
      <c r="GJ45" s="375"/>
      <c r="GK45" s="375"/>
      <c r="GL45" s="375"/>
      <c r="GM45" s="375"/>
      <c r="GN45" s="375"/>
      <c r="GO45" s="375"/>
      <c r="GP45" s="373"/>
      <c r="GQ45" s="374"/>
      <c r="GR45" s="374"/>
      <c r="GS45" s="374"/>
      <c r="GT45" s="374"/>
      <c r="GU45" s="374"/>
      <c r="GV45" s="367">
        <f t="shared" si="25"/>
        <v>0</v>
      </c>
      <c r="GW45" s="373"/>
      <c r="GX45" s="374"/>
      <c r="GY45" s="374"/>
      <c r="GZ45" s="374"/>
      <c r="HA45" s="374"/>
      <c r="HB45" s="374"/>
      <c r="HC45" s="367">
        <f t="shared" si="26"/>
        <v>0</v>
      </c>
      <c r="HD45" s="373"/>
      <c r="HE45" s="374"/>
      <c r="HF45" s="374"/>
      <c r="HG45" s="374"/>
      <c r="HH45" s="374"/>
      <c r="HI45" s="374"/>
      <c r="HJ45" s="367">
        <f t="shared" si="27"/>
        <v>0</v>
      </c>
    </row>
    <row r="46" spans="1:218" s="369" customFormat="1" ht="21.75" customHeight="1" x14ac:dyDescent="0.6">
      <c r="A46" s="376" t="s">
        <v>101</v>
      </c>
      <c r="B46" s="377">
        <v>43</v>
      </c>
      <c r="C46" s="378">
        <v>8</v>
      </c>
      <c r="D46" s="378"/>
      <c r="E46" s="378"/>
      <c r="F46" s="378">
        <v>1</v>
      </c>
      <c r="G46" s="378"/>
      <c r="H46" s="364">
        <f t="shared" si="0"/>
        <v>52</v>
      </c>
      <c r="I46" s="377">
        <v>31</v>
      </c>
      <c r="J46" s="378">
        <v>9</v>
      </c>
      <c r="K46" s="378"/>
      <c r="L46" s="378"/>
      <c r="M46" s="378"/>
      <c r="N46" s="378"/>
      <c r="O46" s="364">
        <f t="shared" si="1"/>
        <v>40</v>
      </c>
      <c r="P46" s="377">
        <v>23</v>
      </c>
      <c r="Q46" s="378">
        <v>7</v>
      </c>
      <c r="R46" s="378"/>
      <c r="S46" s="378"/>
      <c r="T46" s="378"/>
      <c r="U46" s="378"/>
      <c r="V46" s="364">
        <f t="shared" si="2"/>
        <v>30</v>
      </c>
      <c r="W46" s="377"/>
      <c r="X46" s="378"/>
      <c r="Y46" s="378"/>
      <c r="Z46" s="378"/>
      <c r="AA46" s="378"/>
      <c r="AB46" s="378"/>
      <c r="AC46" s="364">
        <f t="shared" si="3"/>
        <v>0</v>
      </c>
      <c r="AD46" s="377">
        <v>62</v>
      </c>
      <c r="AE46" s="378">
        <v>16</v>
      </c>
      <c r="AF46" s="378"/>
      <c r="AG46" s="378"/>
      <c r="AH46" s="378"/>
      <c r="AI46" s="378"/>
      <c r="AJ46" s="364">
        <f t="shared" si="4"/>
        <v>78</v>
      </c>
      <c r="AK46" s="377">
        <v>148</v>
      </c>
      <c r="AL46" s="378">
        <v>40</v>
      </c>
      <c r="AM46" s="378"/>
      <c r="AN46" s="378"/>
      <c r="AO46" s="378">
        <v>1</v>
      </c>
      <c r="AP46" s="378"/>
      <c r="AQ46" s="364">
        <f t="shared" si="5"/>
        <v>189</v>
      </c>
      <c r="AR46" s="377">
        <v>37</v>
      </c>
      <c r="AS46" s="378">
        <v>9</v>
      </c>
      <c r="AT46" s="378"/>
      <c r="AU46" s="378"/>
      <c r="AV46" s="378"/>
      <c r="AW46" s="378"/>
      <c r="AX46" s="364">
        <f t="shared" si="6"/>
        <v>46</v>
      </c>
      <c r="AY46" s="377">
        <v>38</v>
      </c>
      <c r="AZ46" s="378">
        <v>25</v>
      </c>
      <c r="BA46" s="378"/>
      <c r="BB46" s="378"/>
      <c r="BC46" s="378">
        <v>4</v>
      </c>
      <c r="BD46" s="378">
        <v>1</v>
      </c>
      <c r="BE46" s="364">
        <f t="shared" si="7"/>
        <v>68</v>
      </c>
      <c r="BF46" s="377">
        <v>3</v>
      </c>
      <c r="BG46" s="378">
        <v>1</v>
      </c>
      <c r="BH46" s="378"/>
      <c r="BI46" s="378"/>
      <c r="BJ46" s="378"/>
      <c r="BK46" s="378"/>
      <c r="BL46" s="364">
        <f t="shared" si="8"/>
        <v>4</v>
      </c>
      <c r="BM46" s="377">
        <v>59</v>
      </c>
      <c r="BN46" s="378">
        <v>17</v>
      </c>
      <c r="BO46" s="378"/>
      <c r="BP46" s="378"/>
      <c r="BQ46" s="378">
        <v>1</v>
      </c>
      <c r="BR46" s="378"/>
      <c r="BS46" s="364">
        <f t="shared" si="9"/>
        <v>77</v>
      </c>
      <c r="BT46" s="377">
        <v>84</v>
      </c>
      <c r="BU46" s="378">
        <v>6</v>
      </c>
      <c r="BV46" s="378"/>
      <c r="BW46" s="378"/>
      <c r="BX46" s="378"/>
      <c r="BY46" s="378"/>
      <c r="BZ46" s="364">
        <f t="shared" si="10"/>
        <v>90</v>
      </c>
      <c r="CA46" s="377"/>
      <c r="CB46" s="378"/>
      <c r="CC46" s="378"/>
      <c r="CD46" s="378"/>
      <c r="CE46" s="378"/>
      <c r="CF46" s="378"/>
      <c r="CG46" s="364">
        <f t="shared" si="11"/>
        <v>0</v>
      </c>
      <c r="CH46" s="377">
        <v>73</v>
      </c>
      <c r="CI46" s="378">
        <v>10</v>
      </c>
      <c r="CJ46" s="378"/>
      <c r="CK46" s="378"/>
      <c r="CL46" s="378"/>
      <c r="CM46" s="378">
        <v>1</v>
      </c>
      <c r="CN46" s="364">
        <f t="shared" si="12"/>
        <v>84</v>
      </c>
      <c r="CO46" s="377">
        <v>176</v>
      </c>
      <c r="CP46" s="378">
        <v>58</v>
      </c>
      <c r="CQ46" s="378">
        <v>1</v>
      </c>
      <c r="CR46" s="378"/>
      <c r="CS46" s="378">
        <v>1</v>
      </c>
      <c r="CT46" s="378">
        <v>1</v>
      </c>
      <c r="CU46" s="364">
        <f t="shared" si="13"/>
        <v>237</v>
      </c>
      <c r="CV46" s="377"/>
      <c r="CW46" s="378"/>
      <c r="CX46" s="378"/>
      <c r="CY46" s="378"/>
      <c r="CZ46" s="378"/>
      <c r="DA46" s="378"/>
      <c r="DB46" s="364">
        <f t="shared" si="14"/>
        <v>0</v>
      </c>
      <c r="DC46" s="377"/>
      <c r="DD46" s="378"/>
      <c r="DE46" s="378"/>
      <c r="DF46" s="378"/>
      <c r="DG46" s="378"/>
      <c r="DH46" s="378"/>
      <c r="DI46" s="364">
        <f t="shared" si="15"/>
        <v>0</v>
      </c>
      <c r="DJ46" s="379"/>
      <c r="DK46" s="380"/>
      <c r="DL46" s="380"/>
      <c r="DM46" s="380"/>
      <c r="DN46" s="380"/>
      <c r="DO46" s="380"/>
      <c r="DP46" s="367">
        <f t="shared" si="16"/>
        <v>0</v>
      </c>
      <c r="DQ46" s="379"/>
      <c r="DR46" s="380"/>
      <c r="DS46" s="380"/>
      <c r="DT46" s="380"/>
      <c r="DU46" s="380"/>
      <c r="DV46" s="380"/>
      <c r="DW46" s="367">
        <f t="shared" si="17"/>
        <v>0</v>
      </c>
      <c r="DX46" s="379"/>
      <c r="DY46" s="380"/>
      <c r="DZ46" s="380"/>
      <c r="EA46" s="380"/>
      <c r="EB46" s="380"/>
      <c r="EC46" s="380"/>
      <c r="ED46" s="367">
        <f t="shared" si="18"/>
        <v>0</v>
      </c>
      <c r="EE46" s="375"/>
      <c r="EF46" s="375"/>
      <c r="EG46" s="375"/>
      <c r="EH46" s="375"/>
      <c r="EI46" s="375"/>
      <c r="EJ46" s="375"/>
      <c r="EK46" s="375"/>
      <c r="EL46" s="379"/>
      <c r="EM46" s="380"/>
      <c r="EN46" s="380"/>
      <c r="EO46" s="380"/>
      <c r="EP46" s="380"/>
      <c r="EQ46" s="380"/>
      <c r="ER46" s="367">
        <f t="shared" si="19"/>
        <v>0</v>
      </c>
      <c r="ES46" s="379"/>
      <c r="ET46" s="380"/>
      <c r="EU46" s="380"/>
      <c r="EV46" s="380"/>
      <c r="EW46" s="380"/>
      <c r="EX46" s="380"/>
      <c r="EY46" s="367">
        <f t="shared" si="20"/>
        <v>0</v>
      </c>
      <c r="EZ46" s="379"/>
      <c r="FA46" s="380"/>
      <c r="FB46" s="380"/>
      <c r="FC46" s="380"/>
      <c r="FD46" s="380"/>
      <c r="FE46" s="380"/>
      <c r="FF46" s="367">
        <f t="shared" si="21"/>
        <v>0</v>
      </c>
      <c r="FG46" s="375"/>
      <c r="FH46" s="375"/>
      <c r="FI46" s="375"/>
      <c r="FJ46" s="375"/>
      <c r="FK46" s="375"/>
      <c r="FL46" s="375"/>
      <c r="FM46" s="375"/>
      <c r="FN46" s="379"/>
      <c r="FO46" s="380"/>
      <c r="FP46" s="380"/>
      <c r="FQ46" s="380"/>
      <c r="FR46" s="380"/>
      <c r="FS46" s="380"/>
      <c r="FT46" s="367">
        <f t="shared" si="22"/>
        <v>0</v>
      </c>
      <c r="FU46" s="379"/>
      <c r="FV46" s="380"/>
      <c r="FW46" s="380"/>
      <c r="FX46" s="380"/>
      <c r="FY46" s="380"/>
      <c r="FZ46" s="380"/>
      <c r="GA46" s="367">
        <f t="shared" si="23"/>
        <v>0</v>
      </c>
      <c r="GB46" s="379"/>
      <c r="GC46" s="380"/>
      <c r="GD46" s="380"/>
      <c r="GE46" s="380"/>
      <c r="GF46" s="380"/>
      <c r="GG46" s="380"/>
      <c r="GH46" s="367">
        <f t="shared" si="24"/>
        <v>0</v>
      </c>
      <c r="GI46" s="375"/>
      <c r="GJ46" s="375"/>
      <c r="GK46" s="375"/>
      <c r="GL46" s="375"/>
      <c r="GM46" s="375"/>
      <c r="GN46" s="375"/>
      <c r="GO46" s="375"/>
      <c r="GP46" s="379"/>
      <c r="GQ46" s="380"/>
      <c r="GR46" s="380"/>
      <c r="GS46" s="380"/>
      <c r="GT46" s="380"/>
      <c r="GU46" s="380"/>
      <c r="GV46" s="367">
        <f t="shared" si="25"/>
        <v>0</v>
      </c>
      <c r="GW46" s="379"/>
      <c r="GX46" s="380"/>
      <c r="GY46" s="380"/>
      <c r="GZ46" s="380"/>
      <c r="HA46" s="380"/>
      <c r="HB46" s="380"/>
      <c r="HC46" s="367">
        <f t="shared" si="26"/>
        <v>0</v>
      </c>
      <c r="HD46" s="379"/>
      <c r="HE46" s="380"/>
      <c r="HF46" s="380"/>
      <c r="HG46" s="380"/>
      <c r="HH46" s="380"/>
      <c r="HI46" s="380"/>
      <c r="HJ46" s="367">
        <f t="shared" si="27"/>
        <v>0</v>
      </c>
    </row>
    <row r="47" spans="1:218" s="369" customFormat="1" ht="21.75" customHeight="1" x14ac:dyDescent="0.6">
      <c r="A47" s="361" t="s">
        <v>102</v>
      </c>
      <c r="B47" s="362">
        <v>46</v>
      </c>
      <c r="C47" s="363">
        <v>5</v>
      </c>
      <c r="D47" s="363"/>
      <c r="E47" s="363"/>
      <c r="F47" s="363">
        <v>1</v>
      </c>
      <c r="G47" s="363"/>
      <c r="H47" s="364">
        <f t="shared" si="0"/>
        <v>52</v>
      </c>
      <c r="I47" s="362">
        <v>26</v>
      </c>
      <c r="J47" s="363">
        <v>11</v>
      </c>
      <c r="K47" s="363"/>
      <c r="L47" s="363"/>
      <c r="M47" s="363"/>
      <c r="N47" s="363"/>
      <c r="O47" s="364">
        <f t="shared" si="1"/>
        <v>37</v>
      </c>
      <c r="P47" s="362">
        <v>19</v>
      </c>
      <c r="Q47" s="363">
        <v>6</v>
      </c>
      <c r="R47" s="363"/>
      <c r="S47" s="363"/>
      <c r="T47" s="363"/>
      <c r="U47" s="363"/>
      <c r="V47" s="364">
        <f t="shared" si="2"/>
        <v>25</v>
      </c>
      <c r="W47" s="362"/>
      <c r="X47" s="363"/>
      <c r="Y47" s="363"/>
      <c r="Z47" s="363"/>
      <c r="AA47" s="363"/>
      <c r="AB47" s="363"/>
      <c r="AC47" s="364">
        <f t="shared" si="3"/>
        <v>0</v>
      </c>
      <c r="AD47" s="362">
        <v>56</v>
      </c>
      <c r="AE47" s="363">
        <v>15</v>
      </c>
      <c r="AF47" s="363"/>
      <c r="AG47" s="363"/>
      <c r="AH47" s="363">
        <v>1</v>
      </c>
      <c r="AI47" s="363"/>
      <c r="AJ47" s="364">
        <f t="shared" si="4"/>
        <v>72</v>
      </c>
      <c r="AK47" s="362">
        <v>159</v>
      </c>
      <c r="AL47" s="363">
        <v>35</v>
      </c>
      <c r="AM47" s="363">
        <v>1</v>
      </c>
      <c r="AN47" s="363"/>
      <c r="AO47" s="363">
        <v>2</v>
      </c>
      <c r="AP47" s="363"/>
      <c r="AQ47" s="364">
        <f t="shared" si="5"/>
        <v>197</v>
      </c>
      <c r="AR47" s="362">
        <v>45</v>
      </c>
      <c r="AS47" s="363">
        <v>6</v>
      </c>
      <c r="AT47" s="363"/>
      <c r="AU47" s="363"/>
      <c r="AV47" s="363"/>
      <c r="AW47" s="363"/>
      <c r="AX47" s="364">
        <f t="shared" si="6"/>
        <v>51</v>
      </c>
      <c r="AY47" s="362">
        <v>53</v>
      </c>
      <c r="AZ47" s="363">
        <v>12</v>
      </c>
      <c r="BA47" s="363"/>
      <c r="BB47" s="363"/>
      <c r="BC47" s="363"/>
      <c r="BD47" s="363"/>
      <c r="BE47" s="364">
        <f t="shared" si="7"/>
        <v>65</v>
      </c>
      <c r="BF47" s="362">
        <v>2</v>
      </c>
      <c r="BG47" s="363"/>
      <c r="BH47" s="363"/>
      <c r="BI47" s="363"/>
      <c r="BJ47" s="363"/>
      <c r="BK47" s="363"/>
      <c r="BL47" s="364">
        <f t="shared" si="8"/>
        <v>2</v>
      </c>
      <c r="BM47" s="362">
        <v>49</v>
      </c>
      <c r="BN47" s="363">
        <v>14</v>
      </c>
      <c r="BO47" s="363">
        <v>1</v>
      </c>
      <c r="BP47" s="363"/>
      <c r="BQ47" s="363"/>
      <c r="BR47" s="363"/>
      <c r="BS47" s="364">
        <f t="shared" si="9"/>
        <v>64</v>
      </c>
      <c r="BT47" s="362">
        <v>75</v>
      </c>
      <c r="BU47" s="363">
        <v>10</v>
      </c>
      <c r="BV47" s="363"/>
      <c r="BW47" s="363"/>
      <c r="BX47" s="363"/>
      <c r="BY47" s="363"/>
      <c r="BZ47" s="364">
        <f t="shared" si="10"/>
        <v>85</v>
      </c>
      <c r="CA47" s="362"/>
      <c r="CB47" s="363"/>
      <c r="CC47" s="363"/>
      <c r="CD47" s="363"/>
      <c r="CE47" s="363"/>
      <c r="CF47" s="363"/>
      <c r="CG47" s="364">
        <f t="shared" si="11"/>
        <v>0</v>
      </c>
      <c r="CH47" s="362">
        <v>67</v>
      </c>
      <c r="CI47" s="363">
        <v>13</v>
      </c>
      <c r="CJ47" s="363"/>
      <c r="CK47" s="363"/>
      <c r="CL47" s="363"/>
      <c r="CM47" s="363"/>
      <c r="CN47" s="364">
        <f t="shared" si="12"/>
        <v>80</v>
      </c>
      <c r="CO47" s="362">
        <v>166</v>
      </c>
      <c r="CP47" s="363">
        <v>48</v>
      </c>
      <c r="CQ47" s="363">
        <v>1</v>
      </c>
      <c r="CR47" s="363">
        <v>2</v>
      </c>
      <c r="CS47" s="363"/>
      <c r="CT47" s="363"/>
      <c r="CU47" s="364">
        <f t="shared" si="13"/>
        <v>217</v>
      </c>
      <c r="CV47" s="362"/>
      <c r="CW47" s="363"/>
      <c r="CX47" s="363"/>
      <c r="CY47" s="363"/>
      <c r="CZ47" s="363"/>
      <c r="DA47" s="363"/>
      <c r="DB47" s="364">
        <f t="shared" si="14"/>
        <v>0</v>
      </c>
      <c r="DC47" s="362"/>
      <c r="DD47" s="363"/>
      <c r="DE47" s="363"/>
      <c r="DF47" s="363"/>
      <c r="DG47" s="363"/>
      <c r="DH47" s="363"/>
      <c r="DI47" s="364">
        <f t="shared" si="15"/>
        <v>0</v>
      </c>
      <c r="DJ47" s="365"/>
      <c r="DK47" s="366"/>
      <c r="DL47" s="366"/>
      <c r="DM47" s="366"/>
      <c r="DN47" s="366"/>
      <c r="DO47" s="366"/>
      <c r="DP47" s="367">
        <f t="shared" si="16"/>
        <v>0</v>
      </c>
      <c r="DQ47" s="365"/>
      <c r="DR47" s="366"/>
      <c r="DS47" s="366"/>
      <c r="DT47" s="366"/>
      <c r="DU47" s="366"/>
      <c r="DV47" s="366"/>
      <c r="DW47" s="367">
        <f t="shared" si="17"/>
        <v>0</v>
      </c>
      <c r="DX47" s="365"/>
      <c r="DY47" s="366"/>
      <c r="DZ47" s="366"/>
      <c r="EA47" s="366"/>
      <c r="EB47" s="366"/>
      <c r="EC47" s="366"/>
      <c r="ED47" s="367">
        <f t="shared" si="18"/>
        <v>0</v>
      </c>
      <c r="EE47" s="368"/>
      <c r="EF47" s="368"/>
      <c r="EG47" s="368"/>
      <c r="EH47" s="368"/>
      <c r="EI47" s="368"/>
      <c r="EJ47" s="368"/>
      <c r="EK47" s="368"/>
      <c r="EL47" s="365"/>
      <c r="EM47" s="366"/>
      <c r="EN47" s="366"/>
      <c r="EO47" s="366"/>
      <c r="EP47" s="366"/>
      <c r="EQ47" s="366"/>
      <c r="ER47" s="367">
        <f t="shared" si="19"/>
        <v>0</v>
      </c>
      <c r="ES47" s="365"/>
      <c r="ET47" s="366"/>
      <c r="EU47" s="366"/>
      <c r="EV47" s="366"/>
      <c r="EW47" s="366"/>
      <c r="EX47" s="366"/>
      <c r="EY47" s="367">
        <f t="shared" si="20"/>
        <v>0</v>
      </c>
      <c r="EZ47" s="365"/>
      <c r="FA47" s="366"/>
      <c r="FB47" s="366"/>
      <c r="FC47" s="366"/>
      <c r="FD47" s="366"/>
      <c r="FE47" s="366"/>
      <c r="FF47" s="367">
        <f t="shared" si="21"/>
        <v>0</v>
      </c>
      <c r="FG47" s="368"/>
      <c r="FH47" s="368"/>
      <c r="FI47" s="368"/>
      <c r="FJ47" s="368"/>
      <c r="FK47" s="368"/>
      <c r="FL47" s="368"/>
      <c r="FM47" s="368"/>
      <c r="FN47" s="365"/>
      <c r="FO47" s="366"/>
      <c r="FP47" s="366"/>
      <c r="FQ47" s="366"/>
      <c r="FR47" s="366"/>
      <c r="FS47" s="366"/>
      <c r="FT47" s="367">
        <f t="shared" si="22"/>
        <v>0</v>
      </c>
      <c r="FU47" s="365"/>
      <c r="FV47" s="366"/>
      <c r="FW47" s="366"/>
      <c r="FX47" s="366"/>
      <c r="FY47" s="366"/>
      <c r="FZ47" s="366"/>
      <c r="GA47" s="367">
        <f t="shared" si="23"/>
        <v>0</v>
      </c>
      <c r="GB47" s="365"/>
      <c r="GC47" s="366"/>
      <c r="GD47" s="366"/>
      <c r="GE47" s="366"/>
      <c r="GF47" s="366"/>
      <c r="GG47" s="366"/>
      <c r="GH47" s="367">
        <f t="shared" si="24"/>
        <v>0</v>
      </c>
      <c r="GI47" s="368"/>
      <c r="GJ47" s="368"/>
      <c r="GK47" s="368"/>
      <c r="GL47" s="368"/>
      <c r="GM47" s="368"/>
      <c r="GN47" s="368"/>
      <c r="GO47" s="368"/>
      <c r="GP47" s="365"/>
      <c r="GQ47" s="366"/>
      <c r="GR47" s="366"/>
      <c r="GS47" s="366"/>
      <c r="GT47" s="366"/>
      <c r="GU47" s="366"/>
      <c r="GV47" s="367">
        <f t="shared" si="25"/>
        <v>0</v>
      </c>
      <c r="GW47" s="365"/>
      <c r="GX47" s="366"/>
      <c r="GY47" s="366"/>
      <c r="GZ47" s="366"/>
      <c r="HA47" s="366"/>
      <c r="HB47" s="366"/>
      <c r="HC47" s="367">
        <f t="shared" si="26"/>
        <v>0</v>
      </c>
      <c r="HD47" s="365"/>
      <c r="HE47" s="366"/>
      <c r="HF47" s="366"/>
      <c r="HG47" s="366"/>
      <c r="HH47" s="366"/>
      <c r="HI47" s="366"/>
      <c r="HJ47" s="367">
        <f t="shared" si="27"/>
        <v>0</v>
      </c>
    </row>
    <row r="48" spans="1:218" s="369" customFormat="1" ht="21.75" customHeight="1" x14ac:dyDescent="0.6">
      <c r="A48" s="370" t="s">
        <v>103</v>
      </c>
      <c r="B48" s="371">
        <v>38</v>
      </c>
      <c r="C48" s="372">
        <v>5</v>
      </c>
      <c r="D48" s="372"/>
      <c r="E48" s="372"/>
      <c r="F48" s="372"/>
      <c r="G48" s="372">
        <v>1</v>
      </c>
      <c r="H48" s="364">
        <f t="shared" si="0"/>
        <v>44</v>
      </c>
      <c r="I48" s="371">
        <v>20</v>
      </c>
      <c r="J48" s="372">
        <v>9</v>
      </c>
      <c r="K48" s="372"/>
      <c r="L48" s="372"/>
      <c r="M48" s="372"/>
      <c r="N48" s="372"/>
      <c r="O48" s="364">
        <f t="shared" si="1"/>
        <v>29</v>
      </c>
      <c r="P48" s="371">
        <v>15</v>
      </c>
      <c r="Q48" s="372">
        <v>4</v>
      </c>
      <c r="R48" s="372"/>
      <c r="S48" s="372"/>
      <c r="T48" s="372"/>
      <c r="U48" s="372"/>
      <c r="V48" s="364">
        <f t="shared" si="2"/>
        <v>19</v>
      </c>
      <c r="W48" s="371"/>
      <c r="X48" s="372"/>
      <c r="Y48" s="372"/>
      <c r="Z48" s="372"/>
      <c r="AA48" s="372"/>
      <c r="AB48" s="372"/>
      <c r="AC48" s="364">
        <f t="shared" si="3"/>
        <v>0</v>
      </c>
      <c r="AD48" s="371">
        <v>60</v>
      </c>
      <c r="AE48" s="372">
        <v>23</v>
      </c>
      <c r="AF48" s="372"/>
      <c r="AG48" s="372"/>
      <c r="AH48" s="372"/>
      <c r="AI48" s="372"/>
      <c r="AJ48" s="364">
        <f t="shared" si="4"/>
        <v>83</v>
      </c>
      <c r="AK48" s="371">
        <v>134</v>
      </c>
      <c r="AL48" s="372">
        <v>31</v>
      </c>
      <c r="AM48" s="372">
        <v>1</v>
      </c>
      <c r="AN48" s="372"/>
      <c r="AO48" s="372"/>
      <c r="AP48" s="372"/>
      <c r="AQ48" s="364">
        <f t="shared" si="5"/>
        <v>166</v>
      </c>
      <c r="AR48" s="371">
        <v>53</v>
      </c>
      <c r="AS48" s="372">
        <v>5</v>
      </c>
      <c r="AT48" s="372"/>
      <c r="AU48" s="372"/>
      <c r="AV48" s="372">
        <v>1</v>
      </c>
      <c r="AW48" s="372">
        <v>1</v>
      </c>
      <c r="AX48" s="364">
        <f t="shared" si="6"/>
        <v>60</v>
      </c>
      <c r="AY48" s="371">
        <v>46</v>
      </c>
      <c r="AZ48" s="372">
        <v>24</v>
      </c>
      <c r="BA48" s="372"/>
      <c r="BB48" s="372"/>
      <c r="BC48" s="372"/>
      <c r="BD48" s="372"/>
      <c r="BE48" s="364">
        <f t="shared" si="7"/>
        <v>70</v>
      </c>
      <c r="BF48" s="371">
        <v>2</v>
      </c>
      <c r="BG48" s="372"/>
      <c r="BH48" s="372"/>
      <c r="BI48" s="372"/>
      <c r="BJ48" s="372"/>
      <c r="BK48" s="372"/>
      <c r="BL48" s="364">
        <f t="shared" si="8"/>
        <v>2</v>
      </c>
      <c r="BM48" s="371">
        <v>37</v>
      </c>
      <c r="BN48" s="372">
        <v>12</v>
      </c>
      <c r="BO48" s="372"/>
      <c r="BP48" s="372"/>
      <c r="BQ48" s="372">
        <v>1</v>
      </c>
      <c r="BR48" s="372"/>
      <c r="BS48" s="364">
        <f t="shared" si="9"/>
        <v>50</v>
      </c>
      <c r="BT48" s="371">
        <v>62</v>
      </c>
      <c r="BU48" s="372">
        <v>8</v>
      </c>
      <c r="BV48" s="372"/>
      <c r="BW48" s="372"/>
      <c r="BX48" s="372"/>
      <c r="BY48" s="372"/>
      <c r="BZ48" s="364">
        <f t="shared" si="10"/>
        <v>70</v>
      </c>
      <c r="CA48" s="371"/>
      <c r="CB48" s="372"/>
      <c r="CC48" s="372"/>
      <c r="CD48" s="372"/>
      <c r="CE48" s="372"/>
      <c r="CF48" s="372"/>
      <c r="CG48" s="364">
        <f t="shared" si="11"/>
        <v>0</v>
      </c>
      <c r="CH48" s="371">
        <v>65</v>
      </c>
      <c r="CI48" s="372">
        <v>9</v>
      </c>
      <c r="CJ48" s="372"/>
      <c r="CK48" s="372"/>
      <c r="CL48" s="372"/>
      <c r="CM48" s="372"/>
      <c r="CN48" s="364">
        <f t="shared" si="12"/>
        <v>74</v>
      </c>
      <c r="CO48" s="371">
        <v>148</v>
      </c>
      <c r="CP48" s="372">
        <v>46</v>
      </c>
      <c r="CQ48" s="372"/>
      <c r="CR48" s="372"/>
      <c r="CS48" s="372"/>
      <c r="CT48" s="372"/>
      <c r="CU48" s="364">
        <f t="shared" si="13"/>
        <v>194</v>
      </c>
      <c r="CV48" s="371"/>
      <c r="CW48" s="372"/>
      <c r="CX48" s="372"/>
      <c r="CY48" s="372"/>
      <c r="CZ48" s="372"/>
      <c r="DA48" s="372"/>
      <c r="DB48" s="364">
        <f t="shared" si="14"/>
        <v>0</v>
      </c>
      <c r="DC48" s="371"/>
      <c r="DD48" s="372"/>
      <c r="DE48" s="372"/>
      <c r="DF48" s="372"/>
      <c r="DG48" s="372"/>
      <c r="DH48" s="372"/>
      <c r="DI48" s="364">
        <f t="shared" si="15"/>
        <v>0</v>
      </c>
      <c r="DJ48" s="373"/>
      <c r="DK48" s="374"/>
      <c r="DL48" s="374"/>
      <c r="DM48" s="374"/>
      <c r="DN48" s="374"/>
      <c r="DO48" s="374"/>
      <c r="DP48" s="367">
        <f t="shared" si="16"/>
        <v>0</v>
      </c>
      <c r="DQ48" s="373"/>
      <c r="DR48" s="374"/>
      <c r="DS48" s="374"/>
      <c r="DT48" s="374"/>
      <c r="DU48" s="374"/>
      <c r="DV48" s="374"/>
      <c r="DW48" s="367">
        <f t="shared" si="17"/>
        <v>0</v>
      </c>
      <c r="DX48" s="373"/>
      <c r="DY48" s="374"/>
      <c r="DZ48" s="374"/>
      <c r="EA48" s="374"/>
      <c r="EB48" s="374"/>
      <c r="EC48" s="374"/>
      <c r="ED48" s="367">
        <f t="shared" si="18"/>
        <v>0</v>
      </c>
      <c r="EE48" s="375"/>
      <c r="EF48" s="375"/>
      <c r="EG48" s="375"/>
      <c r="EH48" s="375"/>
      <c r="EI48" s="375"/>
      <c r="EJ48" s="375"/>
      <c r="EK48" s="375"/>
      <c r="EL48" s="373"/>
      <c r="EM48" s="374"/>
      <c r="EN48" s="374"/>
      <c r="EO48" s="374"/>
      <c r="EP48" s="374"/>
      <c r="EQ48" s="374"/>
      <c r="ER48" s="367">
        <f t="shared" si="19"/>
        <v>0</v>
      </c>
      <c r="ES48" s="373"/>
      <c r="ET48" s="374"/>
      <c r="EU48" s="374"/>
      <c r="EV48" s="374"/>
      <c r="EW48" s="374"/>
      <c r="EX48" s="374"/>
      <c r="EY48" s="367">
        <f t="shared" si="20"/>
        <v>0</v>
      </c>
      <c r="EZ48" s="373"/>
      <c r="FA48" s="374"/>
      <c r="FB48" s="374"/>
      <c r="FC48" s="374"/>
      <c r="FD48" s="374"/>
      <c r="FE48" s="374"/>
      <c r="FF48" s="367">
        <f t="shared" si="21"/>
        <v>0</v>
      </c>
      <c r="FG48" s="375"/>
      <c r="FH48" s="375"/>
      <c r="FI48" s="375"/>
      <c r="FJ48" s="375"/>
      <c r="FK48" s="375"/>
      <c r="FL48" s="375"/>
      <c r="FM48" s="375"/>
      <c r="FN48" s="373"/>
      <c r="FO48" s="374"/>
      <c r="FP48" s="374"/>
      <c r="FQ48" s="374"/>
      <c r="FR48" s="374"/>
      <c r="FS48" s="374"/>
      <c r="FT48" s="367">
        <f t="shared" si="22"/>
        <v>0</v>
      </c>
      <c r="FU48" s="373"/>
      <c r="FV48" s="374"/>
      <c r="FW48" s="374"/>
      <c r="FX48" s="374"/>
      <c r="FY48" s="374"/>
      <c r="FZ48" s="374"/>
      <c r="GA48" s="367">
        <f t="shared" si="23"/>
        <v>0</v>
      </c>
      <c r="GB48" s="373"/>
      <c r="GC48" s="374"/>
      <c r="GD48" s="374"/>
      <c r="GE48" s="374"/>
      <c r="GF48" s="374"/>
      <c r="GG48" s="374"/>
      <c r="GH48" s="367">
        <f t="shared" si="24"/>
        <v>0</v>
      </c>
      <c r="GI48" s="375"/>
      <c r="GJ48" s="375"/>
      <c r="GK48" s="375"/>
      <c r="GL48" s="375"/>
      <c r="GM48" s="375"/>
      <c r="GN48" s="375"/>
      <c r="GO48" s="375"/>
      <c r="GP48" s="373"/>
      <c r="GQ48" s="374"/>
      <c r="GR48" s="374"/>
      <c r="GS48" s="374"/>
      <c r="GT48" s="374"/>
      <c r="GU48" s="374"/>
      <c r="GV48" s="367">
        <f t="shared" si="25"/>
        <v>0</v>
      </c>
      <c r="GW48" s="373"/>
      <c r="GX48" s="374"/>
      <c r="GY48" s="374"/>
      <c r="GZ48" s="374"/>
      <c r="HA48" s="374"/>
      <c r="HB48" s="374"/>
      <c r="HC48" s="367">
        <f t="shared" si="26"/>
        <v>0</v>
      </c>
      <c r="HD48" s="373"/>
      <c r="HE48" s="374"/>
      <c r="HF48" s="374"/>
      <c r="HG48" s="374"/>
      <c r="HH48" s="374"/>
      <c r="HI48" s="374"/>
      <c r="HJ48" s="367">
        <f t="shared" si="27"/>
        <v>0</v>
      </c>
    </row>
    <row r="49" spans="1:218" s="369" customFormat="1" ht="21.75" customHeight="1" x14ac:dyDescent="0.6">
      <c r="A49" s="370" t="s">
        <v>104</v>
      </c>
      <c r="B49" s="371">
        <v>41</v>
      </c>
      <c r="C49" s="372">
        <v>7</v>
      </c>
      <c r="D49" s="372"/>
      <c r="E49" s="372"/>
      <c r="F49" s="372"/>
      <c r="G49" s="372"/>
      <c r="H49" s="364">
        <f t="shared" si="0"/>
        <v>48</v>
      </c>
      <c r="I49" s="371">
        <v>24</v>
      </c>
      <c r="J49" s="372">
        <v>10</v>
      </c>
      <c r="K49" s="372"/>
      <c r="L49" s="372"/>
      <c r="M49" s="372"/>
      <c r="N49" s="372"/>
      <c r="O49" s="364">
        <f t="shared" si="1"/>
        <v>34</v>
      </c>
      <c r="P49" s="371">
        <v>17</v>
      </c>
      <c r="Q49" s="372">
        <v>3</v>
      </c>
      <c r="R49" s="372"/>
      <c r="S49" s="372"/>
      <c r="T49" s="372"/>
      <c r="U49" s="372"/>
      <c r="V49" s="364">
        <f t="shared" si="2"/>
        <v>20</v>
      </c>
      <c r="W49" s="371"/>
      <c r="X49" s="372"/>
      <c r="Y49" s="372"/>
      <c r="Z49" s="372"/>
      <c r="AA49" s="372"/>
      <c r="AB49" s="372"/>
      <c r="AC49" s="364">
        <f t="shared" si="3"/>
        <v>0</v>
      </c>
      <c r="AD49" s="371">
        <v>54</v>
      </c>
      <c r="AE49" s="372">
        <v>12</v>
      </c>
      <c r="AF49" s="372"/>
      <c r="AG49" s="372"/>
      <c r="AH49" s="372"/>
      <c r="AI49" s="372"/>
      <c r="AJ49" s="364">
        <f t="shared" si="4"/>
        <v>66</v>
      </c>
      <c r="AK49" s="371">
        <v>141</v>
      </c>
      <c r="AL49" s="372">
        <v>34</v>
      </c>
      <c r="AM49" s="372"/>
      <c r="AN49" s="372"/>
      <c r="AO49" s="372">
        <v>2</v>
      </c>
      <c r="AP49" s="372"/>
      <c r="AQ49" s="364">
        <f t="shared" si="5"/>
        <v>177</v>
      </c>
      <c r="AR49" s="371">
        <v>48</v>
      </c>
      <c r="AS49" s="372">
        <v>9</v>
      </c>
      <c r="AT49" s="372"/>
      <c r="AU49" s="372"/>
      <c r="AV49" s="372"/>
      <c r="AW49" s="372">
        <v>1</v>
      </c>
      <c r="AX49" s="364">
        <f t="shared" si="6"/>
        <v>58</v>
      </c>
      <c r="AY49" s="371">
        <v>56</v>
      </c>
      <c r="AZ49" s="372">
        <v>15</v>
      </c>
      <c r="BA49" s="372"/>
      <c r="BB49" s="372"/>
      <c r="BC49" s="372">
        <v>1</v>
      </c>
      <c r="BD49" s="372"/>
      <c r="BE49" s="364">
        <f t="shared" si="7"/>
        <v>72</v>
      </c>
      <c r="BF49" s="371">
        <v>5</v>
      </c>
      <c r="BG49" s="372">
        <v>2</v>
      </c>
      <c r="BH49" s="372"/>
      <c r="BI49" s="372"/>
      <c r="BJ49" s="372"/>
      <c r="BK49" s="372"/>
      <c r="BL49" s="364">
        <f t="shared" si="8"/>
        <v>7</v>
      </c>
      <c r="BM49" s="371">
        <v>28</v>
      </c>
      <c r="BN49" s="372">
        <v>13</v>
      </c>
      <c r="BO49" s="372"/>
      <c r="BP49" s="372"/>
      <c r="BQ49" s="372"/>
      <c r="BR49" s="372"/>
      <c r="BS49" s="364">
        <f t="shared" si="9"/>
        <v>41</v>
      </c>
      <c r="BT49" s="371">
        <v>68</v>
      </c>
      <c r="BU49" s="372">
        <v>11</v>
      </c>
      <c r="BV49" s="372"/>
      <c r="BW49" s="372"/>
      <c r="BX49" s="372"/>
      <c r="BY49" s="372"/>
      <c r="BZ49" s="364">
        <f t="shared" si="10"/>
        <v>79</v>
      </c>
      <c r="CA49" s="371"/>
      <c r="CB49" s="372"/>
      <c r="CC49" s="372"/>
      <c r="CD49" s="372"/>
      <c r="CE49" s="372"/>
      <c r="CF49" s="372"/>
      <c r="CG49" s="364">
        <f t="shared" si="11"/>
        <v>0</v>
      </c>
      <c r="CH49" s="371">
        <v>70</v>
      </c>
      <c r="CI49" s="372">
        <v>6</v>
      </c>
      <c r="CJ49" s="372"/>
      <c r="CK49" s="372"/>
      <c r="CL49" s="372"/>
      <c r="CM49" s="372"/>
      <c r="CN49" s="364">
        <f t="shared" si="12"/>
        <v>76</v>
      </c>
      <c r="CO49" s="371">
        <v>153</v>
      </c>
      <c r="CP49" s="372">
        <v>41</v>
      </c>
      <c r="CQ49" s="372"/>
      <c r="CR49" s="372"/>
      <c r="CS49" s="372"/>
      <c r="CT49" s="372"/>
      <c r="CU49" s="364">
        <f t="shared" si="13"/>
        <v>194</v>
      </c>
      <c r="CV49" s="371"/>
      <c r="CW49" s="372"/>
      <c r="CX49" s="372"/>
      <c r="CY49" s="372"/>
      <c r="CZ49" s="372"/>
      <c r="DA49" s="372"/>
      <c r="DB49" s="364">
        <f t="shared" si="14"/>
        <v>0</v>
      </c>
      <c r="DC49" s="371"/>
      <c r="DD49" s="372"/>
      <c r="DE49" s="372"/>
      <c r="DF49" s="372"/>
      <c r="DG49" s="372"/>
      <c r="DH49" s="372"/>
      <c r="DI49" s="364">
        <f t="shared" si="15"/>
        <v>0</v>
      </c>
      <c r="DJ49" s="373"/>
      <c r="DK49" s="374"/>
      <c r="DL49" s="374"/>
      <c r="DM49" s="374"/>
      <c r="DN49" s="374"/>
      <c r="DO49" s="374"/>
      <c r="DP49" s="381">
        <f t="shared" si="16"/>
        <v>0</v>
      </c>
      <c r="DQ49" s="373"/>
      <c r="DR49" s="374"/>
      <c r="DS49" s="374"/>
      <c r="DT49" s="374"/>
      <c r="DU49" s="374"/>
      <c r="DV49" s="374"/>
      <c r="DW49" s="367">
        <f t="shared" si="17"/>
        <v>0</v>
      </c>
      <c r="DX49" s="373"/>
      <c r="DY49" s="374"/>
      <c r="DZ49" s="374"/>
      <c r="EA49" s="374"/>
      <c r="EB49" s="374"/>
      <c r="EC49" s="374"/>
      <c r="ED49" s="367">
        <f t="shared" si="18"/>
        <v>0</v>
      </c>
      <c r="EE49" s="375"/>
      <c r="EF49" s="375"/>
      <c r="EG49" s="375"/>
      <c r="EH49" s="375"/>
      <c r="EI49" s="375"/>
      <c r="EJ49" s="375"/>
      <c r="EK49" s="375"/>
      <c r="EL49" s="373"/>
      <c r="EM49" s="374"/>
      <c r="EN49" s="374"/>
      <c r="EO49" s="374"/>
      <c r="EP49" s="374"/>
      <c r="EQ49" s="374"/>
      <c r="ER49" s="367">
        <f t="shared" si="19"/>
        <v>0</v>
      </c>
      <c r="ES49" s="373"/>
      <c r="ET49" s="374"/>
      <c r="EU49" s="374"/>
      <c r="EV49" s="374"/>
      <c r="EW49" s="374"/>
      <c r="EX49" s="374"/>
      <c r="EY49" s="367">
        <f t="shared" si="20"/>
        <v>0</v>
      </c>
      <c r="EZ49" s="373"/>
      <c r="FA49" s="374"/>
      <c r="FB49" s="374"/>
      <c r="FC49" s="374"/>
      <c r="FD49" s="374"/>
      <c r="FE49" s="374"/>
      <c r="FF49" s="367">
        <f t="shared" si="21"/>
        <v>0</v>
      </c>
      <c r="FG49" s="375"/>
      <c r="FH49" s="375"/>
      <c r="FI49" s="375"/>
      <c r="FJ49" s="375"/>
      <c r="FK49" s="375"/>
      <c r="FL49" s="375"/>
      <c r="FM49" s="375"/>
      <c r="FN49" s="373"/>
      <c r="FO49" s="374"/>
      <c r="FP49" s="374"/>
      <c r="FQ49" s="374"/>
      <c r="FR49" s="374"/>
      <c r="FS49" s="374"/>
      <c r="FT49" s="367">
        <f t="shared" si="22"/>
        <v>0</v>
      </c>
      <c r="FU49" s="373"/>
      <c r="FV49" s="374"/>
      <c r="FW49" s="374"/>
      <c r="FX49" s="374"/>
      <c r="FY49" s="374"/>
      <c r="FZ49" s="374"/>
      <c r="GA49" s="367">
        <f t="shared" si="23"/>
        <v>0</v>
      </c>
      <c r="GB49" s="373"/>
      <c r="GC49" s="374"/>
      <c r="GD49" s="374"/>
      <c r="GE49" s="374"/>
      <c r="GF49" s="374"/>
      <c r="GG49" s="374"/>
      <c r="GH49" s="367">
        <f t="shared" si="24"/>
        <v>0</v>
      </c>
      <c r="GI49" s="375"/>
      <c r="GJ49" s="375"/>
      <c r="GK49" s="375"/>
      <c r="GL49" s="375"/>
      <c r="GM49" s="375"/>
      <c r="GN49" s="375"/>
      <c r="GO49" s="375"/>
      <c r="GP49" s="373"/>
      <c r="GQ49" s="374"/>
      <c r="GR49" s="374"/>
      <c r="GS49" s="374"/>
      <c r="GT49" s="374"/>
      <c r="GU49" s="374"/>
      <c r="GV49" s="367">
        <f t="shared" si="25"/>
        <v>0</v>
      </c>
      <c r="GW49" s="373"/>
      <c r="GX49" s="374"/>
      <c r="GY49" s="374"/>
      <c r="GZ49" s="374"/>
      <c r="HA49" s="374"/>
      <c r="HB49" s="374"/>
      <c r="HC49" s="367">
        <f t="shared" si="26"/>
        <v>0</v>
      </c>
      <c r="HD49" s="373"/>
      <c r="HE49" s="374"/>
      <c r="HF49" s="374"/>
      <c r="HG49" s="374"/>
      <c r="HH49" s="374"/>
      <c r="HI49" s="374"/>
      <c r="HJ49" s="367">
        <f t="shared" si="27"/>
        <v>0</v>
      </c>
    </row>
    <row r="50" spans="1:218" s="369" customFormat="1" ht="21.75" customHeight="1" x14ac:dyDescent="0.6">
      <c r="A50" s="376" t="s">
        <v>105</v>
      </c>
      <c r="B50" s="377">
        <v>35</v>
      </c>
      <c r="C50" s="378">
        <v>4</v>
      </c>
      <c r="D50" s="378"/>
      <c r="E50" s="378"/>
      <c r="F50" s="378">
        <v>1</v>
      </c>
      <c r="G50" s="378"/>
      <c r="H50" s="382">
        <f t="shared" si="0"/>
        <v>40</v>
      </c>
      <c r="I50" s="377">
        <v>22</v>
      </c>
      <c r="J50" s="378">
        <v>12</v>
      </c>
      <c r="K50" s="378"/>
      <c r="L50" s="378"/>
      <c r="M50" s="378"/>
      <c r="N50" s="378"/>
      <c r="O50" s="383">
        <f t="shared" si="1"/>
        <v>34</v>
      </c>
      <c r="P50" s="377">
        <v>13</v>
      </c>
      <c r="Q50" s="378">
        <v>6</v>
      </c>
      <c r="R50" s="378"/>
      <c r="S50" s="378"/>
      <c r="T50" s="378"/>
      <c r="U50" s="378"/>
      <c r="V50" s="383">
        <f t="shared" si="2"/>
        <v>19</v>
      </c>
      <c r="W50" s="377"/>
      <c r="X50" s="378"/>
      <c r="Y50" s="378"/>
      <c r="Z50" s="378"/>
      <c r="AA50" s="378"/>
      <c r="AB50" s="378"/>
      <c r="AC50" s="383">
        <f t="shared" si="3"/>
        <v>0</v>
      </c>
      <c r="AD50" s="377">
        <v>43</v>
      </c>
      <c r="AE50" s="378">
        <v>18</v>
      </c>
      <c r="AF50" s="378"/>
      <c r="AG50" s="378"/>
      <c r="AH50" s="378"/>
      <c r="AI50" s="378"/>
      <c r="AJ50" s="383">
        <f t="shared" si="4"/>
        <v>61</v>
      </c>
      <c r="AK50" s="377">
        <v>135</v>
      </c>
      <c r="AL50" s="378">
        <v>30</v>
      </c>
      <c r="AM50" s="378"/>
      <c r="AN50" s="378"/>
      <c r="AO50" s="378">
        <v>1</v>
      </c>
      <c r="AP50" s="378"/>
      <c r="AQ50" s="383">
        <f t="shared" si="5"/>
        <v>166</v>
      </c>
      <c r="AR50" s="377">
        <v>42</v>
      </c>
      <c r="AS50" s="378">
        <v>5</v>
      </c>
      <c r="AT50" s="378"/>
      <c r="AU50" s="378"/>
      <c r="AV50" s="378"/>
      <c r="AW50" s="378"/>
      <c r="AX50" s="383">
        <f t="shared" si="6"/>
        <v>47</v>
      </c>
      <c r="AY50" s="377">
        <v>37</v>
      </c>
      <c r="AZ50" s="378">
        <v>21</v>
      </c>
      <c r="BA50" s="378"/>
      <c r="BB50" s="378"/>
      <c r="BC50" s="378"/>
      <c r="BD50" s="378"/>
      <c r="BE50" s="383">
        <f t="shared" si="7"/>
        <v>58</v>
      </c>
      <c r="BF50" s="377">
        <v>3</v>
      </c>
      <c r="BG50" s="378"/>
      <c r="BH50" s="378"/>
      <c r="BI50" s="378"/>
      <c r="BJ50" s="378"/>
      <c r="BK50" s="378"/>
      <c r="BL50" s="383">
        <f t="shared" si="8"/>
        <v>3</v>
      </c>
      <c r="BM50" s="377">
        <v>31</v>
      </c>
      <c r="BN50" s="378">
        <v>13</v>
      </c>
      <c r="BO50" s="378"/>
      <c r="BP50" s="378"/>
      <c r="BQ50" s="378"/>
      <c r="BR50" s="378"/>
      <c r="BS50" s="383">
        <f t="shared" si="9"/>
        <v>44</v>
      </c>
      <c r="BT50" s="377">
        <v>51</v>
      </c>
      <c r="BU50" s="378">
        <v>10</v>
      </c>
      <c r="BV50" s="378"/>
      <c r="BW50" s="378"/>
      <c r="BX50" s="378"/>
      <c r="BY50" s="378"/>
      <c r="BZ50" s="383">
        <f t="shared" si="10"/>
        <v>61</v>
      </c>
      <c r="CA50" s="377"/>
      <c r="CB50" s="378"/>
      <c r="CC50" s="378"/>
      <c r="CD50" s="378"/>
      <c r="CE50" s="378"/>
      <c r="CF50" s="378"/>
      <c r="CG50" s="383">
        <f t="shared" si="11"/>
        <v>0</v>
      </c>
      <c r="CH50" s="377">
        <v>62</v>
      </c>
      <c r="CI50" s="378">
        <v>5</v>
      </c>
      <c r="CJ50" s="378"/>
      <c r="CK50" s="378"/>
      <c r="CL50" s="378">
        <v>1</v>
      </c>
      <c r="CM50" s="378">
        <v>1</v>
      </c>
      <c r="CN50" s="383">
        <f t="shared" si="12"/>
        <v>69</v>
      </c>
      <c r="CO50" s="377">
        <v>156</v>
      </c>
      <c r="CP50" s="378">
        <v>38</v>
      </c>
      <c r="CQ50" s="378"/>
      <c r="CR50" s="378">
        <v>1</v>
      </c>
      <c r="CS50" s="378"/>
      <c r="CT50" s="378"/>
      <c r="CU50" s="383">
        <f t="shared" si="13"/>
        <v>195</v>
      </c>
      <c r="CV50" s="377"/>
      <c r="CW50" s="378"/>
      <c r="CX50" s="378"/>
      <c r="CY50" s="378"/>
      <c r="CZ50" s="378"/>
      <c r="DA50" s="378"/>
      <c r="DB50" s="383">
        <f t="shared" si="14"/>
        <v>0</v>
      </c>
      <c r="DC50" s="377"/>
      <c r="DD50" s="378"/>
      <c r="DE50" s="378"/>
      <c r="DF50" s="378"/>
      <c r="DG50" s="378"/>
      <c r="DH50" s="378"/>
      <c r="DI50" s="383">
        <f t="shared" si="15"/>
        <v>0</v>
      </c>
      <c r="DJ50" s="379"/>
      <c r="DK50" s="380"/>
      <c r="DL50" s="380"/>
      <c r="DM50" s="380"/>
      <c r="DN50" s="380"/>
      <c r="DO50" s="380"/>
      <c r="DP50" s="384">
        <f t="shared" si="16"/>
        <v>0</v>
      </c>
      <c r="DQ50" s="379"/>
      <c r="DR50" s="380"/>
      <c r="DS50" s="380"/>
      <c r="DT50" s="380"/>
      <c r="DU50" s="380"/>
      <c r="DV50" s="380"/>
      <c r="DW50" s="384">
        <f t="shared" si="17"/>
        <v>0</v>
      </c>
      <c r="DX50" s="379"/>
      <c r="DY50" s="380"/>
      <c r="DZ50" s="380"/>
      <c r="EA50" s="380"/>
      <c r="EB50" s="380"/>
      <c r="EC50" s="380"/>
      <c r="ED50" s="384">
        <f t="shared" si="18"/>
        <v>0</v>
      </c>
      <c r="EE50" s="385"/>
      <c r="EF50" s="385"/>
      <c r="EG50" s="385"/>
      <c r="EH50" s="385"/>
      <c r="EI50" s="385"/>
      <c r="EJ50" s="385"/>
      <c r="EK50" s="385"/>
      <c r="EL50" s="379"/>
      <c r="EM50" s="380"/>
      <c r="EN50" s="380"/>
      <c r="EO50" s="380"/>
      <c r="EP50" s="380"/>
      <c r="EQ50" s="380"/>
      <c r="ER50" s="384">
        <f t="shared" si="19"/>
        <v>0</v>
      </c>
      <c r="ES50" s="379"/>
      <c r="ET50" s="380"/>
      <c r="EU50" s="380"/>
      <c r="EV50" s="380"/>
      <c r="EW50" s="380"/>
      <c r="EX50" s="380"/>
      <c r="EY50" s="384">
        <f t="shared" si="20"/>
        <v>0</v>
      </c>
      <c r="EZ50" s="379"/>
      <c r="FA50" s="380"/>
      <c r="FB50" s="380"/>
      <c r="FC50" s="380"/>
      <c r="FD50" s="380"/>
      <c r="FE50" s="380"/>
      <c r="FF50" s="384">
        <f t="shared" si="21"/>
        <v>0</v>
      </c>
      <c r="FG50" s="385"/>
      <c r="FH50" s="385"/>
      <c r="FI50" s="385"/>
      <c r="FJ50" s="385"/>
      <c r="FK50" s="385"/>
      <c r="FL50" s="385"/>
      <c r="FM50" s="385"/>
      <c r="FN50" s="379"/>
      <c r="FO50" s="380"/>
      <c r="FP50" s="380"/>
      <c r="FQ50" s="380"/>
      <c r="FR50" s="380"/>
      <c r="FS50" s="380"/>
      <c r="FT50" s="384">
        <f t="shared" si="22"/>
        <v>0</v>
      </c>
      <c r="FU50" s="379"/>
      <c r="FV50" s="380"/>
      <c r="FW50" s="380"/>
      <c r="FX50" s="380"/>
      <c r="FY50" s="380"/>
      <c r="FZ50" s="380"/>
      <c r="GA50" s="384">
        <f t="shared" si="23"/>
        <v>0</v>
      </c>
      <c r="GB50" s="379"/>
      <c r="GC50" s="380"/>
      <c r="GD50" s="380"/>
      <c r="GE50" s="380"/>
      <c r="GF50" s="380"/>
      <c r="GG50" s="380"/>
      <c r="GH50" s="384">
        <f t="shared" si="24"/>
        <v>0</v>
      </c>
      <c r="GI50" s="385"/>
      <c r="GJ50" s="385"/>
      <c r="GK50" s="385"/>
      <c r="GL50" s="385"/>
      <c r="GM50" s="385"/>
      <c r="GN50" s="385"/>
      <c r="GO50" s="385"/>
      <c r="GP50" s="379"/>
      <c r="GQ50" s="380"/>
      <c r="GR50" s="380"/>
      <c r="GS50" s="380"/>
      <c r="GT50" s="380"/>
      <c r="GU50" s="380"/>
      <c r="GV50" s="384">
        <f t="shared" si="25"/>
        <v>0</v>
      </c>
      <c r="GW50" s="379"/>
      <c r="GX50" s="380"/>
      <c r="GY50" s="380"/>
      <c r="GZ50" s="380"/>
      <c r="HA50" s="380"/>
      <c r="HB50" s="380"/>
      <c r="HC50" s="384">
        <f t="shared" si="26"/>
        <v>0</v>
      </c>
      <c r="HD50" s="379"/>
      <c r="HE50" s="380"/>
      <c r="HF50" s="380"/>
      <c r="HG50" s="380"/>
      <c r="HH50" s="380"/>
      <c r="HI50" s="380"/>
      <c r="HJ50" s="384">
        <f t="shared" si="27"/>
        <v>0</v>
      </c>
    </row>
    <row r="51" spans="1:218" ht="21.75" customHeight="1" x14ac:dyDescent="0.55000000000000004">
      <c r="A51" s="6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</row>
    <row r="52" spans="1:218" ht="21.75" customHeight="1" x14ac:dyDescent="0.55000000000000004">
      <c r="A52" s="62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  <c r="CG52" s="53"/>
      <c r="CH52" s="53"/>
      <c r="CI52" s="53"/>
      <c r="CJ52" s="53"/>
      <c r="CK52" s="53"/>
      <c r="CL52" s="53"/>
      <c r="CM52" s="53"/>
      <c r="CN52" s="53"/>
      <c r="CO52" s="53"/>
      <c r="CP52" s="53"/>
      <c r="CQ52" s="53"/>
      <c r="CR52" s="53"/>
      <c r="CS52" s="53"/>
      <c r="CT52" s="53"/>
      <c r="CU52" s="53"/>
      <c r="CV52" s="53"/>
      <c r="CW52" s="53"/>
      <c r="CX52" s="53"/>
      <c r="CY52" s="53"/>
      <c r="CZ52" s="53"/>
      <c r="DA52" s="53"/>
      <c r="DB52" s="53"/>
      <c r="DC52" s="53"/>
      <c r="DD52" s="53"/>
      <c r="DE52" s="53"/>
      <c r="DF52" s="53"/>
      <c r="DG52" s="53"/>
      <c r="DH52" s="53"/>
      <c r="DI52" s="53"/>
      <c r="DJ52" s="53"/>
      <c r="DK52" s="53"/>
      <c r="DL52" s="53"/>
      <c r="DM52" s="53"/>
      <c r="DN52" s="53"/>
      <c r="DO52" s="53"/>
      <c r="DP52" s="53"/>
      <c r="DQ52" s="53"/>
      <c r="DR52" s="53"/>
      <c r="DS52" s="53"/>
      <c r="DT52" s="53"/>
      <c r="DU52" s="53"/>
      <c r="DV52" s="53"/>
      <c r="DW52" s="53"/>
      <c r="DX52" s="53"/>
      <c r="DY52" s="53"/>
      <c r="DZ52" s="53"/>
      <c r="EA52" s="53"/>
      <c r="EB52" s="53"/>
      <c r="EC52" s="53"/>
      <c r="ED52" s="53"/>
      <c r="EE52" s="53"/>
      <c r="EF52" s="53"/>
      <c r="EG52" s="53"/>
      <c r="EH52" s="53"/>
      <c r="EI52" s="53"/>
      <c r="EJ52" s="53"/>
      <c r="EK52" s="53"/>
      <c r="EL52" s="53"/>
      <c r="EM52" s="53"/>
      <c r="EN52" s="53"/>
      <c r="EO52" s="53"/>
      <c r="EP52" s="53"/>
      <c r="EQ52" s="53"/>
      <c r="ER52" s="53"/>
      <c r="ES52" s="53"/>
      <c r="ET52" s="53"/>
      <c r="EU52" s="53"/>
      <c r="EV52" s="53"/>
      <c r="EW52" s="53"/>
      <c r="EX52" s="53"/>
      <c r="EY52" s="53"/>
      <c r="EZ52" s="53"/>
      <c r="FA52" s="53"/>
      <c r="FB52" s="53"/>
      <c r="FC52" s="53"/>
      <c r="FD52" s="53"/>
      <c r="FE52" s="53"/>
      <c r="FF52" s="53"/>
      <c r="FG52" s="53"/>
      <c r="FH52" s="53"/>
      <c r="FI52" s="53"/>
      <c r="FJ52" s="53"/>
      <c r="FK52" s="53"/>
      <c r="FL52" s="53"/>
      <c r="FM52" s="53"/>
      <c r="FN52" s="53"/>
      <c r="FO52" s="53"/>
      <c r="FP52" s="53"/>
      <c r="FQ52" s="53"/>
      <c r="FR52" s="53"/>
      <c r="FS52" s="53"/>
      <c r="FT52" s="53"/>
      <c r="FU52" s="53"/>
      <c r="FV52" s="53"/>
      <c r="FW52" s="53"/>
      <c r="FX52" s="53"/>
      <c r="FY52" s="53"/>
      <c r="FZ52" s="53"/>
      <c r="GA52" s="53"/>
      <c r="GB52" s="53"/>
      <c r="GC52" s="53"/>
      <c r="GD52" s="53"/>
      <c r="GE52" s="53"/>
      <c r="GF52" s="53"/>
      <c r="GG52" s="53"/>
      <c r="GH52" s="53"/>
      <c r="GI52" s="53"/>
      <c r="GJ52" s="53"/>
      <c r="GK52" s="53"/>
      <c r="GL52" s="53"/>
      <c r="GM52" s="53"/>
      <c r="GN52" s="53"/>
      <c r="GO52" s="53"/>
      <c r="GP52" s="53"/>
      <c r="GQ52" s="53"/>
      <c r="GR52" s="53"/>
      <c r="GS52" s="53"/>
      <c r="GT52" s="53"/>
      <c r="GU52" s="53"/>
      <c r="GV52" s="53"/>
      <c r="GW52" s="53"/>
      <c r="GX52" s="53"/>
      <c r="GY52" s="53"/>
      <c r="GZ52" s="53"/>
      <c r="HA52" s="53"/>
      <c r="HB52" s="53"/>
      <c r="HC52" s="53"/>
      <c r="HD52" s="53"/>
      <c r="HE52" s="53"/>
      <c r="HF52" s="53"/>
      <c r="HG52" s="53"/>
      <c r="HH52" s="53"/>
      <c r="HI52" s="53"/>
      <c r="HJ52" s="53"/>
    </row>
  </sheetData>
  <sheetProtection selectLockedCells="1"/>
  <pageMargins left="0.25" right="0" top="0.25" bottom="0" header="0" footer="0"/>
  <pageSetup paperSize="39" orientation="portrait" r:id="rId1"/>
  <headerFooter>
    <oddHeader>&amp;Rหน้า  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L59"/>
  <sheetViews>
    <sheetView zoomScale="98" zoomScaleNormal="98" workbookViewId="0">
      <pane xSplit="1" ySplit="1" topLeftCell="B46" activePane="bottomRight" state="frozen"/>
      <selection pane="topRight" activeCell="B1" sqref="B1"/>
      <selection pane="bottomLeft" activeCell="A2" sqref="A2"/>
      <selection pane="bottomRight" activeCell="L55" sqref="L55"/>
    </sheetView>
  </sheetViews>
  <sheetFormatPr defaultColWidth="14.42578125" defaultRowHeight="15" customHeight="1" x14ac:dyDescent="0.6"/>
  <cols>
    <col min="1" max="1" width="16" customWidth="1"/>
    <col min="2" max="36" width="4.85546875" customWidth="1"/>
    <col min="37" max="37" width="9" hidden="1" customWidth="1"/>
    <col min="38" max="38" width="6.42578125" customWidth="1"/>
  </cols>
  <sheetData>
    <row r="1" spans="1:38" ht="18.75" customHeight="1" x14ac:dyDescent="0.6">
      <c r="A1" s="1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  <c r="N1" s="2" t="s">
        <v>119</v>
      </c>
      <c r="O1" s="2" t="s">
        <v>120</v>
      </c>
      <c r="P1" s="2" t="s">
        <v>121</v>
      </c>
      <c r="Q1" s="2" t="s">
        <v>122</v>
      </c>
      <c r="R1" s="2" t="s">
        <v>123</v>
      </c>
      <c r="S1" s="2" t="s">
        <v>124</v>
      </c>
      <c r="T1" s="2" t="s">
        <v>125</v>
      </c>
      <c r="U1" s="2" t="s">
        <v>126</v>
      </c>
      <c r="V1" s="2" t="s">
        <v>127</v>
      </c>
      <c r="W1" s="2" t="s">
        <v>128</v>
      </c>
      <c r="X1" s="2" t="s">
        <v>129</v>
      </c>
      <c r="Y1" s="2" t="s">
        <v>130</v>
      </c>
      <c r="Z1" s="2" t="s">
        <v>131</v>
      </c>
      <c r="AA1" s="2" t="s">
        <v>132</v>
      </c>
      <c r="AB1" s="2" t="s">
        <v>133</v>
      </c>
      <c r="AC1" s="2" t="s">
        <v>134</v>
      </c>
      <c r="AD1" s="2" t="s">
        <v>135</v>
      </c>
      <c r="AE1" s="2" t="s">
        <v>136</v>
      </c>
      <c r="AF1" s="2" t="s">
        <v>137</v>
      </c>
      <c r="AG1" s="2" t="s">
        <v>138</v>
      </c>
      <c r="AH1" s="2" t="s">
        <v>139</v>
      </c>
      <c r="AI1" s="2" t="s">
        <v>140</v>
      </c>
      <c r="AJ1" s="2" t="s">
        <v>141</v>
      </c>
      <c r="AK1" s="3" t="s">
        <v>142</v>
      </c>
      <c r="AL1" s="4"/>
    </row>
    <row r="2" spans="1:38" ht="18.75" customHeight="1" x14ac:dyDescent="0.6">
      <c r="A2" s="5" t="s">
        <v>143</v>
      </c>
      <c r="B2" s="214">
        <v>50</v>
      </c>
      <c r="C2" s="214">
        <v>50</v>
      </c>
      <c r="D2" s="214">
        <v>50</v>
      </c>
      <c r="E2" s="214">
        <v>50</v>
      </c>
      <c r="F2" s="214">
        <v>50</v>
      </c>
      <c r="G2" s="214">
        <v>50</v>
      </c>
      <c r="H2" s="214">
        <v>50</v>
      </c>
      <c r="I2" s="214">
        <v>80</v>
      </c>
      <c r="J2" s="214">
        <v>80</v>
      </c>
      <c r="K2" s="214">
        <v>80</v>
      </c>
      <c r="L2" s="214">
        <v>80</v>
      </c>
      <c r="M2" s="214">
        <v>100</v>
      </c>
      <c r="N2" s="214">
        <v>100</v>
      </c>
      <c r="O2" s="214">
        <v>100</v>
      </c>
      <c r="P2" s="214">
        <v>100</v>
      </c>
      <c r="Q2" s="214">
        <v>100</v>
      </c>
      <c r="R2" s="214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4"/>
      <c r="AI2" s="214"/>
      <c r="AJ2" s="214"/>
      <c r="AK2" s="3">
        <f t="shared" ref="AK2:AK13" si="0">COUNTA(B2:AJ2)</f>
        <v>16</v>
      </c>
      <c r="AL2" s="4">
        <f t="shared" ref="AL2:AL13" si="1">SUM(B2:AJ2)/AK2</f>
        <v>73.125</v>
      </c>
    </row>
    <row r="3" spans="1:38" ht="18.75" customHeight="1" x14ac:dyDescent="0.6">
      <c r="A3" s="5" t="s">
        <v>144</v>
      </c>
      <c r="B3" s="214">
        <v>100</v>
      </c>
      <c r="C3" s="214">
        <v>80</v>
      </c>
      <c r="D3" s="214">
        <v>80</v>
      </c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  <c r="AD3" s="214"/>
      <c r="AE3" s="214"/>
      <c r="AF3" s="214"/>
      <c r="AG3" s="214"/>
      <c r="AH3" s="214"/>
      <c r="AI3" s="214"/>
      <c r="AJ3" s="214"/>
      <c r="AK3" s="3">
        <f t="shared" si="0"/>
        <v>3</v>
      </c>
      <c r="AL3" s="4">
        <f t="shared" si="1"/>
        <v>86.666666666666671</v>
      </c>
    </row>
    <row r="4" spans="1:38" ht="18.75" customHeight="1" x14ac:dyDescent="0.6">
      <c r="A4" s="5" t="s">
        <v>145</v>
      </c>
      <c r="B4" s="214">
        <v>80</v>
      </c>
      <c r="C4" s="214">
        <v>50</v>
      </c>
      <c r="D4" s="214">
        <v>50</v>
      </c>
      <c r="E4" s="214">
        <v>50</v>
      </c>
      <c r="F4" s="214">
        <v>50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3">
        <f t="shared" si="0"/>
        <v>5</v>
      </c>
      <c r="AL4" s="4">
        <f t="shared" si="1"/>
        <v>56</v>
      </c>
    </row>
    <row r="5" spans="1:38" ht="18.75" customHeight="1" x14ac:dyDescent="0.6">
      <c r="A5" s="5" t="s">
        <v>146</v>
      </c>
      <c r="B5" s="214">
        <v>50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4"/>
      <c r="X5" s="214"/>
      <c r="Y5" s="214"/>
      <c r="Z5" s="214"/>
      <c r="AA5" s="214"/>
      <c r="AB5" s="214"/>
      <c r="AC5" s="214"/>
      <c r="AD5" s="214"/>
      <c r="AE5" s="214"/>
      <c r="AF5" s="214"/>
      <c r="AG5" s="214"/>
      <c r="AH5" s="214"/>
      <c r="AI5" s="214"/>
      <c r="AJ5" s="214"/>
      <c r="AK5" s="3">
        <f t="shared" si="0"/>
        <v>1</v>
      </c>
      <c r="AL5" s="4">
        <f t="shared" si="1"/>
        <v>50</v>
      </c>
    </row>
    <row r="6" spans="1:38" ht="18.75" customHeight="1" x14ac:dyDescent="0.6">
      <c r="A6" s="5" t="s">
        <v>147</v>
      </c>
      <c r="B6" s="214">
        <v>80</v>
      </c>
      <c r="C6" s="214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4"/>
      <c r="V6" s="214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3">
        <f t="shared" si="0"/>
        <v>1</v>
      </c>
      <c r="AL6" s="4">
        <f t="shared" si="1"/>
        <v>80</v>
      </c>
    </row>
    <row r="7" spans="1:38" ht="18.75" customHeight="1" x14ac:dyDescent="0.6">
      <c r="A7" s="5" t="s">
        <v>148</v>
      </c>
      <c r="B7" s="214">
        <v>80</v>
      </c>
      <c r="C7" s="214">
        <v>80</v>
      </c>
      <c r="D7" s="214">
        <v>80</v>
      </c>
      <c r="E7" s="214">
        <v>100</v>
      </c>
      <c r="F7" s="214">
        <v>100</v>
      </c>
      <c r="G7" s="214">
        <v>100</v>
      </c>
      <c r="H7" s="214">
        <v>100</v>
      </c>
      <c r="I7" s="214">
        <v>80</v>
      </c>
      <c r="J7" s="214">
        <v>80</v>
      </c>
      <c r="K7" s="214">
        <v>80</v>
      </c>
      <c r="L7" s="214">
        <v>80</v>
      </c>
      <c r="M7" s="214">
        <v>80</v>
      </c>
      <c r="N7" s="214">
        <v>80</v>
      </c>
      <c r="O7" s="214">
        <v>80</v>
      </c>
      <c r="P7" s="214">
        <v>80</v>
      </c>
      <c r="Q7" s="214"/>
      <c r="R7" s="214"/>
      <c r="S7" s="214"/>
      <c r="T7" s="214"/>
      <c r="U7" s="214"/>
      <c r="V7" s="214"/>
      <c r="W7" s="214"/>
      <c r="X7" s="214"/>
      <c r="Y7" s="214"/>
      <c r="Z7" s="214"/>
      <c r="AA7" s="214"/>
      <c r="AB7" s="214"/>
      <c r="AC7" s="214"/>
      <c r="AD7" s="214"/>
      <c r="AE7" s="214"/>
      <c r="AF7" s="214"/>
      <c r="AG7" s="214"/>
      <c r="AH7" s="214"/>
      <c r="AI7" s="214"/>
      <c r="AJ7" s="214"/>
      <c r="AK7" s="3">
        <f t="shared" si="0"/>
        <v>15</v>
      </c>
      <c r="AL7" s="4">
        <f t="shared" si="1"/>
        <v>85.333333333333329</v>
      </c>
    </row>
    <row r="8" spans="1:38" ht="18.75" customHeight="1" x14ac:dyDescent="0.6">
      <c r="A8" s="5" t="s">
        <v>149</v>
      </c>
      <c r="B8" s="214">
        <v>80</v>
      </c>
      <c r="C8" s="214"/>
      <c r="D8" s="214"/>
      <c r="E8" s="214"/>
      <c r="F8" s="214"/>
      <c r="G8" s="214"/>
      <c r="H8" s="214"/>
      <c r="I8" s="214"/>
      <c r="J8" s="214"/>
      <c r="K8" s="214"/>
      <c r="L8" s="214"/>
      <c r="M8" s="214"/>
      <c r="N8" s="214"/>
      <c r="O8" s="214"/>
      <c r="P8" s="214"/>
      <c r="Q8" s="214"/>
      <c r="R8" s="214"/>
      <c r="S8" s="214"/>
      <c r="T8" s="214"/>
      <c r="U8" s="214"/>
      <c r="V8" s="214"/>
      <c r="W8" s="214"/>
      <c r="X8" s="214"/>
      <c r="Y8" s="214"/>
      <c r="Z8" s="214"/>
      <c r="AA8" s="214"/>
      <c r="AB8" s="214"/>
      <c r="AC8" s="214"/>
      <c r="AD8" s="214"/>
      <c r="AE8" s="214"/>
      <c r="AF8" s="214"/>
      <c r="AG8" s="214"/>
      <c r="AH8" s="214"/>
      <c r="AI8" s="214"/>
      <c r="AJ8" s="214"/>
      <c r="AK8" s="3">
        <f t="shared" si="0"/>
        <v>1</v>
      </c>
      <c r="AL8" s="4">
        <f t="shared" si="1"/>
        <v>80</v>
      </c>
    </row>
    <row r="9" spans="1:38" ht="18.75" customHeight="1" x14ac:dyDescent="0.6">
      <c r="A9" s="5" t="s">
        <v>150</v>
      </c>
      <c r="B9" s="214">
        <v>80</v>
      </c>
      <c r="C9" s="214">
        <v>80</v>
      </c>
      <c r="D9" s="214">
        <v>80</v>
      </c>
      <c r="E9" s="214">
        <v>80</v>
      </c>
      <c r="F9" s="214">
        <v>90</v>
      </c>
      <c r="G9" s="214">
        <v>90</v>
      </c>
      <c r="H9" s="214">
        <v>90</v>
      </c>
      <c r="I9" s="214">
        <v>90</v>
      </c>
      <c r="J9" s="214">
        <v>90</v>
      </c>
      <c r="K9" s="214">
        <v>90</v>
      </c>
      <c r="L9" s="214">
        <v>90</v>
      </c>
      <c r="M9" s="214">
        <v>100</v>
      </c>
      <c r="N9" s="214">
        <v>100</v>
      </c>
      <c r="O9" s="214"/>
      <c r="P9" s="214"/>
      <c r="Q9" s="214"/>
      <c r="R9" s="214"/>
      <c r="S9" s="214"/>
      <c r="T9" s="214"/>
      <c r="U9" s="214"/>
      <c r="V9" s="214"/>
      <c r="W9" s="214"/>
      <c r="X9" s="214"/>
      <c r="Y9" s="214"/>
      <c r="Z9" s="214"/>
      <c r="AA9" s="214"/>
      <c r="AB9" s="214"/>
      <c r="AC9" s="214"/>
      <c r="AD9" s="214"/>
      <c r="AE9" s="214"/>
      <c r="AF9" s="214"/>
      <c r="AG9" s="214"/>
      <c r="AH9" s="214"/>
      <c r="AI9" s="214"/>
      <c r="AJ9" s="214"/>
      <c r="AK9" s="3">
        <f t="shared" si="0"/>
        <v>13</v>
      </c>
      <c r="AL9" s="4">
        <f t="shared" si="1"/>
        <v>88.461538461538467</v>
      </c>
    </row>
    <row r="10" spans="1:38" ht="18.75" customHeight="1" x14ac:dyDescent="0.6">
      <c r="A10" s="5" t="s">
        <v>151</v>
      </c>
      <c r="B10" s="214">
        <v>100</v>
      </c>
      <c r="C10" s="214">
        <v>100</v>
      </c>
      <c r="D10" s="214">
        <v>100</v>
      </c>
      <c r="E10" s="214">
        <v>100</v>
      </c>
      <c r="F10" s="214">
        <v>100</v>
      </c>
      <c r="G10" s="214">
        <v>100</v>
      </c>
      <c r="H10" s="214">
        <v>100</v>
      </c>
      <c r="I10" s="214">
        <v>80</v>
      </c>
      <c r="J10" s="214"/>
      <c r="K10" s="214"/>
      <c r="L10" s="214"/>
      <c r="M10" s="214"/>
      <c r="N10" s="214"/>
      <c r="O10" s="214"/>
      <c r="P10" s="214"/>
      <c r="Q10" s="214"/>
      <c r="R10" s="214"/>
      <c r="S10" s="214"/>
      <c r="T10" s="214"/>
      <c r="U10" s="214"/>
      <c r="V10" s="214"/>
      <c r="W10" s="214"/>
      <c r="X10" s="214"/>
      <c r="Y10" s="214"/>
      <c r="Z10" s="214"/>
      <c r="AA10" s="214"/>
      <c r="AB10" s="214"/>
      <c r="AC10" s="214"/>
      <c r="AD10" s="214"/>
      <c r="AE10" s="214"/>
      <c r="AF10" s="214"/>
      <c r="AG10" s="214"/>
      <c r="AH10" s="214"/>
      <c r="AI10" s="214"/>
      <c r="AJ10" s="214"/>
      <c r="AK10" s="3">
        <f t="shared" si="0"/>
        <v>8</v>
      </c>
      <c r="AL10" s="4">
        <f t="shared" si="1"/>
        <v>97.5</v>
      </c>
    </row>
    <row r="11" spans="1:38" ht="18.75" customHeight="1" x14ac:dyDescent="0.6">
      <c r="A11" s="5" t="s">
        <v>152</v>
      </c>
      <c r="B11" s="214">
        <v>80</v>
      </c>
      <c r="C11" s="214">
        <v>110</v>
      </c>
      <c r="D11" s="214">
        <v>110</v>
      </c>
      <c r="E11" s="214">
        <v>100</v>
      </c>
      <c r="F11" s="214">
        <v>100</v>
      </c>
      <c r="G11" s="214">
        <v>100</v>
      </c>
      <c r="H11" s="214">
        <v>100</v>
      </c>
      <c r="I11" s="214"/>
      <c r="J11" s="214"/>
      <c r="K11" s="214"/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214"/>
      <c r="Y11" s="214"/>
      <c r="Z11" s="214"/>
      <c r="AA11" s="214"/>
      <c r="AB11" s="214"/>
      <c r="AC11" s="214"/>
      <c r="AD11" s="214"/>
      <c r="AE11" s="214"/>
      <c r="AF11" s="214"/>
      <c r="AG11" s="214"/>
      <c r="AH11" s="214"/>
      <c r="AI11" s="214"/>
      <c r="AJ11" s="214"/>
      <c r="AK11" s="3">
        <f t="shared" si="0"/>
        <v>7</v>
      </c>
      <c r="AL11" s="4">
        <f t="shared" si="1"/>
        <v>100</v>
      </c>
    </row>
    <row r="12" spans="1:38" ht="18.75" customHeight="1" x14ac:dyDescent="0.6">
      <c r="A12" s="5" t="s">
        <v>153</v>
      </c>
      <c r="B12" s="214">
        <v>100</v>
      </c>
      <c r="C12" s="214">
        <v>80</v>
      </c>
      <c r="D12" s="214">
        <v>80</v>
      </c>
      <c r="E12" s="214">
        <v>80</v>
      </c>
      <c r="F12" s="214">
        <v>80</v>
      </c>
      <c r="G12" s="214">
        <v>80</v>
      </c>
      <c r="H12" s="214">
        <v>80</v>
      </c>
      <c r="I12" s="214">
        <v>80</v>
      </c>
      <c r="J12" s="214">
        <v>80</v>
      </c>
      <c r="K12" s="214">
        <v>80</v>
      </c>
      <c r="L12" s="214">
        <v>80</v>
      </c>
      <c r="M12" s="214">
        <v>80</v>
      </c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3">
        <f t="shared" si="0"/>
        <v>12</v>
      </c>
      <c r="AL12" s="4">
        <f t="shared" si="1"/>
        <v>81.666666666666671</v>
      </c>
    </row>
    <row r="13" spans="1:38" ht="18.75" customHeight="1" x14ac:dyDescent="0.6">
      <c r="A13" s="5" t="s">
        <v>154</v>
      </c>
      <c r="B13" s="214">
        <v>80</v>
      </c>
      <c r="C13" s="214">
        <v>70</v>
      </c>
      <c r="D13" s="214">
        <v>70</v>
      </c>
      <c r="E13" s="214">
        <v>70</v>
      </c>
      <c r="F13" s="214">
        <v>70</v>
      </c>
      <c r="G13" s="214">
        <v>70</v>
      </c>
      <c r="H13" s="214">
        <v>70</v>
      </c>
      <c r="I13" s="214">
        <v>70</v>
      </c>
      <c r="J13" s="214">
        <v>70</v>
      </c>
      <c r="K13" s="214">
        <v>70</v>
      </c>
      <c r="L13" s="214"/>
      <c r="M13" s="214"/>
      <c r="N13" s="214"/>
      <c r="O13" s="214"/>
      <c r="P13" s="214"/>
      <c r="Q13" s="214"/>
      <c r="R13" s="214"/>
      <c r="S13" s="214"/>
      <c r="T13" s="214"/>
      <c r="U13" s="214"/>
      <c r="V13" s="214"/>
      <c r="W13" s="214"/>
      <c r="X13" s="214"/>
      <c r="Y13" s="214"/>
      <c r="Z13" s="214"/>
      <c r="AA13" s="214"/>
      <c r="AB13" s="214"/>
      <c r="AC13" s="214"/>
      <c r="AD13" s="214"/>
      <c r="AE13" s="214"/>
      <c r="AF13" s="214"/>
      <c r="AG13" s="214"/>
      <c r="AH13" s="214"/>
      <c r="AI13" s="214"/>
      <c r="AJ13" s="214"/>
      <c r="AK13" s="3">
        <f t="shared" si="0"/>
        <v>10</v>
      </c>
      <c r="AL13" s="4">
        <f t="shared" si="1"/>
        <v>71</v>
      </c>
    </row>
    <row r="14" spans="1:38" ht="18.75" customHeight="1" x14ac:dyDescent="0.6">
      <c r="A14" s="3"/>
      <c r="B14" s="214">
        <v>0</v>
      </c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3"/>
      <c r="AL14" s="4" t="s">
        <v>142</v>
      </c>
    </row>
    <row r="15" spans="1:38" ht="18.75" customHeight="1" x14ac:dyDescent="0.6">
      <c r="A15" s="1" t="s">
        <v>155</v>
      </c>
      <c r="B15" s="214">
        <v>0</v>
      </c>
      <c r="C15" s="215"/>
      <c r="D15" s="215"/>
      <c r="E15" s="215"/>
      <c r="F15" s="215"/>
      <c r="G15" s="215"/>
      <c r="H15" s="215"/>
      <c r="I15" s="215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3"/>
      <c r="AL15" s="4"/>
    </row>
    <row r="16" spans="1:38" ht="18.75" customHeight="1" x14ac:dyDescent="0.6">
      <c r="A16" s="6" t="s">
        <v>143</v>
      </c>
      <c r="B16" s="214">
        <v>80</v>
      </c>
      <c r="C16" s="214">
        <v>80</v>
      </c>
      <c r="D16" s="214">
        <v>80</v>
      </c>
      <c r="E16" s="214">
        <v>80</v>
      </c>
      <c r="F16" s="214">
        <v>80</v>
      </c>
      <c r="G16" s="214">
        <v>100</v>
      </c>
      <c r="H16" s="214">
        <v>100</v>
      </c>
      <c r="I16" s="214">
        <v>100</v>
      </c>
      <c r="J16" s="214">
        <v>100</v>
      </c>
      <c r="K16" s="214">
        <v>120</v>
      </c>
      <c r="L16" s="214">
        <v>120</v>
      </c>
      <c r="M16" s="214">
        <v>120</v>
      </c>
      <c r="N16" s="214">
        <v>150</v>
      </c>
      <c r="O16" s="214">
        <v>150</v>
      </c>
      <c r="P16" s="214">
        <v>180</v>
      </c>
      <c r="Q16" s="214">
        <v>180</v>
      </c>
      <c r="R16" s="214"/>
      <c r="S16" s="214"/>
      <c r="T16" s="214"/>
      <c r="U16" s="214"/>
      <c r="V16" s="214"/>
      <c r="W16" s="214"/>
      <c r="X16" s="214"/>
      <c r="Y16" s="214"/>
      <c r="Z16" s="214"/>
      <c r="AA16" s="214"/>
      <c r="AB16" s="214"/>
      <c r="AC16" s="214"/>
      <c r="AD16" s="214"/>
      <c r="AE16" s="214"/>
      <c r="AF16" s="214"/>
      <c r="AG16" s="214"/>
      <c r="AH16" s="214"/>
      <c r="AI16" s="214"/>
      <c r="AJ16" s="214"/>
      <c r="AK16" s="3">
        <f t="shared" ref="AK16:AK27" si="2">COUNTA(B16:AJ16)</f>
        <v>16</v>
      </c>
      <c r="AL16" s="4">
        <f t="shared" ref="AL16:AL27" si="3">SUM(B16:AJ16)/AK16</f>
        <v>113.75</v>
      </c>
    </row>
    <row r="17" spans="1:38" ht="18.75" customHeight="1" x14ac:dyDescent="0.6">
      <c r="A17" s="6" t="s">
        <v>144</v>
      </c>
      <c r="B17" s="214">
        <v>200</v>
      </c>
      <c r="C17" s="214"/>
      <c r="D17" s="214"/>
      <c r="E17" s="214"/>
      <c r="F17" s="214"/>
      <c r="G17" s="214"/>
      <c r="H17" s="214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4"/>
      <c r="X17" s="214"/>
      <c r="Y17" s="214"/>
      <c r="Z17" s="214"/>
      <c r="AA17" s="214"/>
      <c r="AB17" s="214"/>
      <c r="AC17" s="214"/>
      <c r="AD17" s="214"/>
      <c r="AE17" s="214"/>
      <c r="AF17" s="214"/>
      <c r="AG17" s="214"/>
      <c r="AH17" s="214"/>
      <c r="AI17" s="214"/>
      <c r="AJ17" s="214"/>
      <c r="AK17" s="3">
        <f t="shared" si="2"/>
        <v>1</v>
      </c>
      <c r="AL17" s="4">
        <f t="shared" si="3"/>
        <v>200</v>
      </c>
    </row>
    <row r="18" spans="1:38" ht="18.75" customHeight="1" x14ac:dyDescent="0.6">
      <c r="A18" s="6" t="s">
        <v>145</v>
      </c>
      <c r="B18" s="214">
        <v>180</v>
      </c>
      <c r="C18" s="214">
        <v>150</v>
      </c>
      <c r="D18" s="214">
        <v>150</v>
      </c>
      <c r="E18" s="214">
        <v>120</v>
      </c>
      <c r="F18" s="214">
        <v>120</v>
      </c>
      <c r="G18" s="214"/>
      <c r="H18" s="214"/>
      <c r="I18" s="214"/>
      <c r="J18" s="214"/>
      <c r="K18" s="214"/>
      <c r="L18" s="214"/>
      <c r="M18" s="214"/>
      <c r="N18" s="214"/>
      <c r="O18" s="214"/>
      <c r="P18" s="214"/>
      <c r="Q18" s="214"/>
      <c r="R18" s="214"/>
      <c r="S18" s="214"/>
      <c r="T18" s="214"/>
      <c r="U18" s="214"/>
      <c r="V18" s="214"/>
      <c r="W18" s="214"/>
      <c r="X18" s="214"/>
      <c r="Y18" s="214"/>
      <c r="Z18" s="214"/>
      <c r="AA18" s="214"/>
      <c r="AB18" s="214"/>
      <c r="AC18" s="214"/>
      <c r="AD18" s="214"/>
      <c r="AE18" s="214"/>
      <c r="AF18" s="214"/>
      <c r="AG18" s="214"/>
      <c r="AH18" s="214"/>
      <c r="AI18" s="214"/>
      <c r="AJ18" s="214"/>
      <c r="AK18" s="3">
        <f t="shared" si="2"/>
        <v>5</v>
      </c>
      <c r="AL18" s="4">
        <f t="shared" si="3"/>
        <v>144</v>
      </c>
    </row>
    <row r="19" spans="1:38" ht="18.75" customHeight="1" x14ac:dyDescent="0.6">
      <c r="A19" s="6" t="s">
        <v>146</v>
      </c>
      <c r="B19" s="214">
        <v>120</v>
      </c>
      <c r="C19" s="214">
        <v>100</v>
      </c>
      <c r="D19" s="214">
        <v>100</v>
      </c>
      <c r="E19" s="214">
        <v>100</v>
      </c>
      <c r="F19" s="214"/>
      <c r="G19" s="214"/>
      <c r="H19" s="214"/>
      <c r="I19" s="214"/>
      <c r="J19" s="214"/>
      <c r="K19" s="214"/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214"/>
      <c r="Y19" s="214"/>
      <c r="Z19" s="214"/>
      <c r="AA19" s="214"/>
      <c r="AB19" s="214"/>
      <c r="AC19" s="214"/>
      <c r="AD19" s="214"/>
      <c r="AE19" s="214"/>
      <c r="AF19" s="214"/>
      <c r="AG19" s="214"/>
      <c r="AH19" s="214"/>
      <c r="AI19" s="214"/>
      <c r="AJ19" s="214"/>
      <c r="AK19" s="3">
        <f t="shared" si="2"/>
        <v>4</v>
      </c>
      <c r="AL19" s="4">
        <f t="shared" si="3"/>
        <v>105</v>
      </c>
    </row>
    <row r="20" spans="1:38" ht="18.75" customHeight="1" x14ac:dyDescent="0.6">
      <c r="A20" s="6" t="s">
        <v>147</v>
      </c>
      <c r="B20" s="214">
        <v>100</v>
      </c>
      <c r="C20" s="214">
        <v>100</v>
      </c>
      <c r="D20" s="214">
        <v>120</v>
      </c>
      <c r="E20" s="214">
        <v>120</v>
      </c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3">
        <f t="shared" si="2"/>
        <v>4</v>
      </c>
      <c r="AL20" s="4">
        <f t="shared" si="3"/>
        <v>110</v>
      </c>
    </row>
    <row r="21" spans="1:38" ht="18.75" customHeight="1" x14ac:dyDescent="0.6">
      <c r="A21" s="6" t="s">
        <v>148</v>
      </c>
      <c r="B21" s="214">
        <v>120</v>
      </c>
      <c r="C21" s="214">
        <v>150</v>
      </c>
      <c r="D21" s="214">
        <v>150</v>
      </c>
      <c r="E21" s="214">
        <v>150</v>
      </c>
      <c r="F21" s="214">
        <v>150</v>
      </c>
      <c r="G21" s="214">
        <v>150</v>
      </c>
      <c r="H21" s="214">
        <v>120</v>
      </c>
      <c r="I21" s="214">
        <v>120</v>
      </c>
      <c r="J21" s="214">
        <v>120</v>
      </c>
      <c r="K21" s="214">
        <v>120</v>
      </c>
      <c r="L21" s="214">
        <v>120</v>
      </c>
      <c r="M21" s="214">
        <v>120</v>
      </c>
      <c r="N21" s="214">
        <v>120</v>
      </c>
      <c r="O21" s="214">
        <v>120</v>
      </c>
      <c r="P21" s="214">
        <v>120</v>
      </c>
      <c r="Q21" s="214"/>
      <c r="R21" s="214"/>
      <c r="S21" s="214"/>
      <c r="T21" s="214"/>
      <c r="U21" s="214"/>
      <c r="V21" s="214"/>
      <c r="W21" s="214"/>
      <c r="X21" s="214"/>
      <c r="Y21" s="214"/>
      <c r="Z21" s="214"/>
      <c r="AA21" s="214"/>
      <c r="AB21" s="214"/>
      <c r="AC21" s="214"/>
      <c r="AD21" s="214"/>
      <c r="AE21" s="214"/>
      <c r="AF21" s="214"/>
      <c r="AG21" s="214"/>
      <c r="AH21" s="214"/>
      <c r="AI21" s="214"/>
      <c r="AJ21" s="214"/>
      <c r="AK21" s="3">
        <f t="shared" si="2"/>
        <v>15</v>
      </c>
      <c r="AL21" s="4">
        <f t="shared" si="3"/>
        <v>130</v>
      </c>
    </row>
    <row r="22" spans="1:38" ht="18.75" customHeight="1" x14ac:dyDescent="0.6">
      <c r="A22" s="6" t="s">
        <v>149</v>
      </c>
      <c r="B22" s="214">
        <v>120</v>
      </c>
      <c r="C22" s="214"/>
      <c r="D22" s="214"/>
      <c r="E22" s="214"/>
      <c r="F22" s="214"/>
      <c r="G22" s="214"/>
      <c r="H22" s="214"/>
      <c r="I22" s="214"/>
      <c r="J22" s="214"/>
      <c r="K22" s="214"/>
      <c r="L22" s="214"/>
      <c r="M22" s="214"/>
      <c r="N22" s="214"/>
      <c r="O22" s="214"/>
      <c r="P22" s="214"/>
      <c r="Q22" s="214"/>
      <c r="R22" s="214"/>
      <c r="S22" s="214"/>
      <c r="T22" s="214"/>
      <c r="U22" s="214"/>
      <c r="V22" s="214"/>
      <c r="W22" s="214"/>
      <c r="X22" s="214"/>
      <c r="Y22" s="214"/>
      <c r="Z22" s="214"/>
      <c r="AA22" s="214"/>
      <c r="AB22" s="214"/>
      <c r="AC22" s="214"/>
      <c r="AD22" s="214"/>
      <c r="AE22" s="214"/>
      <c r="AF22" s="214"/>
      <c r="AG22" s="214"/>
      <c r="AH22" s="214"/>
      <c r="AI22" s="214"/>
      <c r="AJ22" s="214"/>
      <c r="AK22" s="3">
        <f t="shared" si="2"/>
        <v>1</v>
      </c>
      <c r="AL22" s="4">
        <f t="shared" si="3"/>
        <v>120</v>
      </c>
    </row>
    <row r="23" spans="1:38" ht="18.75" customHeight="1" x14ac:dyDescent="0.6">
      <c r="A23" s="6" t="s">
        <v>150</v>
      </c>
      <c r="B23" s="214">
        <v>120</v>
      </c>
      <c r="C23" s="214">
        <v>120</v>
      </c>
      <c r="D23" s="214">
        <v>120</v>
      </c>
      <c r="E23" s="214">
        <v>120</v>
      </c>
      <c r="F23" s="214">
        <v>120</v>
      </c>
      <c r="G23" s="214">
        <v>120</v>
      </c>
      <c r="H23" s="214">
        <v>120</v>
      </c>
      <c r="I23" s="214">
        <v>120</v>
      </c>
      <c r="J23" s="214">
        <v>120</v>
      </c>
      <c r="K23" s="214">
        <v>120</v>
      </c>
      <c r="L23" s="214">
        <v>120</v>
      </c>
      <c r="M23" s="214">
        <v>120</v>
      </c>
      <c r="N23" s="214">
        <v>150</v>
      </c>
      <c r="O23" s="214"/>
      <c r="P23" s="214"/>
      <c r="Q23" s="214"/>
      <c r="R23" s="214"/>
      <c r="S23" s="214"/>
      <c r="T23" s="214"/>
      <c r="U23" s="214"/>
      <c r="V23" s="214"/>
      <c r="W23" s="214"/>
      <c r="X23" s="214"/>
      <c r="Y23" s="214"/>
      <c r="Z23" s="214"/>
      <c r="AA23" s="214"/>
      <c r="AB23" s="214"/>
      <c r="AC23" s="214"/>
      <c r="AD23" s="214"/>
      <c r="AE23" s="214"/>
      <c r="AF23" s="214"/>
      <c r="AG23" s="214"/>
      <c r="AH23" s="214"/>
      <c r="AI23" s="214"/>
      <c r="AJ23" s="214"/>
      <c r="AK23" s="3">
        <f t="shared" si="2"/>
        <v>13</v>
      </c>
      <c r="AL23" s="4">
        <f t="shared" si="3"/>
        <v>122.30769230769231</v>
      </c>
    </row>
    <row r="24" spans="1:38" ht="18.75" customHeight="1" x14ac:dyDescent="0.6">
      <c r="A24" s="6" t="s">
        <v>151</v>
      </c>
      <c r="B24" s="214">
        <v>150</v>
      </c>
      <c r="C24" s="214">
        <v>150</v>
      </c>
      <c r="D24" s="214">
        <v>150</v>
      </c>
      <c r="E24" s="214">
        <v>150</v>
      </c>
      <c r="F24" s="214">
        <v>150</v>
      </c>
      <c r="G24" s="214">
        <v>100</v>
      </c>
      <c r="H24" s="214">
        <v>100</v>
      </c>
      <c r="I24" s="214">
        <v>120</v>
      </c>
      <c r="J24" s="214"/>
      <c r="K24" s="214"/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4"/>
      <c r="AK24" s="3">
        <f t="shared" si="2"/>
        <v>8</v>
      </c>
      <c r="AL24" s="4">
        <f t="shared" si="3"/>
        <v>133.75</v>
      </c>
    </row>
    <row r="25" spans="1:38" ht="18.75" customHeight="1" x14ac:dyDescent="0.6">
      <c r="A25" s="6" t="s">
        <v>152</v>
      </c>
      <c r="B25" s="214">
        <v>120</v>
      </c>
      <c r="C25" s="214">
        <v>150</v>
      </c>
      <c r="D25" s="214">
        <v>150</v>
      </c>
      <c r="E25" s="214">
        <v>150</v>
      </c>
      <c r="F25" s="214">
        <v>150</v>
      </c>
      <c r="G25" s="214">
        <v>150</v>
      </c>
      <c r="H25" s="214">
        <v>150</v>
      </c>
      <c r="I25" s="214"/>
      <c r="J25" s="214"/>
      <c r="K25" s="214"/>
      <c r="L25" s="214"/>
      <c r="M25" s="214"/>
      <c r="N25" s="214"/>
      <c r="O25" s="214"/>
      <c r="P25" s="214"/>
      <c r="Q25" s="214"/>
      <c r="R25" s="214"/>
      <c r="S25" s="214"/>
      <c r="T25" s="214"/>
      <c r="U25" s="214"/>
      <c r="V25" s="214"/>
      <c r="W25" s="214"/>
      <c r="X25" s="214"/>
      <c r="Y25" s="214"/>
      <c r="Z25" s="214"/>
      <c r="AA25" s="214"/>
      <c r="AB25" s="214"/>
      <c r="AC25" s="214"/>
      <c r="AD25" s="214"/>
      <c r="AE25" s="214"/>
      <c r="AF25" s="214"/>
      <c r="AG25" s="214"/>
      <c r="AH25" s="214"/>
      <c r="AI25" s="214"/>
      <c r="AJ25" s="214"/>
      <c r="AK25" s="3">
        <f t="shared" si="2"/>
        <v>7</v>
      </c>
      <c r="AL25" s="4">
        <f t="shared" si="3"/>
        <v>145.71428571428572</v>
      </c>
    </row>
    <row r="26" spans="1:38" ht="18.75" customHeight="1" x14ac:dyDescent="0.6">
      <c r="A26" s="6" t="s">
        <v>153</v>
      </c>
      <c r="B26" s="214">
        <v>150</v>
      </c>
      <c r="C26" s="214"/>
      <c r="D26" s="214"/>
      <c r="E26" s="214"/>
      <c r="F26" s="214"/>
      <c r="G26" s="214"/>
      <c r="H26" s="214"/>
      <c r="I26" s="214"/>
      <c r="J26" s="214"/>
      <c r="K26" s="214"/>
      <c r="L26" s="214"/>
      <c r="M26" s="214"/>
      <c r="N26" s="214"/>
      <c r="O26" s="214"/>
      <c r="P26" s="214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3">
        <f t="shared" si="2"/>
        <v>1</v>
      </c>
      <c r="AL26" s="4">
        <f t="shared" si="3"/>
        <v>150</v>
      </c>
    </row>
    <row r="27" spans="1:38" ht="18.75" customHeight="1" x14ac:dyDescent="0.6">
      <c r="A27" s="6" t="s">
        <v>154</v>
      </c>
      <c r="B27" s="214">
        <v>150</v>
      </c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214"/>
      <c r="Y27" s="214"/>
      <c r="Z27" s="214"/>
      <c r="AA27" s="214"/>
      <c r="AB27" s="214"/>
      <c r="AC27" s="214"/>
      <c r="AD27" s="214"/>
      <c r="AE27" s="214"/>
      <c r="AF27" s="214"/>
      <c r="AG27" s="214"/>
      <c r="AH27" s="214"/>
      <c r="AI27" s="214"/>
      <c r="AJ27" s="214"/>
      <c r="AK27" s="3">
        <f t="shared" si="2"/>
        <v>1</v>
      </c>
      <c r="AL27" s="4">
        <f t="shared" si="3"/>
        <v>150</v>
      </c>
    </row>
    <row r="28" spans="1:38" ht="18.75" customHeight="1" x14ac:dyDescent="0.6">
      <c r="A28" s="3"/>
      <c r="B28" s="214">
        <v>0</v>
      </c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3"/>
      <c r="AL28" s="4"/>
    </row>
    <row r="29" spans="1:38" ht="18.75" customHeight="1" x14ac:dyDescent="0.6">
      <c r="A29" s="1" t="s">
        <v>156</v>
      </c>
      <c r="B29" s="214">
        <v>0</v>
      </c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3"/>
      <c r="AL29" s="4"/>
    </row>
    <row r="30" spans="1:38" ht="18.75" customHeight="1" x14ac:dyDescent="0.6">
      <c r="A30" s="7" t="s">
        <v>143</v>
      </c>
      <c r="B30" s="214">
        <v>80</v>
      </c>
      <c r="C30" s="214">
        <v>80</v>
      </c>
      <c r="D30" s="214">
        <v>80</v>
      </c>
      <c r="E30" s="214">
        <v>80</v>
      </c>
      <c r="F30" s="214">
        <v>100</v>
      </c>
      <c r="G30" s="214">
        <v>100</v>
      </c>
      <c r="H30" s="214">
        <v>100</v>
      </c>
      <c r="I30" s="214">
        <v>100</v>
      </c>
      <c r="J30" s="214">
        <v>120</v>
      </c>
      <c r="K30" s="214">
        <v>120</v>
      </c>
      <c r="L30" s="214">
        <v>120</v>
      </c>
      <c r="M30" s="214">
        <v>120</v>
      </c>
      <c r="N30" s="214">
        <v>150</v>
      </c>
      <c r="O30" s="214">
        <v>150</v>
      </c>
      <c r="P30" s="214">
        <v>180</v>
      </c>
      <c r="Q30" s="214"/>
      <c r="R30" s="214"/>
      <c r="S30" s="214"/>
      <c r="T30" s="214"/>
      <c r="U30" s="214"/>
      <c r="V30" s="214"/>
      <c r="W30" s="214"/>
      <c r="X30" s="214"/>
      <c r="Y30" s="214"/>
      <c r="Z30" s="214"/>
      <c r="AA30" s="214"/>
      <c r="AB30" s="214"/>
      <c r="AC30" s="214"/>
      <c r="AD30" s="214"/>
      <c r="AE30" s="214"/>
      <c r="AF30" s="214"/>
      <c r="AG30" s="214"/>
      <c r="AH30" s="214"/>
      <c r="AI30" s="214"/>
      <c r="AJ30" s="214"/>
      <c r="AK30" s="3">
        <f t="shared" ref="AK30:AK41" si="4">COUNTA(B30:AJ30)</f>
        <v>15</v>
      </c>
      <c r="AL30" s="4">
        <f t="shared" ref="AL30:AL41" si="5">SUM(B30:AJ30)/AK30</f>
        <v>112</v>
      </c>
    </row>
    <row r="31" spans="1:38" ht="18.75" customHeight="1" x14ac:dyDescent="0.6">
      <c r="A31" s="7" t="s">
        <v>144</v>
      </c>
      <c r="B31" s="214">
        <v>180</v>
      </c>
      <c r="C31" s="214">
        <v>200</v>
      </c>
      <c r="D31" s="214">
        <v>200</v>
      </c>
      <c r="E31" s="214">
        <v>200</v>
      </c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214"/>
      <c r="Y31" s="214"/>
      <c r="Z31" s="214"/>
      <c r="AA31" s="214"/>
      <c r="AB31" s="214"/>
      <c r="AC31" s="214"/>
      <c r="AD31" s="214"/>
      <c r="AE31" s="214"/>
      <c r="AF31" s="214"/>
      <c r="AG31" s="214"/>
      <c r="AH31" s="214"/>
      <c r="AI31" s="214"/>
      <c r="AJ31" s="214"/>
      <c r="AK31" s="3">
        <f t="shared" si="4"/>
        <v>4</v>
      </c>
      <c r="AL31" s="4">
        <f t="shared" si="5"/>
        <v>195</v>
      </c>
    </row>
    <row r="32" spans="1:38" ht="18.75" customHeight="1" x14ac:dyDescent="0.6">
      <c r="A32" s="7" t="s">
        <v>145</v>
      </c>
      <c r="B32" s="214">
        <v>180</v>
      </c>
      <c r="C32" s="214">
        <v>150</v>
      </c>
      <c r="D32" s="214">
        <v>120</v>
      </c>
      <c r="E32" s="214">
        <v>100</v>
      </c>
      <c r="F32" s="214">
        <v>80</v>
      </c>
      <c r="G32" s="214"/>
      <c r="H32" s="214"/>
      <c r="I32" s="214"/>
      <c r="J32" s="214"/>
      <c r="K32" s="214"/>
      <c r="L32" s="214"/>
      <c r="M32" s="214"/>
      <c r="N32" s="214"/>
      <c r="O32" s="214"/>
      <c r="P32" s="214"/>
      <c r="Q32" s="214"/>
      <c r="R32" s="214"/>
      <c r="S32" s="214"/>
      <c r="T32" s="214"/>
      <c r="U32" s="214"/>
      <c r="V32" s="214"/>
      <c r="W32" s="214"/>
      <c r="X32" s="214"/>
      <c r="Y32" s="214"/>
      <c r="Z32" s="214"/>
      <c r="AA32" s="214"/>
      <c r="AB32" s="214"/>
      <c r="AC32" s="214"/>
      <c r="AD32" s="214"/>
      <c r="AE32" s="214"/>
      <c r="AF32" s="214"/>
      <c r="AG32" s="214"/>
      <c r="AH32" s="214"/>
      <c r="AI32" s="214"/>
      <c r="AJ32" s="214"/>
      <c r="AK32" s="3">
        <f t="shared" si="4"/>
        <v>5</v>
      </c>
      <c r="AL32" s="4">
        <f t="shared" si="5"/>
        <v>126</v>
      </c>
    </row>
    <row r="33" spans="1:38" ht="18.75" customHeight="1" x14ac:dyDescent="0.6">
      <c r="A33" s="7" t="s">
        <v>146</v>
      </c>
      <c r="B33" s="214">
        <v>80</v>
      </c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Y33" s="214"/>
      <c r="Z33" s="214"/>
      <c r="AA33" s="214"/>
      <c r="AB33" s="214"/>
      <c r="AC33" s="214"/>
      <c r="AD33" s="214"/>
      <c r="AE33" s="214"/>
      <c r="AF33" s="214"/>
      <c r="AG33" s="214"/>
      <c r="AH33" s="214"/>
      <c r="AI33" s="214"/>
      <c r="AJ33" s="214"/>
      <c r="AK33" s="3">
        <f t="shared" si="4"/>
        <v>1</v>
      </c>
      <c r="AL33" s="4">
        <f t="shared" si="5"/>
        <v>80</v>
      </c>
    </row>
    <row r="34" spans="1:38" ht="18.75" customHeight="1" x14ac:dyDescent="0.6">
      <c r="A34" s="7" t="s">
        <v>147</v>
      </c>
      <c r="B34" s="214">
        <v>80</v>
      </c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  <c r="Q34" s="214"/>
      <c r="R34" s="214"/>
      <c r="S34" s="214"/>
      <c r="T34" s="214"/>
      <c r="U34" s="214"/>
      <c r="V34" s="214"/>
      <c r="W34" s="214"/>
      <c r="X34" s="214"/>
      <c r="Y34" s="214"/>
      <c r="Z34" s="214"/>
      <c r="AA34" s="214"/>
      <c r="AB34" s="214"/>
      <c r="AC34" s="214"/>
      <c r="AD34" s="214"/>
      <c r="AE34" s="214"/>
      <c r="AF34" s="214"/>
      <c r="AG34" s="214"/>
      <c r="AH34" s="214"/>
      <c r="AI34" s="214"/>
      <c r="AJ34" s="214"/>
      <c r="AK34" s="3">
        <f t="shared" si="4"/>
        <v>1</v>
      </c>
      <c r="AL34" s="4">
        <f t="shared" si="5"/>
        <v>80</v>
      </c>
    </row>
    <row r="35" spans="1:38" ht="18.75" customHeight="1" x14ac:dyDescent="0.6">
      <c r="A35" s="7" t="s">
        <v>148</v>
      </c>
      <c r="B35" s="214">
        <v>80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214"/>
      <c r="Y35" s="214"/>
      <c r="Z35" s="214"/>
      <c r="AA35" s="214"/>
      <c r="AB35" s="214"/>
      <c r="AC35" s="214"/>
      <c r="AD35" s="214"/>
      <c r="AE35" s="214"/>
      <c r="AF35" s="214"/>
      <c r="AG35" s="214"/>
      <c r="AH35" s="214"/>
      <c r="AI35" s="214"/>
      <c r="AJ35" s="214"/>
      <c r="AK35" s="3">
        <f t="shared" si="4"/>
        <v>1</v>
      </c>
      <c r="AL35" s="4">
        <f t="shared" si="5"/>
        <v>80</v>
      </c>
    </row>
    <row r="36" spans="1:38" ht="18.75" customHeight="1" x14ac:dyDescent="0.6">
      <c r="A36" s="7" t="s">
        <v>149</v>
      </c>
      <c r="B36" s="214">
        <v>80</v>
      </c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  <c r="Q36" s="214"/>
      <c r="R36" s="214"/>
      <c r="S36" s="214"/>
      <c r="T36" s="214"/>
      <c r="U36" s="214"/>
      <c r="V36" s="214"/>
      <c r="W36" s="214"/>
      <c r="X36" s="214"/>
      <c r="Y36" s="214"/>
      <c r="Z36" s="214"/>
      <c r="AA36" s="214"/>
      <c r="AB36" s="214"/>
      <c r="AC36" s="214"/>
      <c r="AD36" s="214"/>
      <c r="AE36" s="214"/>
      <c r="AF36" s="214"/>
      <c r="AG36" s="214"/>
      <c r="AH36" s="214"/>
      <c r="AI36" s="214"/>
      <c r="AJ36" s="214"/>
      <c r="AK36" s="3">
        <f t="shared" si="4"/>
        <v>1</v>
      </c>
      <c r="AL36" s="4">
        <f t="shared" si="5"/>
        <v>80</v>
      </c>
    </row>
    <row r="37" spans="1:38" ht="18.75" customHeight="1" x14ac:dyDescent="0.6">
      <c r="A37" s="7" t="s">
        <v>150</v>
      </c>
      <c r="B37" s="214">
        <v>80</v>
      </c>
      <c r="C37" s="214">
        <v>80</v>
      </c>
      <c r="D37" s="214">
        <v>90</v>
      </c>
      <c r="E37" s="214">
        <v>100</v>
      </c>
      <c r="F37" s="214">
        <v>100</v>
      </c>
      <c r="G37" s="214">
        <v>100</v>
      </c>
      <c r="H37" s="214">
        <v>100</v>
      </c>
      <c r="I37" s="214">
        <v>100</v>
      </c>
      <c r="J37" s="214">
        <v>100</v>
      </c>
      <c r="K37" s="214">
        <v>100</v>
      </c>
      <c r="L37" s="214">
        <v>100</v>
      </c>
      <c r="M37" s="214">
        <v>100</v>
      </c>
      <c r="N37" s="214">
        <v>100</v>
      </c>
      <c r="O37" s="214">
        <v>100</v>
      </c>
      <c r="P37" s="214"/>
      <c r="Q37" s="214"/>
      <c r="R37" s="214"/>
      <c r="S37" s="214"/>
      <c r="T37" s="214"/>
      <c r="U37" s="214"/>
      <c r="V37" s="214"/>
      <c r="W37" s="214"/>
      <c r="X37" s="214"/>
      <c r="Y37" s="214"/>
      <c r="Z37" s="214"/>
      <c r="AA37" s="214"/>
      <c r="AB37" s="214"/>
      <c r="AC37" s="214"/>
      <c r="AD37" s="214"/>
      <c r="AE37" s="214"/>
      <c r="AF37" s="214"/>
      <c r="AG37" s="214"/>
      <c r="AH37" s="214"/>
      <c r="AI37" s="214"/>
      <c r="AJ37" s="214"/>
      <c r="AK37" s="3">
        <f t="shared" si="4"/>
        <v>14</v>
      </c>
      <c r="AL37" s="4">
        <f t="shared" si="5"/>
        <v>96.428571428571431</v>
      </c>
    </row>
    <row r="38" spans="1:38" ht="18.75" customHeight="1" x14ac:dyDescent="0.6">
      <c r="A38" s="7" t="s">
        <v>151</v>
      </c>
      <c r="B38" s="214">
        <v>100</v>
      </c>
      <c r="C38" s="214">
        <v>100</v>
      </c>
      <c r="D38" s="214">
        <v>100</v>
      </c>
      <c r="E38" s="214">
        <v>100</v>
      </c>
      <c r="F38" s="214">
        <v>100</v>
      </c>
      <c r="G38" s="214">
        <v>100</v>
      </c>
      <c r="H38" s="214">
        <v>100</v>
      </c>
      <c r="I38" s="214">
        <v>120</v>
      </c>
      <c r="J38" s="214"/>
      <c r="K38" s="214"/>
      <c r="L38" s="214"/>
      <c r="M38" s="214"/>
      <c r="N38" s="214"/>
      <c r="O38" s="214"/>
      <c r="P38" s="214"/>
      <c r="Q38" s="214"/>
      <c r="R38" s="214"/>
      <c r="S38" s="214"/>
      <c r="T38" s="214"/>
      <c r="U38" s="214"/>
      <c r="V38" s="214"/>
      <c r="W38" s="214"/>
      <c r="X38" s="214"/>
      <c r="Y38" s="214"/>
      <c r="Z38" s="214"/>
      <c r="AA38" s="214"/>
      <c r="AB38" s="214"/>
      <c r="AC38" s="214"/>
      <c r="AD38" s="214"/>
      <c r="AE38" s="214"/>
      <c r="AF38" s="214"/>
      <c r="AG38" s="214"/>
      <c r="AH38" s="214"/>
      <c r="AI38" s="214"/>
      <c r="AJ38" s="214"/>
      <c r="AK38" s="3">
        <f t="shared" si="4"/>
        <v>8</v>
      </c>
      <c r="AL38" s="4">
        <f t="shared" si="5"/>
        <v>102.5</v>
      </c>
    </row>
    <row r="39" spans="1:38" ht="18.75" customHeight="1" x14ac:dyDescent="0.6">
      <c r="A39" s="7" t="s">
        <v>152</v>
      </c>
      <c r="B39" s="214">
        <v>120</v>
      </c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214"/>
      <c r="Y39" s="214"/>
      <c r="Z39" s="214"/>
      <c r="AA39" s="214"/>
      <c r="AB39" s="214"/>
      <c r="AC39" s="214"/>
      <c r="AD39" s="214"/>
      <c r="AE39" s="214"/>
      <c r="AF39" s="214"/>
      <c r="AG39" s="214"/>
      <c r="AH39" s="214"/>
      <c r="AI39" s="214"/>
      <c r="AJ39" s="214"/>
      <c r="AK39" s="3">
        <f t="shared" si="4"/>
        <v>1</v>
      </c>
      <c r="AL39" s="4">
        <f t="shared" si="5"/>
        <v>120</v>
      </c>
    </row>
    <row r="40" spans="1:38" ht="18.75" customHeight="1" x14ac:dyDescent="0.6">
      <c r="A40" s="7" t="s">
        <v>153</v>
      </c>
      <c r="B40" s="214">
        <v>120</v>
      </c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  <c r="Q40" s="214"/>
      <c r="R40" s="214"/>
      <c r="S40" s="214"/>
      <c r="T40" s="214"/>
      <c r="U40" s="214"/>
      <c r="V40" s="214"/>
      <c r="W40" s="214"/>
      <c r="X40" s="214"/>
      <c r="Y40" s="214"/>
      <c r="Z40" s="214"/>
      <c r="AA40" s="214"/>
      <c r="AB40" s="214"/>
      <c r="AC40" s="214"/>
      <c r="AD40" s="214"/>
      <c r="AE40" s="214"/>
      <c r="AF40" s="214"/>
      <c r="AG40" s="214"/>
      <c r="AH40" s="214"/>
      <c r="AI40" s="214"/>
      <c r="AJ40" s="214"/>
      <c r="AK40" s="3">
        <f t="shared" si="4"/>
        <v>1</v>
      </c>
      <c r="AL40" s="4">
        <f t="shared" si="5"/>
        <v>120</v>
      </c>
    </row>
    <row r="41" spans="1:38" ht="18.75" customHeight="1" x14ac:dyDescent="0.6">
      <c r="A41" s="7" t="s">
        <v>154</v>
      </c>
      <c r="B41" s="214">
        <v>120</v>
      </c>
      <c r="C41" s="214">
        <v>100</v>
      </c>
      <c r="D41" s="214">
        <v>100</v>
      </c>
      <c r="E41" s="214">
        <v>100</v>
      </c>
      <c r="F41" s="214">
        <v>100</v>
      </c>
      <c r="G41" s="214">
        <v>100</v>
      </c>
      <c r="H41" s="214">
        <v>100</v>
      </c>
      <c r="I41" s="214">
        <v>100</v>
      </c>
      <c r="J41" s="214">
        <v>100</v>
      </c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3">
        <f t="shared" si="4"/>
        <v>9</v>
      </c>
      <c r="AL41" s="4">
        <f t="shared" si="5"/>
        <v>102.22222222222223</v>
      </c>
    </row>
    <row r="42" spans="1:38" ht="18.75" customHeight="1" x14ac:dyDescent="0.6">
      <c r="A42" s="3"/>
      <c r="B42" s="214">
        <v>0</v>
      </c>
      <c r="C42" s="215"/>
      <c r="D42" s="215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3"/>
      <c r="AL42" s="4"/>
    </row>
    <row r="43" spans="1:38" ht="18.75" customHeight="1" x14ac:dyDescent="0.6">
      <c r="A43" s="1" t="s">
        <v>157</v>
      </c>
      <c r="B43" s="214">
        <v>0</v>
      </c>
      <c r="C43" s="215"/>
      <c r="D43" s="215"/>
      <c r="E43" s="215"/>
      <c r="F43" s="215"/>
      <c r="G43" s="215"/>
      <c r="H43" s="215"/>
      <c r="I43" s="215"/>
      <c r="J43" s="215"/>
      <c r="K43" s="215"/>
      <c r="L43" s="215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3"/>
      <c r="AL43" s="4"/>
    </row>
    <row r="44" spans="1:38" ht="18.75" customHeight="1" x14ac:dyDescent="0.6">
      <c r="A44" s="8" t="s">
        <v>143</v>
      </c>
      <c r="B44" s="214">
        <v>80</v>
      </c>
      <c r="C44" s="214">
        <v>80</v>
      </c>
      <c r="D44" s="214">
        <v>80</v>
      </c>
      <c r="E44" s="214">
        <v>80</v>
      </c>
      <c r="F44" s="214">
        <v>80</v>
      </c>
      <c r="G44" s="214">
        <v>80</v>
      </c>
      <c r="H44" s="214">
        <v>80</v>
      </c>
      <c r="I44" s="214">
        <v>80</v>
      </c>
      <c r="J44" s="214">
        <v>100</v>
      </c>
      <c r="K44" s="214">
        <v>100</v>
      </c>
      <c r="L44" s="214">
        <v>100</v>
      </c>
      <c r="M44" s="214">
        <v>100</v>
      </c>
      <c r="N44" s="214">
        <v>120</v>
      </c>
      <c r="O44" s="214">
        <v>120</v>
      </c>
      <c r="P44" s="214">
        <v>120</v>
      </c>
      <c r="Q44" s="214">
        <v>150</v>
      </c>
      <c r="R44" s="214"/>
      <c r="S44" s="214"/>
      <c r="T44" s="214"/>
      <c r="U44" s="214"/>
      <c r="V44" s="214"/>
      <c r="W44" s="214"/>
      <c r="X44" s="214"/>
      <c r="Y44" s="214"/>
      <c r="Z44" s="214"/>
      <c r="AA44" s="214"/>
      <c r="AB44" s="214"/>
      <c r="AC44" s="214"/>
      <c r="AD44" s="214"/>
      <c r="AE44" s="214"/>
      <c r="AF44" s="214"/>
      <c r="AG44" s="214"/>
      <c r="AH44" s="214"/>
      <c r="AI44" s="214"/>
      <c r="AJ44" s="214"/>
      <c r="AK44" s="3">
        <f t="shared" ref="AK44:AK55" si="6">COUNTA(B44:AJ44)</f>
        <v>16</v>
      </c>
      <c r="AL44" s="4">
        <f t="shared" ref="AL44:AL55" si="7">SUM(B44:AJ44)/AK44</f>
        <v>96.875</v>
      </c>
    </row>
    <row r="45" spans="1:38" ht="18.75" customHeight="1" x14ac:dyDescent="0.6">
      <c r="A45" s="8" t="s">
        <v>144</v>
      </c>
      <c r="B45" s="214">
        <v>150</v>
      </c>
      <c r="C45" s="214">
        <v>150</v>
      </c>
      <c r="D45" s="214">
        <v>120</v>
      </c>
      <c r="E45" s="214"/>
      <c r="F45" s="214"/>
      <c r="G45" s="214"/>
      <c r="H45" s="214"/>
      <c r="I45" s="214"/>
      <c r="J45" s="214"/>
      <c r="K45" s="214"/>
      <c r="L45" s="214"/>
      <c r="M45" s="214"/>
      <c r="N45" s="214"/>
      <c r="O45" s="214"/>
      <c r="P45" s="214"/>
      <c r="Q45" s="214"/>
      <c r="R45" s="214"/>
      <c r="S45" s="214"/>
      <c r="T45" s="214"/>
      <c r="U45" s="214"/>
      <c r="V45" s="214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  <c r="AH45" s="214"/>
      <c r="AI45" s="214"/>
      <c r="AJ45" s="214"/>
      <c r="AK45" s="3">
        <f t="shared" si="6"/>
        <v>3</v>
      </c>
      <c r="AL45" s="4">
        <f t="shared" si="7"/>
        <v>140</v>
      </c>
    </row>
    <row r="46" spans="1:38" ht="18.75" customHeight="1" x14ac:dyDescent="0.6">
      <c r="A46" s="8" t="s">
        <v>145</v>
      </c>
      <c r="B46" s="214">
        <v>100</v>
      </c>
      <c r="C46" s="214">
        <v>100</v>
      </c>
      <c r="D46" s="214">
        <v>100</v>
      </c>
      <c r="E46" s="214">
        <v>100</v>
      </c>
      <c r="F46" s="214">
        <v>80</v>
      </c>
      <c r="G46" s="214"/>
      <c r="H46" s="214"/>
      <c r="I46" s="214"/>
      <c r="J46" s="214"/>
      <c r="K46" s="214"/>
      <c r="L46" s="214"/>
      <c r="M46" s="214"/>
      <c r="N46" s="214"/>
      <c r="O46" s="214"/>
      <c r="P46" s="214"/>
      <c r="Q46" s="214"/>
      <c r="R46" s="214"/>
      <c r="S46" s="214"/>
      <c r="T46" s="214"/>
      <c r="U46" s="214"/>
      <c r="V46" s="214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  <c r="AH46" s="214"/>
      <c r="AI46" s="214"/>
      <c r="AJ46" s="214"/>
      <c r="AK46" s="3">
        <f t="shared" si="6"/>
        <v>5</v>
      </c>
      <c r="AL46" s="4">
        <f t="shared" si="7"/>
        <v>96</v>
      </c>
    </row>
    <row r="47" spans="1:38" ht="18.75" customHeight="1" x14ac:dyDescent="0.6">
      <c r="A47" s="8" t="s">
        <v>146</v>
      </c>
      <c r="B47" s="214">
        <v>80</v>
      </c>
      <c r="C47" s="214"/>
      <c r="D47" s="214"/>
      <c r="E47" s="214"/>
      <c r="F47" s="214"/>
      <c r="G47" s="214"/>
      <c r="H47" s="214"/>
      <c r="I47" s="214"/>
      <c r="J47" s="214"/>
      <c r="K47" s="214"/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  <c r="AH47" s="214"/>
      <c r="AI47" s="214"/>
      <c r="AJ47" s="214"/>
      <c r="AK47" s="3">
        <f t="shared" si="6"/>
        <v>1</v>
      </c>
      <c r="AL47" s="4">
        <f t="shared" si="7"/>
        <v>80</v>
      </c>
    </row>
    <row r="48" spans="1:38" ht="18.75" customHeight="1" x14ac:dyDescent="0.6">
      <c r="A48" s="8" t="s">
        <v>147</v>
      </c>
      <c r="B48" s="214">
        <v>80</v>
      </c>
      <c r="C48" s="214">
        <v>80</v>
      </c>
      <c r="D48" s="214">
        <v>80</v>
      </c>
      <c r="E48" s="214">
        <v>100</v>
      </c>
      <c r="F48" s="214"/>
      <c r="G48" s="214"/>
      <c r="H48" s="214"/>
      <c r="I48" s="214"/>
      <c r="J48" s="214"/>
      <c r="K48" s="214"/>
      <c r="L48" s="214"/>
      <c r="M48" s="214"/>
      <c r="N48" s="214"/>
      <c r="O48" s="214"/>
      <c r="P48" s="214"/>
      <c r="Q48" s="214"/>
      <c r="R48" s="214"/>
      <c r="S48" s="214"/>
      <c r="T48" s="214"/>
      <c r="U48" s="214"/>
      <c r="V48" s="214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  <c r="AH48" s="214"/>
      <c r="AI48" s="214"/>
      <c r="AJ48" s="214"/>
      <c r="AK48" s="3">
        <f t="shared" si="6"/>
        <v>4</v>
      </c>
      <c r="AL48" s="4">
        <f t="shared" si="7"/>
        <v>85</v>
      </c>
    </row>
    <row r="49" spans="1:38" ht="18.75" customHeight="1" x14ac:dyDescent="0.6">
      <c r="A49" s="8" t="s">
        <v>148</v>
      </c>
      <c r="B49" s="214">
        <v>100</v>
      </c>
      <c r="C49" s="214">
        <v>100</v>
      </c>
      <c r="D49" s="214">
        <v>100</v>
      </c>
      <c r="E49" s="214">
        <v>100</v>
      </c>
      <c r="F49" s="214">
        <v>100</v>
      </c>
      <c r="G49" s="214">
        <v>100</v>
      </c>
      <c r="H49" s="214">
        <v>80</v>
      </c>
      <c r="I49" s="214">
        <v>80</v>
      </c>
      <c r="J49" s="214">
        <v>80</v>
      </c>
      <c r="K49" s="214">
        <v>80</v>
      </c>
      <c r="L49" s="214">
        <v>80</v>
      </c>
      <c r="M49" s="214">
        <v>80</v>
      </c>
      <c r="N49" s="214">
        <v>80</v>
      </c>
      <c r="O49" s="214">
        <v>80</v>
      </c>
      <c r="P49" s="214">
        <v>80</v>
      </c>
      <c r="Q49" s="214"/>
      <c r="R49" s="214"/>
      <c r="S49" s="214"/>
      <c r="T49" s="214"/>
      <c r="U49" s="214"/>
      <c r="V49" s="214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  <c r="AH49" s="214"/>
      <c r="AI49" s="214"/>
      <c r="AJ49" s="214"/>
      <c r="AK49" s="3">
        <f t="shared" si="6"/>
        <v>15</v>
      </c>
      <c r="AL49" s="4">
        <f t="shared" si="7"/>
        <v>88</v>
      </c>
    </row>
    <row r="50" spans="1:38" ht="18.75" customHeight="1" x14ac:dyDescent="0.6">
      <c r="A50" s="8" t="s">
        <v>149</v>
      </c>
      <c r="B50" s="214">
        <v>80</v>
      </c>
      <c r="C50" s="214"/>
      <c r="D50" s="214"/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3">
        <f t="shared" si="6"/>
        <v>1</v>
      </c>
      <c r="AL50" s="4">
        <f t="shared" si="7"/>
        <v>80</v>
      </c>
    </row>
    <row r="51" spans="1:38" ht="18.75" customHeight="1" x14ac:dyDescent="0.6">
      <c r="A51" s="8" t="s">
        <v>150</v>
      </c>
      <c r="B51" s="214">
        <v>80</v>
      </c>
      <c r="C51" s="214">
        <v>80</v>
      </c>
      <c r="D51" s="214">
        <v>80</v>
      </c>
      <c r="E51" s="214">
        <v>80</v>
      </c>
      <c r="F51" s="214">
        <v>80</v>
      </c>
      <c r="G51" s="214">
        <v>80</v>
      </c>
      <c r="H51" s="214">
        <v>80</v>
      </c>
      <c r="I51" s="214">
        <v>90</v>
      </c>
      <c r="J51" s="214">
        <v>90</v>
      </c>
      <c r="K51" s="214">
        <v>100</v>
      </c>
      <c r="L51" s="214">
        <v>100</v>
      </c>
      <c r="M51" s="214">
        <v>100</v>
      </c>
      <c r="N51" s="214">
        <v>100</v>
      </c>
      <c r="O51" s="214"/>
      <c r="P51" s="214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3">
        <f t="shared" si="6"/>
        <v>13</v>
      </c>
      <c r="AL51" s="4">
        <f t="shared" si="7"/>
        <v>87.692307692307693</v>
      </c>
    </row>
    <row r="52" spans="1:38" ht="18.75" customHeight="1" x14ac:dyDescent="0.6">
      <c r="A52" s="8" t="s">
        <v>151</v>
      </c>
      <c r="B52" s="214">
        <v>100</v>
      </c>
      <c r="C52" s="214">
        <v>100</v>
      </c>
      <c r="D52" s="214">
        <v>100</v>
      </c>
      <c r="E52" s="214">
        <v>120</v>
      </c>
      <c r="F52" s="214">
        <v>120</v>
      </c>
      <c r="G52" s="214">
        <v>120</v>
      </c>
      <c r="H52" s="214">
        <v>120</v>
      </c>
      <c r="I52" s="214">
        <v>150</v>
      </c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3">
        <f t="shared" si="6"/>
        <v>8</v>
      </c>
      <c r="AL52" s="4">
        <f t="shared" si="7"/>
        <v>116.25</v>
      </c>
    </row>
    <row r="53" spans="1:38" ht="18.75" customHeight="1" x14ac:dyDescent="0.6">
      <c r="A53" s="8" t="s">
        <v>152</v>
      </c>
      <c r="B53" s="214">
        <v>150</v>
      </c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P53" s="214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3">
        <f t="shared" si="6"/>
        <v>1</v>
      </c>
      <c r="AL53" s="4">
        <f t="shared" si="7"/>
        <v>150</v>
      </c>
    </row>
    <row r="54" spans="1:38" ht="18.75" customHeight="1" x14ac:dyDescent="0.6">
      <c r="A54" s="8" t="s">
        <v>153</v>
      </c>
      <c r="B54" s="214">
        <v>120</v>
      </c>
      <c r="C54" s="214">
        <v>120</v>
      </c>
      <c r="D54" s="214">
        <v>120</v>
      </c>
      <c r="E54" s="214">
        <v>120</v>
      </c>
      <c r="F54" s="214">
        <v>120</v>
      </c>
      <c r="G54" s="214">
        <v>120</v>
      </c>
      <c r="H54" s="214">
        <v>120</v>
      </c>
      <c r="I54" s="214">
        <v>120</v>
      </c>
      <c r="J54" s="214">
        <v>120</v>
      </c>
      <c r="K54" s="214">
        <v>120</v>
      </c>
      <c r="L54" s="214">
        <v>120</v>
      </c>
      <c r="M54" s="214">
        <v>100</v>
      </c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3">
        <f t="shared" si="6"/>
        <v>12</v>
      </c>
      <c r="AL54" s="4">
        <f t="shared" si="7"/>
        <v>118.33333333333333</v>
      </c>
    </row>
    <row r="55" spans="1:38" ht="18.75" customHeight="1" x14ac:dyDescent="0.6">
      <c r="A55" s="8" t="s">
        <v>154</v>
      </c>
      <c r="B55" s="214">
        <v>100</v>
      </c>
      <c r="C55" s="214">
        <v>120</v>
      </c>
      <c r="D55" s="214">
        <v>120</v>
      </c>
      <c r="E55" s="214">
        <v>120</v>
      </c>
      <c r="F55" s="214">
        <v>120</v>
      </c>
      <c r="G55" s="214">
        <v>100</v>
      </c>
      <c r="H55" s="214">
        <v>100</v>
      </c>
      <c r="I55" s="214">
        <v>100</v>
      </c>
      <c r="J55" s="214">
        <v>100</v>
      </c>
      <c r="K55" s="214">
        <v>100</v>
      </c>
      <c r="L55" s="214"/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3">
        <f t="shared" si="6"/>
        <v>10</v>
      </c>
      <c r="AL55" s="4">
        <f t="shared" si="7"/>
        <v>108</v>
      </c>
    </row>
    <row r="56" spans="1:38" ht="18.75" customHeight="1" x14ac:dyDescent="0.6">
      <c r="A56" s="3"/>
      <c r="B56" s="3" t="s">
        <v>142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4"/>
    </row>
    <row r="57" spans="1:38" ht="18.75" customHeight="1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4"/>
    </row>
    <row r="58" spans="1:38" ht="18.75" customHeight="1" x14ac:dyDescent="0.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4"/>
    </row>
    <row r="59" spans="1:38" ht="18.75" customHeight="1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4"/>
    </row>
  </sheetData>
  <pageMargins left="0.25" right="0" top="0.25" bottom="0" header="0" footer="0"/>
  <pageSetup paperSize="39" orientation="portrait" r:id="rId1"/>
  <headerFooter>
    <oddHeader>&amp;Rหน้า  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08"/>
  <sheetViews>
    <sheetView showGridLines="0" tabSelected="1" view="pageBreakPreview" zoomScale="70" zoomScaleNormal="80" zoomScaleSheetLayoutView="70" workbookViewId="0">
      <selection activeCell="W103" sqref="W103"/>
    </sheetView>
  </sheetViews>
  <sheetFormatPr defaultColWidth="9.140625" defaultRowHeight="15" customHeight="1" x14ac:dyDescent="0.6"/>
  <cols>
    <col min="1" max="1" width="10.5703125" style="117" customWidth="1"/>
    <col min="2" max="2" width="5.85546875" style="117" customWidth="1"/>
    <col min="3" max="3" width="21" style="117" customWidth="1"/>
    <col min="4" max="4" width="5.85546875" style="117" customWidth="1"/>
    <col min="5" max="5" width="11.85546875" style="117" customWidth="1"/>
    <col min="6" max="6" width="7.28515625" style="117" customWidth="1"/>
    <col min="7" max="7" width="7.5703125" style="139" customWidth="1"/>
    <col min="8" max="20" width="9.140625" style="117" customWidth="1"/>
    <col min="21" max="21" width="9" style="117" customWidth="1"/>
    <col min="22" max="22" width="9.140625" style="117" customWidth="1"/>
    <col min="23" max="23" width="9.140625" style="210" customWidth="1"/>
    <col min="24" max="24" width="9.5703125" style="117" customWidth="1"/>
    <col min="25" max="25" width="0.28515625" style="117" customWidth="1"/>
    <col min="26" max="34" width="7" style="117" customWidth="1"/>
    <col min="35" max="16384" width="9.140625" style="117"/>
  </cols>
  <sheetData>
    <row r="1" spans="1:34" s="108" customFormat="1" ht="24.95" customHeight="1" x14ac:dyDescent="0.6">
      <c r="A1" s="107" t="s">
        <v>158</v>
      </c>
      <c r="B1" s="411" t="str">
        <f>Header!B3</f>
        <v>หลักสี่</v>
      </c>
      <c r="C1" s="412"/>
      <c r="D1" s="412"/>
      <c r="E1" s="412"/>
      <c r="F1" s="198"/>
      <c r="G1" s="199"/>
      <c r="H1" s="107"/>
      <c r="I1" s="430" t="s">
        <v>159</v>
      </c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198" t="s">
        <v>142</v>
      </c>
      <c r="U1" s="198"/>
      <c r="V1" s="107"/>
      <c r="W1" s="200"/>
      <c r="X1" s="198"/>
      <c r="Y1" s="107"/>
      <c r="Z1" s="107"/>
      <c r="AA1" s="107"/>
      <c r="AB1" s="107"/>
      <c r="AC1" s="107"/>
      <c r="AD1" s="107"/>
      <c r="AE1" s="107"/>
      <c r="AF1" s="107"/>
      <c r="AG1" s="107"/>
      <c r="AH1" s="107"/>
    </row>
    <row r="2" spans="1:34" s="108" customFormat="1" ht="24.95" customHeight="1" x14ac:dyDescent="0.6">
      <c r="A2" s="268" t="s">
        <v>160</v>
      </c>
      <c r="B2" s="431" t="str">
        <f>Header!B6</f>
        <v>แจ้งวัฒนะ - กำแพงเพชร</v>
      </c>
      <c r="C2" s="432"/>
      <c r="D2" s="432"/>
      <c r="E2" s="432"/>
      <c r="F2" s="111"/>
      <c r="G2" s="298" t="s">
        <v>161</v>
      </c>
      <c r="H2" s="394" t="str">
        <f>Header!B4</f>
        <v>500</v>
      </c>
      <c r="I2" s="395"/>
      <c r="J2" s="395"/>
      <c r="K2" s="395"/>
      <c r="L2" s="111"/>
      <c r="M2" s="111" t="s">
        <v>162</v>
      </c>
      <c r="N2" s="394" t="str">
        <f>Header!B7</f>
        <v>20 พฤษภาคม 2569</v>
      </c>
      <c r="O2" s="395"/>
      <c r="P2" s="395"/>
      <c r="Q2" s="395"/>
      <c r="R2" s="111"/>
      <c r="S2" s="111" t="s">
        <v>6</v>
      </c>
      <c r="T2" s="111"/>
      <c r="U2" s="110" t="str">
        <f>Header!B8</f>
        <v>ปกติ</v>
      </c>
      <c r="V2" s="111"/>
      <c r="W2" s="201"/>
      <c r="X2" s="112"/>
      <c r="Y2" s="107"/>
      <c r="Z2" s="107"/>
      <c r="AA2" s="107"/>
      <c r="AB2" s="107"/>
      <c r="AC2" s="107"/>
      <c r="AD2" s="107"/>
      <c r="AE2" s="107"/>
      <c r="AF2" s="107"/>
      <c r="AG2" s="107"/>
      <c r="AH2" s="107"/>
    </row>
    <row r="3" spans="1:34" s="94" customFormat="1" ht="17.100000000000001" customHeight="1" x14ac:dyDescent="0.45">
      <c r="A3" s="299"/>
      <c r="B3" s="299"/>
      <c r="C3" s="300" t="s">
        <v>156</v>
      </c>
      <c r="D3" s="426" t="str">
        <f>Header!B13</f>
        <v>ถนนกำแพงเพชร 6</v>
      </c>
      <c r="E3" s="299"/>
      <c r="F3" s="96"/>
      <c r="G3" s="97" t="s">
        <v>50</v>
      </c>
      <c r="H3" s="98"/>
      <c r="I3" s="98"/>
      <c r="J3" s="98" t="s">
        <v>163</v>
      </c>
      <c r="K3" s="98"/>
      <c r="L3" s="98"/>
      <c r="M3" s="98"/>
      <c r="N3" s="98"/>
      <c r="O3" s="98"/>
      <c r="P3" s="98" t="s">
        <v>164</v>
      </c>
      <c r="Q3" s="98"/>
      <c r="R3" s="98"/>
      <c r="S3" s="98"/>
      <c r="T3" s="99"/>
      <c r="U3" s="413" t="s">
        <v>165</v>
      </c>
      <c r="V3" s="414"/>
      <c r="W3" s="211" t="s">
        <v>166</v>
      </c>
      <c r="X3" s="100"/>
      <c r="Y3" s="93"/>
      <c r="Z3" s="93"/>
      <c r="AA3" s="93"/>
      <c r="AB3" s="93"/>
      <c r="AC3" s="93"/>
      <c r="AD3" s="93"/>
      <c r="AE3" s="93"/>
      <c r="AF3" s="93"/>
      <c r="AG3" s="93"/>
      <c r="AH3" s="93"/>
    </row>
    <row r="4" spans="1:34" s="94" customFormat="1" ht="17.100000000000001" customHeight="1" x14ac:dyDescent="0.5">
      <c r="A4" s="301"/>
      <c r="B4" s="301"/>
      <c r="C4" s="302"/>
      <c r="D4" s="427"/>
      <c r="E4" s="301"/>
      <c r="F4" s="101" t="s">
        <v>21</v>
      </c>
      <c r="G4" s="102"/>
      <c r="H4" s="103" t="s">
        <v>167</v>
      </c>
      <c r="I4" s="104" t="s">
        <v>168</v>
      </c>
      <c r="J4" s="104" t="s">
        <v>169</v>
      </c>
      <c r="K4" s="104" t="s">
        <v>170</v>
      </c>
      <c r="L4" s="104" t="s">
        <v>171</v>
      </c>
      <c r="M4" s="104" t="s">
        <v>172</v>
      </c>
      <c r="N4" s="104" t="s">
        <v>173</v>
      </c>
      <c r="O4" s="104" t="s">
        <v>174</v>
      </c>
      <c r="P4" s="104" t="s">
        <v>175</v>
      </c>
      <c r="Q4" s="104" t="s">
        <v>176</v>
      </c>
      <c r="R4" s="104" t="s">
        <v>177</v>
      </c>
      <c r="S4" s="104" t="s">
        <v>178</v>
      </c>
      <c r="T4" s="105" t="s">
        <v>179</v>
      </c>
      <c r="U4" s="106" t="s">
        <v>180</v>
      </c>
      <c r="V4" s="106" t="s">
        <v>181</v>
      </c>
      <c r="W4" s="212" t="s">
        <v>182</v>
      </c>
      <c r="X4" s="95"/>
      <c r="Y4" s="92"/>
      <c r="Z4" s="92"/>
      <c r="AA4" s="92"/>
      <c r="AB4" s="92"/>
      <c r="AC4" s="92"/>
      <c r="AD4" s="92"/>
      <c r="AE4" s="92"/>
      <c r="AF4" s="92"/>
      <c r="AG4" s="92"/>
      <c r="AH4" s="92"/>
    </row>
    <row r="5" spans="1:34" ht="17.100000000000001" customHeight="1" x14ac:dyDescent="0.5">
      <c r="A5" s="303"/>
      <c r="B5" s="301"/>
      <c r="C5" s="304"/>
      <c r="D5" s="427"/>
      <c r="E5" s="301"/>
      <c r="F5" s="416" t="s">
        <v>106</v>
      </c>
      <c r="G5" s="174">
        <v>1</v>
      </c>
      <c r="H5" s="91">
        <f>VALUE(Analysis!$H$53)</f>
        <v>208</v>
      </c>
      <c r="I5" s="91">
        <f>VALUE(Analysis!$H$54)</f>
        <v>211</v>
      </c>
      <c r="J5" s="91">
        <f>VALUE(Analysis!$H$55)</f>
        <v>182</v>
      </c>
      <c r="K5" s="91">
        <f>VALUE(Analysis!$H$56)</f>
        <v>155</v>
      </c>
      <c r="L5" s="91">
        <f>VALUE(Analysis!$H$57)</f>
        <v>154</v>
      </c>
      <c r="M5" s="91">
        <f>VALUE(Analysis!$H$58)</f>
        <v>137</v>
      </c>
      <c r="N5" s="91">
        <f>VALUE(Analysis!$H$59)</f>
        <v>131</v>
      </c>
      <c r="O5" s="91">
        <f>VALUE(Analysis!$H$60)</f>
        <v>197</v>
      </c>
      <c r="P5" s="91">
        <f>VALUE(Analysis!$H$61)</f>
        <v>193</v>
      </c>
      <c r="Q5" s="91">
        <f>VALUE(Analysis!$H$62)</f>
        <v>227</v>
      </c>
      <c r="R5" s="91">
        <f>VALUE(Analysis!$H$63)</f>
        <v>232</v>
      </c>
      <c r="S5" s="91">
        <f>VALUE(Analysis!$H$64)</f>
        <v>184</v>
      </c>
      <c r="T5" s="248">
        <f>SUM($H5:$S5)</f>
        <v>2211</v>
      </c>
      <c r="U5" s="253">
        <f>_xlfn.MINIFS($H5:$S5,$H5:$S5,"&gt;0")</f>
        <v>131</v>
      </c>
      <c r="V5" s="253">
        <f>_xlfn.MAXIFS($H5:$S5,$H5:$S5,"&gt;0")</f>
        <v>232</v>
      </c>
      <c r="W5" s="247">
        <f>VALUE(Analysis!$H$95)</f>
        <v>187.6525</v>
      </c>
      <c r="X5" s="118"/>
      <c r="Y5" s="114"/>
      <c r="Z5" s="114"/>
      <c r="AA5" s="114"/>
      <c r="AB5" s="114"/>
      <c r="AC5" s="114"/>
      <c r="AD5" s="114"/>
      <c r="AE5" s="114"/>
      <c r="AF5" s="114"/>
      <c r="AG5" s="114"/>
      <c r="AH5" s="114"/>
    </row>
    <row r="6" spans="1:34" ht="17.100000000000001" customHeight="1" x14ac:dyDescent="0.5">
      <c r="A6" s="301"/>
      <c r="B6" s="301"/>
      <c r="C6" s="304"/>
      <c r="D6" s="427"/>
      <c r="E6" s="301"/>
      <c r="F6" s="417"/>
      <c r="G6" s="176">
        <v>2</v>
      </c>
      <c r="H6" s="91">
        <f>VALUE(Analysis!$O$53)</f>
        <v>117</v>
      </c>
      <c r="I6" s="91">
        <f>VALUE(Analysis!$O$54)</f>
        <v>111</v>
      </c>
      <c r="J6" s="91">
        <f>VALUE(Analysis!$O$55)</f>
        <v>250</v>
      </c>
      <c r="K6" s="91">
        <f>VALUE(Analysis!$O$56)</f>
        <v>222</v>
      </c>
      <c r="L6" s="91">
        <f>VALUE(Analysis!$O$57)</f>
        <v>245</v>
      </c>
      <c r="M6" s="91">
        <f>VALUE(Analysis!$O$58)</f>
        <v>280</v>
      </c>
      <c r="N6" s="91">
        <f>VALUE(Analysis!$O$59)</f>
        <v>238</v>
      </c>
      <c r="O6" s="91">
        <f>VALUE(Analysis!$O$60)</f>
        <v>210</v>
      </c>
      <c r="P6" s="91">
        <f>VALUE(Analysis!$O$61)</f>
        <v>198</v>
      </c>
      <c r="Q6" s="91">
        <f>VALUE(Analysis!$O$62)</f>
        <v>174</v>
      </c>
      <c r="R6" s="91">
        <f>VALUE(Analysis!$O$63)</f>
        <v>140</v>
      </c>
      <c r="S6" s="91">
        <f>VALUE(Analysis!$O$64)</f>
        <v>134</v>
      </c>
      <c r="T6" s="248">
        <f t="shared" ref="T6:T12" si="0">SUM($H6:$S6)</f>
        <v>2319</v>
      </c>
      <c r="U6" s="253">
        <f t="shared" ref="U6:U13" si="1">_xlfn.MINIFS($H6:$S6,$H6:$S6,"&gt;0")</f>
        <v>111</v>
      </c>
      <c r="V6" s="253">
        <f t="shared" ref="V6:V13" si="2">_xlfn.MAXIFS($H6:$S6,$H6:$S6,"&gt;0")</f>
        <v>280</v>
      </c>
      <c r="W6" s="247">
        <f>VALUE(Analysis!$O$95)</f>
        <v>193.48833333333334</v>
      </c>
      <c r="X6" s="118"/>
      <c r="Y6" s="114"/>
      <c r="Z6" s="114"/>
      <c r="AA6" s="114"/>
      <c r="AB6" s="114"/>
      <c r="AC6" s="114"/>
      <c r="AD6" s="114"/>
      <c r="AE6" s="114"/>
      <c r="AF6" s="114"/>
      <c r="AG6" s="114"/>
      <c r="AH6" s="114"/>
    </row>
    <row r="7" spans="1:34" ht="17.100000000000001" customHeight="1" x14ac:dyDescent="0.5">
      <c r="A7" s="429"/>
      <c r="B7" s="429"/>
      <c r="C7" s="304"/>
      <c r="D7" s="427"/>
      <c r="E7" s="301"/>
      <c r="F7" s="417"/>
      <c r="G7" s="176">
        <v>3</v>
      </c>
      <c r="H7" s="91">
        <f>VALUE(Analysis!$V$53)</f>
        <v>127</v>
      </c>
      <c r="I7" s="91">
        <f>VALUE(Analysis!$V$54)</f>
        <v>102</v>
      </c>
      <c r="J7" s="91">
        <f>VALUE(Analysis!$V$55)</f>
        <v>107</v>
      </c>
      <c r="K7" s="91">
        <f>VALUE(Analysis!$V$56)</f>
        <v>142</v>
      </c>
      <c r="L7" s="91">
        <f>VALUE(Analysis!$V$57)</f>
        <v>124</v>
      </c>
      <c r="M7" s="91">
        <f>VALUE(Analysis!$V$58)</f>
        <v>106</v>
      </c>
      <c r="N7" s="91">
        <f>VALUE(Analysis!$V$59)</f>
        <v>125</v>
      </c>
      <c r="O7" s="91">
        <f>VALUE(Analysis!$V$60)</f>
        <v>112</v>
      </c>
      <c r="P7" s="91">
        <f>VALUE(Analysis!$V$61)</f>
        <v>122</v>
      </c>
      <c r="Q7" s="91">
        <f>VALUE(Analysis!$V$62)</f>
        <v>166</v>
      </c>
      <c r="R7" s="91">
        <f>VALUE(Analysis!$V$63)</f>
        <v>121</v>
      </c>
      <c r="S7" s="91">
        <f>VALUE(Analysis!$V$64)</f>
        <v>83</v>
      </c>
      <c r="T7" s="248">
        <f t="shared" si="0"/>
        <v>1437</v>
      </c>
      <c r="U7" s="253">
        <f t="shared" si="1"/>
        <v>83</v>
      </c>
      <c r="V7" s="253">
        <f t="shared" si="2"/>
        <v>166</v>
      </c>
      <c r="W7" s="247">
        <f>VALUE(Analysis!$V$95)</f>
        <v>121</v>
      </c>
      <c r="X7" s="118"/>
      <c r="Y7" s="114"/>
      <c r="Z7" s="114"/>
      <c r="AA7" s="114"/>
      <c r="AB7" s="114"/>
      <c r="AC7" s="114"/>
      <c r="AD7" s="114"/>
      <c r="AE7" s="114"/>
      <c r="AF7" s="114"/>
      <c r="AG7" s="114"/>
      <c r="AH7" s="114"/>
    </row>
    <row r="8" spans="1:34" ht="17.100000000000001" customHeight="1" thickBot="1" x14ac:dyDescent="0.4">
      <c r="A8" s="433" t="str">
        <f>Header!B12</f>
        <v>ถนนแจ้งวัฒนะ</v>
      </c>
      <c r="B8" s="434"/>
      <c r="C8" s="305"/>
      <c r="D8" s="428"/>
      <c r="E8" s="306"/>
      <c r="F8" s="417"/>
      <c r="G8" s="176">
        <v>4</v>
      </c>
      <c r="H8" s="388">
        <f>VALUE(Analysis!$AC$53)</f>
        <v>0</v>
      </c>
      <c r="I8" s="388">
        <f>VALUE(Analysis!$AC$54)</f>
        <v>0</v>
      </c>
      <c r="J8" s="388">
        <f>VALUE(Analysis!$AC$55)</f>
        <v>0</v>
      </c>
      <c r="K8" s="388">
        <f>VALUE(Analysis!$AC$56)</f>
        <v>0</v>
      </c>
      <c r="L8" s="388">
        <f>VALUE(Analysis!$AC$57)</f>
        <v>0</v>
      </c>
      <c r="M8" s="388">
        <f>VALUE(Analysis!$AC$58)</f>
        <v>0</v>
      </c>
      <c r="N8" s="388">
        <f>VALUE(Analysis!$AC$59)</f>
        <v>0</v>
      </c>
      <c r="O8" s="388">
        <f>VALUE(Analysis!$AC$60)</f>
        <v>0</v>
      </c>
      <c r="P8" s="388">
        <f>VALUE(Analysis!$AC$61)</f>
        <v>0</v>
      </c>
      <c r="Q8" s="388">
        <f>VALUE(Analysis!$AC$62)</f>
        <v>0</v>
      </c>
      <c r="R8" s="388">
        <f>VALUE(Analysis!$AC$63)</f>
        <v>0</v>
      </c>
      <c r="S8" s="388">
        <f>VALUE(Analysis!$AC$64)</f>
        <v>0</v>
      </c>
      <c r="T8" s="389">
        <f t="shared" si="0"/>
        <v>0</v>
      </c>
      <c r="U8" s="390">
        <f t="shared" si="1"/>
        <v>0</v>
      </c>
      <c r="V8" s="390">
        <f t="shared" si="2"/>
        <v>0</v>
      </c>
      <c r="W8" s="391">
        <f>VALUE(Analysis!$AC$95)</f>
        <v>0</v>
      </c>
      <c r="X8" s="118"/>
      <c r="Y8" s="114"/>
      <c r="Z8" s="114"/>
      <c r="AA8" s="114"/>
      <c r="AB8" s="114"/>
      <c r="AC8" s="114"/>
      <c r="AD8" s="114"/>
      <c r="AE8" s="114"/>
      <c r="AF8" s="114"/>
      <c r="AG8" s="114"/>
      <c r="AH8" s="114"/>
    </row>
    <row r="9" spans="1:34" ht="17.100000000000001" hidden="1" customHeight="1" x14ac:dyDescent="0.5">
      <c r="A9" s="307"/>
      <c r="B9" s="307"/>
      <c r="C9" s="307"/>
      <c r="D9" s="308"/>
      <c r="E9" s="309"/>
      <c r="F9" s="417"/>
      <c r="G9" s="176" t="s">
        <v>183</v>
      </c>
      <c r="H9" s="91">
        <f>VALUE(Analysis!$DP$53)</f>
        <v>0</v>
      </c>
      <c r="I9" s="91">
        <f>VALUE(Analysis!$DP$54)</f>
        <v>0</v>
      </c>
      <c r="J9" s="91">
        <f>VALUE(Analysis!$DP$55)</f>
        <v>0</v>
      </c>
      <c r="K9" s="91">
        <f>VALUE(Analysis!$DP$56)</f>
        <v>0</v>
      </c>
      <c r="L9" s="91">
        <f>VALUE(Analysis!$DP$57)</f>
        <v>0</v>
      </c>
      <c r="M9" s="91">
        <f>VALUE(Analysis!$DP$58)</f>
        <v>0</v>
      </c>
      <c r="N9" s="91">
        <f>VALUE(Analysis!$DP$59)</f>
        <v>0</v>
      </c>
      <c r="O9" s="91">
        <f>VALUE(Analysis!$DP$60)</f>
        <v>0</v>
      </c>
      <c r="P9" s="91">
        <f>VALUE(Analysis!$DP$61)</f>
        <v>0</v>
      </c>
      <c r="Q9" s="91">
        <f>VALUE(Analysis!$DP$62)</f>
        <v>0</v>
      </c>
      <c r="R9" s="91">
        <f>VALUE(Analysis!$DP$63)</f>
        <v>0</v>
      </c>
      <c r="S9" s="91">
        <f>VALUE(Analysis!$DP$64)</f>
        <v>0</v>
      </c>
      <c r="T9" s="248">
        <f t="shared" si="0"/>
        <v>0</v>
      </c>
      <c r="U9" s="253">
        <f t="shared" si="1"/>
        <v>0</v>
      </c>
      <c r="V9" s="253">
        <f t="shared" si="2"/>
        <v>0</v>
      </c>
      <c r="W9" s="247">
        <f>VALUE(Analysis!$DP$95)</f>
        <v>0</v>
      </c>
      <c r="X9" s="118"/>
      <c r="Y9" s="114"/>
      <c r="Z9" s="114"/>
      <c r="AA9" s="114"/>
      <c r="AB9" s="114"/>
      <c r="AC9" s="114"/>
      <c r="AD9" s="114"/>
      <c r="AE9" s="114"/>
      <c r="AF9" s="114"/>
      <c r="AG9" s="114"/>
      <c r="AH9" s="114"/>
    </row>
    <row r="10" spans="1:34" ht="17.100000000000001" hidden="1" customHeight="1" x14ac:dyDescent="0.5">
      <c r="A10" s="310"/>
      <c r="B10" s="308"/>
      <c r="C10" s="308"/>
      <c r="D10" s="308"/>
      <c r="E10" s="311"/>
      <c r="F10" s="417"/>
      <c r="G10" s="176" t="s">
        <v>184</v>
      </c>
      <c r="H10" s="91">
        <f>VALUE(Analysis!$DW$53)</f>
        <v>0</v>
      </c>
      <c r="I10" s="91">
        <f>VALUE(Analysis!$DW$54)</f>
        <v>0</v>
      </c>
      <c r="J10" s="91">
        <f>VALUE(Analysis!$DW$55)</f>
        <v>0</v>
      </c>
      <c r="K10" s="91">
        <f>VALUE(Analysis!$DW$56)</f>
        <v>0</v>
      </c>
      <c r="L10" s="91">
        <f>VALUE(Analysis!$DW$57)</f>
        <v>0</v>
      </c>
      <c r="M10" s="91">
        <f>VALUE(Analysis!$DW$58)</f>
        <v>0</v>
      </c>
      <c r="N10" s="91">
        <f>VALUE(Analysis!$DW$59)</f>
        <v>0</v>
      </c>
      <c r="O10" s="91">
        <f>VALUE(Analysis!$DW$60)</f>
        <v>0</v>
      </c>
      <c r="P10" s="91">
        <f>VALUE(Analysis!$DW$61)</f>
        <v>0</v>
      </c>
      <c r="Q10" s="91">
        <f>VALUE(Analysis!$DW$62)</f>
        <v>0</v>
      </c>
      <c r="R10" s="91">
        <f>VALUE(Analysis!$DW$63)</f>
        <v>0</v>
      </c>
      <c r="S10" s="91">
        <f>VALUE(Analysis!$DW$64)</f>
        <v>0</v>
      </c>
      <c r="T10" s="248">
        <f t="shared" si="0"/>
        <v>0</v>
      </c>
      <c r="U10" s="253">
        <f t="shared" si="1"/>
        <v>0</v>
      </c>
      <c r="V10" s="253">
        <f t="shared" si="2"/>
        <v>0</v>
      </c>
      <c r="W10" s="247">
        <f>VALUE(Analysis!$DW$95)</f>
        <v>0</v>
      </c>
      <c r="X10" s="118"/>
      <c r="Y10" s="114"/>
      <c r="Z10" s="114"/>
      <c r="AA10" s="114"/>
      <c r="AB10" s="114"/>
      <c r="AC10" s="114"/>
      <c r="AD10" s="114"/>
      <c r="AE10" s="114"/>
      <c r="AF10" s="114"/>
      <c r="AG10" s="114"/>
      <c r="AH10" s="114"/>
    </row>
    <row r="11" spans="1:34" ht="17.100000000000001" hidden="1" customHeight="1" x14ac:dyDescent="0.5">
      <c r="A11" s="312"/>
      <c r="B11" s="307"/>
      <c r="C11" s="313"/>
      <c r="D11" s="308"/>
      <c r="E11" s="314"/>
      <c r="F11" s="418"/>
      <c r="G11" s="176" t="s">
        <v>185</v>
      </c>
      <c r="H11" s="91">
        <f>VALUE(Analysis!$ED$53)</f>
        <v>0</v>
      </c>
      <c r="I11" s="91">
        <f>VALUE(Analysis!$ED$54)</f>
        <v>0</v>
      </c>
      <c r="J11" s="91">
        <f>VALUE(Analysis!$ED$55)</f>
        <v>0</v>
      </c>
      <c r="K11" s="91">
        <f>VALUE(Analysis!$ED$56)</f>
        <v>0</v>
      </c>
      <c r="L11" s="91">
        <f>VALUE(Analysis!$ED$57)</f>
        <v>0</v>
      </c>
      <c r="M11" s="91">
        <f>VALUE(Analysis!$ED$58)</f>
        <v>0</v>
      </c>
      <c r="N11" s="91">
        <f>VALUE(Analysis!$ED$59)</f>
        <v>0</v>
      </c>
      <c r="O11" s="91">
        <f>VALUE(Analysis!$ED$60)</f>
        <v>0</v>
      </c>
      <c r="P11" s="91">
        <f>VALUE(Analysis!$ED$61)</f>
        <v>0</v>
      </c>
      <c r="Q11" s="91">
        <f>VALUE(Analysis!$ED$62)</f>
        <v>0</v>
      </c>
      <c r="R11" s="91">
        <f>VALUE(Analysis!$ED$63)</f>
        <v>0</v>
      </c>
      <c r="S11" s="91">
        <f>VALUE(Analysis!$ED$64)</f>
        <v>0</v>
      </c>
      <c r="T11" s="248">
        <f t="shared" si="0"/>
        <v>0</v>
      </c>
      <c r="U11" s="253">
        <f t="shared" si="1"/>
        <v>0</v>
      </c>
      <c r="V11" s="253">
        <f t="shared" si="2"/>
        <v>0</v>
      </c>
      <c r="W11" s="247">
        <f>VALUE(Analysis!$ED$95)</f>
        <v>0</v>
      </c>
      <c r="X11" s="118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</row>
    <row r="12" spans="1:34" ht="17.100000000000001" customHeight="1" x14ac:dyDescent="0.5">
      <c r="A12" s="315"/>
      <c r="B12" s="316"/>
      <c r="C12" s="315"/>
      <c r="D12" s="317"/>
      <c r="E12" s="318"/>
      <c r="F12" s="177" t="s">
        <v>186</v>
      </c>
      <c r="G12" s="178" t="s">
        <v>142</v>
      </c>
      <c r="H12" s="213">
        <f>Analysis!$F68</f>
        <v>452</v>
      </c>
      <c r="I12" s="213">
        <f>Analysis!$F69</f>
        <v>424</v>
      </c>
      <c r="J12" s="213">
        <f>Analysis!$F70</f>
        <v>539</v>
      </c>
      <c r="K12" s="213">
        <f>Analysis!$F71</f>
        <v>519</v>
      </c>
      <c r="L12" s="213">
        <f>Analysis!$F72</f>
        <v>523</v>
      </c>
      <c r="M12" s="213">
        <f>Analysis!$F73</f>
        <v>523</v>
      </c>
      <c r="N12" s="213">
        <f>Analysis!$F74</f>
        <v>494</v>
      </c>
      <c r="O12" s="213">
        <f>Analysis!$F75</f>
        <v>519</v>
      </c>
      <c r="P12" s="213">
        <f>Analysis!$F76</f>
        <v>513</v>
      </c>
      <c r="Q12" s="213">
        <f>Analysis!$F77</f>
        <v>567</v>
      </c>
      <c r="R12" s="213">
        <f>Analysis!$F78</f>
        <v>493</v>
      </c>
      <c r="S12" s="213">
        <f>Analysis!$F79</f>
        <v>401</v>
      </c>
      <c r="T12" s="249">
        <f t="shared" si="0"/>
        <v>5967</v>
      </c>
      <c r="U12" s="253">
        <f t="shared" si="1"/>
        <v>401</v>
      </c>
      <c r="V12" s="253">
        <f t="shared" si="2"/>
        <v>567</v>
      </c>
      <c r="W12" s="202"/>
      <c r="X12" s="118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</row>
    <row r="13" spans="1:34" ht="17.100000000000001" customHeight="1" x14ac:dyDescent="0.5">
      <c r="A13" s="319"/>
      <c r="B13" s="301"/>
      <c r="C13" s="301"/>
      <c r="D13" s="301"/>
      <c r="E13" s="320"/>
      <c r="F13" s="179" t="s">
        <v>187</v>
      </c>
      <c r="G13" s="180" t="s">
        <v>142</v>
      </c>
      <c r="H13" s="213">
        <f>Analysis!$G68</f>
        <v>709</v>
      </c>
      <c r="I13" s="213">
        <f>Analysis!$G69</f>
        <v>722</v>
      </c>
      <c r="J13" s="213">
        <f>Analysis!$G70</f>
        <v>702</v>
      </c>
      <c r="K13" s="213">
        <f>Analysis!$G71</f>
        <v>540</v>
      </c>
      <c r="L13" s="213">
        <f>Analysis!$G72</f>
        <v>530</v>
      </c>
      <c r="M13" s="213">
        <f>Analysis!$G73</f>
        <v>500</v>
      </c>
      <c r="N13" s="213">
        <f>Analysis!$G74</f>
        <v>482</v>
      </c>
      <c r="O13" s="213">
        <f>Analysis!$G75</f>
        <v>529</v>
      </c>
      <c r="P13" s="213">
        <f>Analysis!$G76</f>
        <v>621</v>
      </c>
      <c r="Q13" s="213">
        <f>Analysis!$G77</f>
        <v>741</v>
      </c>
      <c r="R13" s="213">
        <f>Analysis!$G78</f>
        <v>818</v>
      </c>
      <c r="S13" s="213">
        <f>Analysis!$G79</f>
        <v>714</v>
      </c>
      <c r="T13" s="249">
        <f>SUM($H13:$S13)</f>
        <v>7608</v>
      </c>
      <c r="U13" s="253">
        <f t="shared" si="1"/>
        <v>482</v>
      </c>
      <c r="V13" s="253">
        <f t="shared" si="2"/>
        <v>818</v>
      </c>
      <c r="W13" s="203"/>
      <c r="X13" s="118"/>
      <c r="Y13" s="114"/>
      <c r="Z13" s="114"/>
      <c r="AA13" s="114"/>
      <c r="AB13" s="114"/>
      <c r="AC13" s="114"/>
      <c r="AD13" s="114"/>
      <c r="AE13" s="114"/>
      <c r="AF13" s="114"/>
      <c r="AG13" s="114"/>
      <c r="AH13" s="114"/>
    </row>
    <row r="14" spans="1:34" ht="17.100000000000001" customHeight="1" x14ac:dyDescent="0.5">
      <c r="A14" s="321"/>
      <c r="B14" s="315"/>
      <c r="C14" s="322"/>
      <c r="D14" s="301"/>
      <c r="E14" s="323"/>
      <c r="F14" s="179"/>
      <c r="G14" s="181" t="s">
        <v>188</v>
      </c>
      <c r="H14" s="182" t="s">
        <v>189</v>
      </c>
      <c r="I14" s="182" t="s">
        <v>190</v>
      </c>
      <c r="J14" s="183" t="s">
        <v>191</v>
      </c>
      <c r="K14" s="182" t="s">
        <v>192</v>
      </c>
      <c r="L14" s="182" t="s">
        <v>193</v>
      </c>
      <c r="M14" s="183" t="s">
        <v>194</v>
      </c>
      <c r="N14" s="182" t="s">
        <v>195</v>
      </c>
      <c r="O14" s="182" t="s">
        <v>196</v>
      </c>
      <c r="P14" s="182" t="s">
        <v>197</v>
      </c>
      <c r="Q14" s="182" t="s">
        <v>198</v>
      </c>
      <c r="R14" s="182" t="s">
        <v>199</v>
      </c>
      <c r="S14" s="182" t="s">
        <v>200</v>
      </c>
      <c r="T14" s="184" t="s">
        <v>179</v>
      </c>
      <c r="U14" s="185"/>
      <c r="V14" s="186"/>
      <c r="W14" s="204"/>
      <c r="X14" s="118"/>
      <c r="Y14" s="114"/>
      <c r="Z14" s="114"/>
      <c r="AA14" s="114"/>
      <c r="AB14" s="114"/>
      <c r="AC14" s="114"/>
      <c r="AD14" s="114"/>
      <c r="AE14" s="114"/>
      <c r="AF14" s="114"/>
      <c r="AG14" s="114"/>
      <c r="AH14" s="114"/>
    </row>
    <row r="15" spans="1:34" ht="17.100000000000001" customHeight="1" x14ac:dyDescent="0.5">
      <c r="A15" s="324"/>
      <c r="B15" s="301"/>
      <c r="C15" s="301"/>
      <c r="D15" s="301"/>
      <c r="E15" s="325"/>
      <c r="F15" s="187"/>
      <c r="G15" s="178">
        <v>15</v>
      </c>
      <c r="H15" s="188">
        <f>Analysis!$B$68</f>
        <v>111</v>
      </c>
      <c r="I15" s="188">
        <f>Analysis!$B$69</f>
        <v>111</v>
      </c>
      <c r="J15" s="188">
        <f>Analysis!$B$70</f>
        <v>130</v>
      </c>
      <c r="K15" s="188">
        <f>Analysis!$B$71</f>
        <v>126</v>
      </c>
      <c r="L15" s="188">
        <f>Analysis!$B$72</f>
        <v>124</v>
      </c>
      <c r="M15" s="188">
        <f>Analysis!$B$73</f>
        <v>136</v>
      </c>
      <c r="N15" s="188">
        <f>Analysis!$B$74</f>
        <v>133</v>
      </c>
      <c r="O15" s="188">
        <f>Analysis!$B$75</f>
        <v>124</v>
      </c>
      <c r="P15" s="188">
        <f>Analysis!$B$76</f>
        <v>122</v>
      </c>
      <c r="Q15" s="188">
        <f>Analysis!$B$77</f>
        <v>130</v>
      </c>
      <c r="R15" s="188">
        <f>Analysis!$B$78</f>
        <v>123</v>
      </c>
      <c r="S15" s="188">
        <f>Analysis!$B$79</f>
        <v>114</v>
      </c>
      <c r="T15" s="189">
        <f t="shared" ref="T15:T17" si="3">SUM(H15:S15)</f>
        <v>1484</v>
      </c>
      <c r="U15" s="185"/>
      <c r="V15" s="186"/>
      <c r="W15" s="204"/>
      <c r="X15" s="118"/>
      <c r="Y15" s="114"/>
      <c r="Z15" s="114"/>
      <c r="AA15" s="114"/>
      <c r="AB15" s="114"/>
      <c r="AC15" s="114"/>
      <c r="AD15" s="114"/>
      <c r="AE15" s="114"/>
      <c r="AF15" s="114"/>
      <c r="AG15" s="114"/>
      <c r="AH15" s="114"/>
    </row>
    <row r="16" spans="1:34" ht="17.100000000000001" customHeight="1" x14ac:dyDescent="0.5">
      <c r="A16" s="326"/>
      <c r="B16" s="301"/>
      <c r="C16" s="301"/>
      <c r="D16" s="301"/>
      <c r="E16" s="327"/>
      <c r="F16" s="187"/>
      <c r="G16" s="180">
        <v>30</v>
      </c>
      <c r="H16" s="188">
        <f>Analysis!$C$68</f>
        <v>224</v>
      </c>
      <c r="I16" s="188">
        <f>Analysis!$C$69</f>
        <v>219</v>
      </c>
      <c r="J16" s="188">
        <f>Analysis!$C$70</f>
        <v>270</v>
      </c>
      <c r="K16" s="188">
        <f>Analysis!$C$71</f>
        <v>259</v>
      </c>
      <c r="L16" s="188">
        <f>Analysis!$C$72</f>
        <v>267</v>
      </c>
      <c r="M16" s="188">
        <f>Analysis!$C$73</f>
        <v>261</v>
      </c>
      <c r="N16" s="188">
        <f>Analysis!$C$74</f>
        <v>261</v>
      </c>
      <c r="O16" s="188">
        <f>Analysis!$C$75</f>
        <v>246</v>
      </c>
      <c r="P16" s="188">
        <f>Analysis!$C$76</f>
        <v>256</v>
      </c>
      <c r="Q16" s="188">
        <f>Analysis!$C$77</f>
        <v>267</v>
      </c>
      <c r="R16" s="188">
        <f>Analysis!$C$78</f>
        <v>250</v>
      </c>
      <c r="S16" s="188">
        <f>Analysis!$C$79</f>
        <v>206</v>
      </c>
      <c r="T16" s="189">
        <f t="shared" si="3"/>
        <v>2986</v>
      </c>
      <c r="U16" s="185"/>
      <c r="V16" s="186"/>
      <c r="W16" s="204"/>
      <c r="X16" s="118"/>
      <c r="Y16" s="114"/>
      <c r="Z16" s="114"/>
      <c r="AA16" s="114"/>
      <c r="AB16" s="114"/>
      <c r="AC16" s="114"/>
      <c r="AD16" s="114"/>
      <c r="AE16" s="114"/>
      <c r="AF16" s="114"/>
      <c r="AG16" s="114"/>
      <c r="AH16" s="114"/>
    </row>
    <row r="17" spans="1:34" ht="17.100000000000001" customHeight="1" thickBot="1" x14ac:dyDescent="0.55000000000000004">
      <c r="A17" s="328"/>
      <c r="B17" s="329"/>
      <c r="C17" s="301"/>
      <c r="D17" s="329"/>
      <c r="E17" s="330"/>
      <c r="F17" s="386"/>
      <c r="G17" s="180">
        <v>45</v>
      </c>
      <c r="H17" s="188">
        <f>Analysis!$D$68</f>
        <v>338</v>
      </c>
      <c r="I17" s="188">
        <f>Analysis!$D$69</f>
        <v>319</v>
      </c>
      <c r="J17" s="188">
        <f>Analysis!$D$70</f>
        <v>419</v>
      </c>
      <c r="K17" s="188">
        <f>Analysis!$D$71</f>
        <v>387</v>
      </c>
      <c r="L17" s="188">
        <f>Analysis!$D$72</f>
        <v>386</v>
      </c>
      <c r="M17" s="188">
        <f>Analysis!$D$73</f>
        <v>386</v>
      </c>
      <c r="N17" s="188">
        <f>Analysis!$D$74</f>
        <v>387</v>
      </c>
      <c r="O17" s="188">
        <f>Analysis!$D$75</f>
        <v>377</v>
      </c>
      <c r="P17" s="188">
        <f>Analysis!$D$76</f>
        <v>392</v>
      </c>
      <c r="Q17" s="188">
        <f>Analysis!$D$77</f>
        <v>413</v>
      </c>
      <c r="R17" s="188">
        <f>Analysis!$D$78</f>
        <v>371</v>
      </c>
      <c r="S17" s="188">
        <f>Analysis!$D$79</f>
        <v>308</v>
      </c>
      <c r="T17" s="189">
        <f t="shared" si="3"/>
        <v>4483</v>
      </c>
      <c r="U17" s="185"/>
      <c r="V17" s="186"/>
      <c r="W17" s="204"/>
      <c r="X17" s="118"/>
      <c r="Y17" s="114"/>
      <c r="Z17" s="114"/>
      <c r="AA17" s="114"/>
      <c r="AB17" s="114"/>
      <c r="AC17" s="114"/>
      <c r="AD17" s="114"/>
      <c r="AE17" s="114"/>
      <c r="AF17" s="114"/>
      <c r="AG17" s="114"/>
      <c r="AH17" s="114"/>
    </row>
    <row r="18" spans="1:34" ht="17.100000000000001" customHeight="1" x14ac:dyDescent="0.35">
      <c r="A18" s="322"/>
      <c r="B18" s="423" t="str">
        <f>Header!B11</f>
        <v>ถนนกำแพงเพชร 6</v>
      </c>
      <c r="C18" s="305"/>
      <c r="D18" s="435" t="str">
        <f>Header!B14</f>
        <v>ถนนแจ้งวัฒนะ</v>
      </c>
      <c r="E18" s="436"/>
      <c r="F18" s="250" t="s">
        <v>201</v>
      </c>
      <c r="G18" s="251"/>
      <c r="H18" s="175">
        <f>Queue!$AL$2</f>
        <v>73.125</v>
      </c>
      <c r="I18" s="175">
        <f>Queue!$AL$3</f>
        <v>86.666666666666671</v>
      </c>
      <c r="J18" s="175">
        <f>Queue!$AL$4</f>
        <v>56</v>
      </c>
      <c r="K18" s="175">
        <f>Queue!$AL$5</f>
        <v>50</v>
      </c>
      <c r="L18" s="175">
        <f>Queue!$AL$6</f>
        <v>80</v>
      </c>
      <c r="M18" s="175">
        <f>Queue!$AL$7</f>
        <v>85.333333333333329</v>
      </c>
      <c r="N18" s="175">
        <f>Queue!$AL$8</f>
        <v>80</v>
      </c>
      <c r="O18" s="175">
        <f>Queue!$AL$9</f>
        <v>88.461538461538467</v>
      </c>
      <c r="P18" s="175">
        <f>Queue!$AL$10</f>
        <v>97.5</v>
      </c>
      <c r="Q18" s="175">
        <f>Queue!$AL$11</f>
        <v>100</v>
      </c>
      <c r="R18" s="175">
        <f>Queue!$AL$12</f>
        <v>81.666666666666671</v>
      </c>
      <c r="S18" s="175">
        <f>Queue!$AL$13</f>
        <v>71</v>
      </c>
      <c r="T18" s="185"/>
      <c r="U18" s="185"/>
      <c r="V18" s="185"/>
      <c r="W18" s="204"/>
      <c r="X18" s="118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</row>
    <row r="19" spans="1:34" ht="17.100000000000001" customHeight="1" x14ac:dyDescent="0.5">
      <c r="A19" s="301"/>
      <c r="B19" s="424"/>
      <c r="C19" s="304"/>
      <c r="D19" s="301"/>
      <c r="E19" s="331"/>
      <c r="F19" s="416" t="s">
        <v>155</v>
      </c>
      <c r="G19" s="176">
        <v>5</v>
      </c>
      <c r="H19" s="91">
        <f>VALUE(Analysis!$AJ$53)</f>
        <v>249</v>
      </c>
      <c r="I19" s="91">
        <f>VALUE(Analysis!$AJ$54)</f>
        <v>223</v>
      </c>
      <c r="J19" s="91">
        <f>VALUE(Analysis!$AJ$55)</f>
        <v>202</v>
      </c>
      <c r="K19" s="91">
        <f>VALUE(Analysis!$AJ$56)</f>
        <v>287</v>
      </c>
      <c r="L19" s="91">
        <f>VALUE(Analysis!$AJ$57)</f>
        <v>329</v>
      </c>
      <c r="M19" s="91">
        <f>VALUE(Analysis!$AJ$58)</f>
        <v>342</v>
      </c>
      <c r="N19" s="91">
        <f>VALUE(Analysis!$AJ$59)</f>
        <v>270</v>
      </c>
      <c r="O19" s="91">
        <f>VALUE(Analysis!$AJ$60)</f>
        <v>247</v>
      </c>
      <c r="P19" s="91">
        <f>VALUE(Analysis!$AJ$61)</f>
        <v>271</v>
      </c>
      <c r="Q19" s="91">
        <f>VALUE(Analysis!$AJ$62)</f>
        <v>324</v>
      </c>
      <c r="R19" s="91">
        <f>VALUE(Analysis!$AJ$63)</f>
        <v>304</v>
      </c>
      <c r="S19" s="91">
        <f>VALUE(Analysis!$AJ$64)</f>
        <v>282</v>
      </c>
      <c r="T19" s="248">
        <f>SUM($H19:$S19)</f>
        <v>3330</v>
      </c>
      <c r="U19" s="253">
        <f>_xlfn.MINIFS($H19:$S19,$H19:$S19,"&gt;0")</f>
        <v>202</v>
      </c>
      <c r="V19" s="253">
        <f>_xlfn.MAXIFS($H19:$S19,$H19:$S19,"&gt;0")</f>
        <v>342</v>
      </c>
      <c r="W19" s="247">
        <f>VALUE(Analysis!$AJ$95)</f>
        <v>279.03833333333336</v>
      </c>
      <c r="X19" s="118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</row>
    <row r="20" spans="1:34" ht="17.100000000000001" customHeight="1" x14ac:dyDescent="0.35">
      <c r="A20" s="322"/>
      <c r="B20" s="424"/>
      <c r="C20" s="305"/>
      <c r="D20" s="322"/>
      <c r="E20" s="332"/>
      <c r="F20" s="417"/>
      <c r="G20" s="176">
        <v>6</v>
      </c>
      <c r="H20" s="91">
        <f>VALUE(Analysis!$AQ$53)</f>
        <v>872</v>
      </c>
      <c r="I20" s="91">
        <f>VALUE(Analysis!$AQ$54)</f>
        <v>822</v>
      </c>
      <c r="J20" s="91">
        <f>VALUE(Analysis!$AQ$55)</f>
        <v>809</v>
      </c>
      <c r="K20" s="91">
        <f>VALUE(Analysis!$AQ$56)</f>
        <v>738</v>
      </c>
      <c r="L20" s="91">
        <f>VALUE(Analysis!$AQ$57)</f>
        <v>734</v>
      </c>
      <c r="M20" s="91">
        <f>VALUE(Analysis!$AQ$58)</f>
        <v>717</v>
      </c>
      <c r="N20" s="91">
        <f>VALUE(Analysis!$AQ$59)</f>
        <v>822</v>
      </c>
      <c r="O20" s="91">
        <f>VALUE(Analysis!$AQ$60)</f>
        <v>853</v>
      </c>
      <c r="P20" s="91">
        <f>VALUE(Analysis!$AQ$61)</f>
        <v>820</v>
      </c>
      <c r="Q20" s="91">
        <f>VALUE(Analysis!$AQ$62)</f>
        <v>835</v>
      </c>
      <c r="R20" s="91">
        <f>VALUE(Analysis!$AQ$63)</f>
        <v>809</v>
      </c>
      <c r="S20" s="91">
        <f>VALUE(Analysis!$AQ$64)</f>
        <v>706</v>
      </c>
      <c r="T20" s="248">
        <f t="shared" ref="T20:T26" si="4">SUM($H20:$S20)</f>
        <v>9537</v>
      </c>
      <c r="U20" s="253">
        <f t="shared" ref="U20:U27" si="5">_xlfn.MINIFS($H20:$S20,$H20:$S20,"&gt;0")</f>
        <v>706</v>
      </c>
      <c r="V20" s="253">
        <f t="shared" ref="V20:V27" si="6">_xlfn.MAXIFS($H20:$S20,$H20:$S20,"&gt;0")</f>
        <v>872</v>
      </c>
      <c r="W20" s="247">
        <f>VALUE(Analysis!$AQ$95)</f>
        <v>823.78166666666675</v>
      </c>
      <c r="X20" s="118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</row>
    <row r="21" spans="1:34" ht="17.100000000000001" customHeight="1" x14ac:dyDescent="0.35">
      <c r="A21" s="322"/>
      <c r="B21" s="424"/>
      <c r="C21" s="333"/>
      <c r="D21" s="322"/>
      <c r="E21" s="332"/>
      <c r="F21" s="417"/>
      <c r="G21" s="176">
        <v>7</v>
      </c>
      <c r="H21" s="91">
        <f>VALUE(Analysis!$AX$53)</f>
        <v>139</v>
      </c>
      <c r="I21" s="91">
        <f>VALUE(Analysis!$AX$54)</f>
        <v>171</v>
      </c>
      <c r="J21" s="91">
        <f>VALUE(Analysis!$AX$55)</f>
        <v>185</v>
      </c>
      <c r="K21" s="91">
        <f>VALUE(Analysis!$AX$56)</f>
        <v>121</v>
      </c>
      <c r="L21" s="91">
        <f>VALUE(Analysis!$AX$57)</f>
        <v>104</v>
      </c>
      <c r="M21" s="91">
        <f>VALUE(Analysis!$AX$58)</f>
        <v>98</v>
      </c>
      <c r="N21" s="91">
        <f>VALUE(Analysis!$AX$59)</f>
        <v>96</v>
      </c>
      <c r="O21" s="91">
        <f>VALUE(Analysis!$AX$60)</f>
        <v>110</v>
      </c>
      <c r="P21" s="91">
        <f>VALUE(Analysis!$AX$61)</f>
        <v>138</v>
      </c>
      <c r="Q21" s="91">
        <f>VALUE(Analysis!$AX$62)</f>
        <v>197</v>
      </c>
      <c r="R21" s="91">
        <f>VALUE(Analysis!$AX$63)</f>
        <v>196</v>
      </c>
      <c r="S21" s="91">
        <f>VALUE(Analysis!$AX$64)</f>
        <v>216</v>
      </c>
      <c r="T21" s="248">
        <f t="shared" si="4"/>
        <v>1771</v>
      </c>
      <c r="U21" s="253">
        <f t="shared" si="5"/>
        <v>96</v>
      </c>
      <c r="V21" s="253">
        <f t="shared" si="6"/>
        <v>216</v>
      </c>
      <c r="W21" s="247">
        <f>VALUE(Analysis!$AX$95)</f>
        <v>149.78666666666672</v>
      </c>
      <c r="X21" s="118"/>
      <c r="Y21" s="114"/>
      <c r="Z21" s="114"/>
      <c r="AA21" s="114"/>
      <c r="AB21" s="114"/>
      <c r="AC21" s="114"/>
      <c r="AD21" s="114"/>
      <c r="AE21" s="114"/>
      <c r="AF21" s="114"/>
      <c r="AG21" s="114"/>
      <c r="AH21" s="114"/>
    </row>
    <row r="22" spans="1:34" ht="17.100000000000001" customHeight="1" x14ac:dyDescent="0.45">
      <c r="A22" s="322"/>
      <c r="B22" s="424"/>
      <c r="C22" s="334"/>
      <c r="D22" s="322"/>
      <c r="E22" s="335"/>
      <c r="F22" s="417"/>
      <c r="G22" s="176">
        <v>8</v>
      </c>
      <c r="H22" s="91">
        <f>VALUE(Analysis!$BE$53)</f>
        <v>295</v>
      </c>
      <c r="I22" s="91">
        <f>VALUE(Analysis!$BE$54)</f>
        <v>289</v>
      </c>
      <c r="J22" s="91">
        <f>VALUE(Analysis!$BE$55)</f>
        <v>273</v>
      </c>
      <c r="K22" s="91">
        <f>VALUE(Analysis!$BE$56)</f>
        <v>253</v>
      </c>
      <c r="L22" s="91">
        <f>VALUE(Analysis!$BE$57)</f>
        <v>227</v>
      </c>
      <c r="M22" s="91">
        <f>VALUE(Analysis!$BE$58)</f>
        <v>251</v>
      </c>
      <c r="N22" s="91">
        <f>VALUE(Analysis!$BE$59)</f>
        <v>270</v>
      </c>
      <c r="O22" s="91">
        <f>VALUE(Analysis!$BE$60)</f>
        <v>224</v>
      </c>
      <c r="P22" s="91">
        <f>VALUE(Analysis!$BE$61)</f>
        <v>295</v>
      </c>
      <c r="Q22" s="91">
        <f>VALUE(Analysis!$BE$62)</f>
        <v>311</v>
      </c>
      <c r="R22" s="91">
        <f>VALUE(Analysis!$BE$63)</f>
        <v>282</v>
      </c>
      <c r="S22" s="91">
        <f>VALUE(Analysis!$BE$64)</f>
        <v>265</v>
      </c>
      <c r="T22" s="189">
        <f t="shared" si="4"/>
        <v>3235</v>
      </c>
      <c r="U22" s="340">
        <f t="shared" si="5"/>
        <v>224</v>
      </c>
      <c r="V22" s="340">
        <f t="shared" si="6"/>
        <v>311</v>
      </c>
      <c r="W22" s="341">
        <f>VALUE(Analysis!$BE$95)</f>
        <v>276.93416666666673</v>
      </c>
      <c r="X22" s="118"/>
      <c r="Y22" s="114"/>
      <c r="Z22" s="114"/>
      <c r="AA22" s="114"/>
      <c r="AB22" s="114"/>
      <c r="AC22" s="114"/>
      <c r="AD22" s="114"/>
      <c r="AE22" s="114"/>
      <c r="AF22" s="114"/>
      <c r="AG22" s="114"/>
      <c r="AH22" s="114"/>
    </row>
    <row r="23" spans="1:34" ht="17.100000000000001" hidden="1" customHeight="1" x14ac:dyDescent="0.5">
      <c r="A23" s="322"/>
      <c r="B23" s="424"/>
      <c r="C23" s="336" t="s">
        <v>269</v>
      </c>
      <c r="D23" s="322"/>
      <c r="E23" s="332"/>
      <c r="F23" s="417"/>
      <c r="G23" s="176" t="s">
        <v>202</v>
      </c>
      <c r="H23" s="91">
        <f>VALUE(Analysis!$ER$53)</f>
        <v>0</v>
      </c>
      <c r="I23" s="91">
        <f>VALUE(Analysis!$ER$54)</f>
        <v>0</v>
      </c>
      <c r="J23" s="91">
        <f>VALUE(Analysis!$ER$55)</f>
        <v>0</v>
      </c>
      <c r="K23" s="91">
        <f>VALUE(Analysis!$ER$56)</f>
        <v>0</v>
      </c>
      <c r="L23" s="91">
        <f>VALUE(Analysis!$ER$57)</f>
        <v>0</v>
      </c>
      <c r="M23" s="91">
        <f>VALUE(Analysis!$ER$58)</f>
        <v>0</v>
      </c>
      <c r="N23" s="91">
        <f>VALUE(Analysis!$ER$59)</f>
        <v>0</v>
      </c>
      <c r="O23" s="91">
        <f>VALUE(Analysis!$ER$60)</f>
        <v>0</v>
      </c>
      <c r="P23" s="91">
        <f>VALUE(Analysis!$ER$61)</f>
        <v>0</v>
      </c>
      <c r="Q23" s="91">
        <f>VALUE(Analysis!$ER$62)</f>
        <v>0</v>
      </c>
      <c r="R23" s="91">
        <f>VALUE(Analysis!$ER$63)</f>
        <v>0</v>
      </c>
      <c r="S23" s="91">
        <f>VALUE(Analysis!$ER$64)</f>
        <v>0</v>
      </c>
      <c r="T23" s="248">
        <f t="shared" si="4"/>
        <v>0</v>
      </c>
      <c r="U23" s="253">
        <f t="shared" si="5"/>
        <v>0</v>
      </c>
      <c r="V23" s="253">
        <f t="shared" si="6"/>
        <v>0</v>
      </c>
      <c r="W23" s="247">
        <f>VALUE(Analysis!$ER$95)</f>
        <v>0</v>
      </c>
      <c r="X23" s="118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</row>
    <row r="24" spans="1:34" ht="17.100000000000001" hidden="1" customHeight="1" x14ac:dyDescent="0.6">
      <c r="A24" s="119"/>
      <c r="B24" s="424"/>
      <c r="C24" s="120"/>
      <c r="D24" s="122"/>
      <c r="E24" s="119"/>
      <c r="F24" s="417"/>
      <c r="G24" s="176" t="s">
        <v>203</v>
      </c>
      <c r="H24" s="91">
        <f>VALUE(Analysis!$EY$53)</f>
        <v>0</v>
      </c>
      <c r="I24" s="91">
        <f>VALUE(Analysis!$EY$54)</f>
        <v>0</v>
      </c>
      <c r="J24" s="91">
        <f>VALUE(Analysis!$EY$55)</f>
        <v>0</v>
      </c>
      <c r="K24" s="91">
        <f>VALUE(Analysis!$EY$56)</f>
        <v>0</v>
      </c>
      <c r="L24" s="91">
        <f>VALUE(Analysis!$EY$57)</f>
        <v>0</v>
      </c>
      <c r="M24" s="91">
        <f>VALUE(Analysis!$EY$58)</f>
        <v>0</v>
      </c>
      <c r="N24" s="91">
        <f>VALUE(Analysis!$EY$59)</f>
        <v>0</v>
      </c>
      <c r="O24" s="91">
        <f>VALUE(Analysis!$EY$60)</f>
        <v>0</v>
      </c>
      <c r="P24" s="91">
        <f>VALUE(Analysis!$EY$61)</f>
        <v>0</v>
      </c>
      <c r="Q24" s="91">
        <f>VALUE(Analysis!$EY$62)</f>
        <v>0</v>
      </c>
      <c r="R24" s="91">
        <f>VALUE(Analysis!$EY$63)</f>
        <v>0</v>
      </c>
      <c r="S24" s="91">
        <f>VALUE(Analysis!$EY$64)</f>
        <v>0</v>
      </c>
      <c r="T24" s="248">
        <f t="shared" si="4"/>
        <v>0</v>
      </c>
      <c r="U24" s="253">
        <f t="shared" si="5"/>
        <v>0</v>
      </c>
      <c r="V24" s="253">
        <f t="shared" si="6"/>
        <v>0</v>
      </c>
      <c r="W24" s="247">
        <f>VALUE(Analysis!$EY$95)</f>
        <v>0</v>
      </c>
      <c r="X24" s="118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</row>
    <row r="25" spans="1:34" ht="17.100000000000001" hidden="1" customHeight="1" x14ac:dyDescent="0.6">
      <c r="A25" s="119"/>
      <c r="B25" s="424"/>
      <c r="C25" s="120"/>
      <c r="D25" s="119"/>
      <c r="E25" s="119"/>
      <c r="F25" s="419"/>
      <c r="G25" s="176" t="s">
        <v>204</v>
      </c>
      <c r="H25" s="91">
        <f>VALUE(Analysis!$FF$53)</f>
        <v>0</v>
      </c>
      <c r="I25" s="91">
        <f>VALUE(Analysis!$FF$54)</f>
        <v>0</v>
      </c>
      <c r="J25" s="91">
        <f>VALUE(Analysis!$FF$55)</f>
        <v>0</v>
      </c>
      <c r="K25" s="91">
        <f>VALUE(Analysis!$FF$56)</f>
        <v>0</v>
      </c>
      <c r="L25" s="91">
        <f>VALUE(Analysis!$FF$57)</f>
        <v>0</v>
      </c>
      <c r="M25" s="91">
        <f>VALUE(Analysis!$FF$58)</f>
        <v>0</v>
      </c>
      <c r="N25" s="91">
        <f>VALUE(Analysis!$FF$59)</f>
        <v>0</v>
      </c>
      <c r="O25" s="91">
        <f>VALUE(Analysis!$FF$60)</f>
        <v>0</v>
      </c>
      <c r="P25" s="91">
        <f>VALUE(Analysis!$FF$61)</f>
        <v>0</v>
      </c>
      <c r="Q25" s="91">
        <f>VALUE(Analysis!$FF$62)</f>
        <v>0</v>
      </c>
      <c r="R25" s="91">
        <f>VALUE(Analysis!$FF$63)</f>
        <v>0</v>
      </c>
      <c r="S25" s="91">
        <f>VALUE(Analysis!$FF$64)</f>
        <v>0</v>
      </c>
      <c r="T25" s="248">
        <f t="shared" si="4"/>
        <v>0</v>
      </c>
      <c r="U25" s="253">
        <f t="shared" si="5"/>
        <v>0</v>
      </c>
      <c r="V25" s="253">
        <f t="shared" si="6"/>
        <v>0</v>
      </c>
      <c r="W25" s="247">
        <f>VALUE(Analysis!$FF$95)</f>
        <v>0</v>
      </c>
      <c r="X25" s="118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</row>
    <row r="26" spans="1:34" ht="17.100000000000001" customHeight="1" thickBot="1" x14ac:dyDescent="0.65">
      <c r="A26" s="337"/>
      <c r="B26" s="425"/>
      <c r="C26" s="338" t="s">
        <v>106</v>
      </c>
      <c r="D26" s="337"/>
      <c r="E26" s="339"/>
      <c r="F26" s="387" t="s">
        <v>186</v>
      </c>
      <c r="G26" s="178" t="s">
        <v>142</v>
      </c>
      <c r="H26" s="213">
        <f>Analysis!$AH68</f>
        <v>1555</v>
      </c>
      <c r="I26" s="213">
        <f>Analysis!$AH69</f>
        <v>1505</v>
      </c>
      <c r="J26" s="213">
        <f>Analysis!$AH70</f>
        <v>1469</v>
      </c>
      <c r="K26" s="213">
        <f>Analysis!$AH71</f>
        <v>1399</v>
      </c>
      <c r="L26" s="213">
        <f>Analysis!$AH72</f>
        <v>1394</v>
      </c>
      <c r="M26" s="213">
        <f>Analysis!$AH73</f>
        <v>1408</v>
      </c>
      <c r="N26" s="213">
        <f>Analysis!$AH74</f>
        <v>1458</v>
      </c>
      <c r="O26" s="213">
        <f>Analysis!$AH75</f>
        <v>1434</v>
      </c>
      <c r="P26" s="213">
        <f>Analysis!$AH76</f>
        <v>1524</v>
      </c>
      <c r="Q26" s="213">
        <f>Analysis!$AH77</f>
        <v>1667</v>
      </c>
      <c r="R26" s="213">
        <f>Analysis!$AH78</f>
        <v>1591</v>
      </c>
      <c r="S26" s="213">
        <f>Analysis!$AH79</f>
        <v>1469</v>
      </c>
      <c r="T26" s="249">
        <f t="shared" si="4"/>
        <v>17873</v>
      </c>
      <c r="U26" s="253">
        <f t="shared" si="5"/>
        <v>1394</v>
      </c>
      <c r="V26" s="253">
        <f t="shared" si="6"/>
        <v>1667</v>
      </c>
      <c r="W26" s="202"/>
      <c r="X26" s="118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</row>
    <row r="27" spans="1:34" ht="17.100000000000001" customHeight="1" x14ac:dyDescent="0.6">
      <c r="A27" s="114"/>
      <c r="B27" s="114"/>
      <c r="C27" s="114"/>
      <c r="D27" s="114"/>
      <c r="E27" s="114"/>
      <c r="F27" s="190" t="s">
        <v>187</v>
      </c>
      <c r="G27" s="178" t="s">
        <v>142</v>
      </c>
      <c r="H27" s="213">
        <f>Analysis!$AI68</f>
        <v>1460</v>
      </c>
      <c r="I27" s="213">
        <f>Analysis!$AI69</f>
        <v>1449</v>
      </c>
      <c r="J27" s="213">
        <f>Analysis!$AI70</f>
        <v>1274</v>
      </c>
      <c r="K27" s="213">
        <f>Analysis!$AI71</f>
        <v>1223</v>
      </c>
      <c r="L27" s="213">
        <f>Analysis!$AI72</f>
        <v>1155</v>
      </c>
      <c r="M27" s="213">
        <f>Analysis!$AI73</f>
        <v>1164</v>
      </c>
      <c r="N27" s="213">
        <f>Analysis!$AI74</f>
        <v>1223</v>
      </c>
      <c r="O27" s="213">
        <f>Analysis!$AI75</f>
        <v>1239</v>
      </c>
      <c r="P27" s="213">
        <f>Analysis!$AI76</f>
        <v>1254</v>
      </c>
      <c r="Q27" s="213">
        <f>Analysis!$AI77</f>
        <v>1463</v>
      </c>
      <c r="R27" s="213">
        <f>Analysis!$AI78</f>
        <v>1620</v>
      </c>
      <c r="S27" s="213">
        <f>Analysis!$AI79</f>
        <v>1544</v>
      </c>
      <c r="T27" s="249">
        <f>SUM($H27:$S27)</f>
        <v>16068</v>
      </c>
      <c r="U27" s="253">
        <f t="shared" si="5"/>
        <v>1155</v>
      </c>
      <c r="V27" s="253">
        <f t="shared" si="6"/>
        <v>1620</v>
      </c>
      <c r="W27" s="203"/>
      <c r="X27" s="118"/>
      <c r="Y27" s="114"/>
      <c r="Z27" s="114"/>
      <c r="AA27" s="114"/>
      <c r="AB27" s="114"/>
      <c r="AC27" s="114"/>
      <c r="AD27" s="114"/>
      <c r="AE27" s="114"/>
      <c r="AF27" s="114"/>
      <c r="AG27" s="114"/>
      <c r="AH27" s="114"/>
    </row>
    <row r="28" spans="1:34" ht="17.100000000000001" customHeight="1" x14ac:dyDescent="0.6">
      <c r="A28" s="114"/>
      <c r="B28" s="114"/>
      <c r="C28" s="114"/>
      <c r="D28" s="114"/>
      <c r="E28" s="114"/>
      <c r="F28" s="177"/>
      <c r="G28" s="181" t="s">
        <v>188</v>
      </c>
      <c r="H28" s="182" t="s">
        <v>189</v>
      </c>
      <c r="I28" s="182" t="s">
        <v>190</v>
      </c>
      <c r="J28" s="183" t="s">
        <v>191</v>
      </c>
      <c r="K28" s="182" t="s">
        <v>192</v>
      </c>
      <c r="L28" s="182" t="s">
        <v>193</v>
      </c>
      <c r="M28" s="183" t="s">
        <v>194</v>
      </c>
      <c r="N28" s="182" t="s">
        <v>195</v>
      </c>
      <c r="O28" s="182" t="s">
        <v>196</v>
      </c>
      <c r="P28" s="182" t="s">
        <v>197</v>
      </c>
      <c r="Q28" s="182" t="s">
        <v>198</v>
      </c>
      <c r="R28" s="182" t="s">
        <v>199</v>
      </c>
      <c r="S28" s="182" t="s">
        <v>200</v>
      </c>
      <c r="T28" s="184" t="s">
        <v>179</v>
      </c>
      <c r="U28" s="185"/>
      <c r="V28" s="186"/>
      <c r="W28" s="204"/>
      <c r="X28" s="118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</row>
    <row r="29" spans="1:34" ht="17.100000000000001" customHeight="1" x14ac:dyDescent="0.6">
      <c r="A29" s="114"/>
      <c r="B29" s="114"/>
      <c r="C29" s="114"/>
      <c r="D29" s="114"/>
      <c r="E29" s="114"/>
      <c r="F29" s="187"/>
      <c r="G29" s="178">
        <v>15</v>
      </c>
      <c r="H29" s="188">
        <f>Analysis!$AD$68</f>
        <v>405</v>
      </c>
      <c r="I29" s="188">
        <f>Analysis!$AD$69</f>
        <v>389</v>
      </c>
      <c r="J29" s="188">
        <f>Analysis!$AD$70</f>
        <v>381</v>
      </c>
      <c r="K29" s="188">
        <f>Analysis!$AD$71</f>
        <v>333</v>
      </c>
      <c r="L29" s="188">
        <f>Analysis!$AD$72</f>
        <v>338</v>
      </c>
      <c r="M29" s="188">
        <f>Analysis!$AD$73</f>
        <v>366</v>
      </c>
      <c r="N29" s="188">
        <f>Analysis!$AD$74</f>
        <v>350</v>
      </c>
      <c r="O29" s="188">
        <f>Analysis!$AD$75</f>
        <v>358</v>
      </c>
      <c r="P29" s="188">
        <f>Analysis!$AD$76</f>
        <v>367</v>
      </c>
      <c r="Q29" s="188">
        <f>Analysis!$AD$77</f>
        <v>412</v>
      </c>
      <c r="R29" s="188">
        <f>Analysis!$AD$78</f>
        <v>393</v>
      </c>
      <c r="S29" s="188">
        <f>Analysis!$AD$79</f>
        <v>385</v>
      </c>
      <c r="T29" s="191">
        <f t="shared" ref="T29:T31" si="7">SUM(H29:S29)</f>
        <v>4477</v>
      </c>
      <c r="U29" s="185"/>
      <c r="V29" s="186"/>
      <c r="W29" s="204"/>
      <c r="X29" s="118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</row>
    <row r="30" spans="1:34" ht="17.100000000000001" customHeight="1" x14ac:dyDescent="0.6">
      <c r="A30" s="114"/>
      <c r="B30" s="114"/>
      <c r="C30" s="114"/>
      <c r="D30" s="114"/>
      <c r="E30" s="114"/>
      <c r="F30" s="187"/>
      <c r="G30" s="180">
        <v>30</v>
      </c>
      <c r="H30" s="188">
        <f>Analysis!$AE$68</f>
        <v>784</v>
      </c>
      <c r="I30" s="188">
        <f>Analysis!$AE$69</f>
        <v>757</v>
      </c>
      <c r="J30" s="188">
        <f>Analysis!$AE$70</f>
        <v>739</v>
      </c>
      <c r="K30" s="188">
        <f>Analysis!$AE$71</f>
        <v>673</v>
      </c>
      <c r="L30" s="188">
        <f>Analysis!$AE$72</f>
        <v>702</v>
      </c>
      <c r="M30" s="188">
        <f>Analysis!$AE$73</f>
        <v>704</v>
      </c>
      <c r="N30" s="188">
        <f>Analysis!$AE$74</f>
        <v>737</v>
      </c>
      <c r="O30" s="188">
        <f>Analysis!$AE$75</f>
        <v>714</v>
      </c>
      <c r="P30" s="188">
        <f>Analysis!$AE$76</f>
        <v>720</v>
      </c>
      <c r="Q30" s="188">
        <f>Analysis!$AE$77</f>
        <v>815</v>
      </c>
      <c r="R30" s="188">
        <f>Analysis!$AE$78</f>
        <v>811</v>
      </c>
      <c r="S30" s="188">
        <f>Analysis!$AE$79</f>
        <v>764</v>
      </c>
      <c r="T30" s="191">
        <f t="shared" si="7"/>
        <v>8920</v>
      </c>
      <c r="U30" s="185"/>
      <c r="V30" s="186"/>
      <c r="W30" s="204"/>
      <c r="X30" s="118"/>
      <c r="Y30" s="114"/>
      <c r="Z30" s="114"/>
      <c r="AA30" s="114"/>
      <c r="AB30" s="114"/>
      <c r="AC30" s="114"/>
      <c r="AD30" s="114"/>
      <c r="AE30" s="114"/>
      <c r="AF30" s="114"/>
      <c r="AG30" s="114"/>
      <c r="AH30" s="114"/>
    </row>
    <row r="31" spans="1:34" ht="17.100000000000001" customHeight="1" x14ac:dyDescent="0.6">
      <c r="A31" s="114"/>
      <c r="B31" s="114"/>
      <c r="C31" s="114"/>
      <c r="D31" s="114"/>
      <c r="E31" s="114"/>
      <c r="F31" s="386"/>
      <c r="G31" s="180">
        <v>45</v>
      </c>
      <c r="H31" s="188">
        <f>Analysis!$AF$68</f>
        <v>1179</v>
      </c>
      <c r="I31" s="188">
        <f>Analysis!$AF$69</f>
        <v>1128</v>
      </c>
      <c r="J31" s="188">
        <f>Analysis!$AF$70</f>
        <v>1122</v>
      </c>
      <c r="K31" s="188">
        <f>Analysis!$AF$71</f>
        <v>1025</v>
      </c>
      <c r="L31" s="188">
        <f>Analysis!$AF$72</f>
        <v>1057</v>
      </c>
      <c r="M31" s="188">
        <f>Analysis!$AF$73</f>
        <v>1052</v>
      </c>
      <c r="N31" s="188">
        <f>Analysis!$AF$74</f>
        <v>1085</v>
      </c>
      <c r="O31" s="188">
        <f>Analysis!$AF$75</f>
        <v>1065</v>
      </c>
      <c r="P31" s="188">
        <f>Analysis!$AF$76</f>
        <v>1137</v>
      </c>
      <c r="Q31" s="188">
        <f>Analysis!$AF$77</f>
        <v>1240</v>
      </c>
      <c r="R31" s="188">
        <f>Analysis!$AF$78</f>
        <v>1210</v>
      </c>
      <c r="S31" s="188">
        <f>Analysis!$AF$79</f>
        <v>1137</v>
      </c>
      <c r="T31" s="191">
        <f t="shared" si="7"/>
        <v>13437</v>
      </c>
      <c r="U31" s="185"/>
      <c r="V31" s="186"/>
      <c r="W31" s="204"/>
      <c r="X31" s="118"/>
      <c r="Y31" s="114"/>
      <c r="Z31" s="114"/>
      <c r="AA31" s="114"/>
      <c r="AB31" s="114"/>
      <c r="AC31" s="114"/>
      <c r="AD31" s="114"/>
      <c r="AE31" s="114"/>
      <c r="AF31" s="114"/>
      <c r="AG31" s="114"/>
      <c r="AH31" s="114"/>
    </row>
    <row r="32" spans="1:34" ht="17.100000000000001" customHeight="1" x14ac:dyDescent="0.6">
      <c r="A32" s="114"/>
      <c r="B32" s="114"/>
      <c r="C32" s="114"/>
      <c r="D32" s="114"/>
      <c r="E32" s="114"/>
      <c r="F32" s="250" t="s">
        <v>201</v>
      </c>
      <c r="G32" s="251"/>
      <c r="H32" s="175">
        <f>Queue!$AL$16</f>
        <v>113.75</v>
      </c>
      <c r="I32" s="175">
        <f>Queue!$AL$17</f>
        <v>200</v>
      </c>
      <c r="J32" s="175">
        <f>Queue!$AL$18</f>
        <v>144</v>
      </c>
      <c r="K32" s="175">
        <f>Queue!$AL$19</f>
        <v>105</v>
      </c>
      <c r="L32" s="175">
        <f>Queue!$AL$20</f>
        <v>110</v>
      </c>
      <c r="M32" s="175">
        <f>Queue!$AL$21</f>
        <v>130</v>
      </c>
      <c r="N32" s="175">
        <f>Queue!$AL$22</f>
        <v>120</v>
      </c>
      <c r="O32" s="175">
        <f>Queue!$AL$23</f>
        <v>122.30769230769231</v>
      </c>
      <c r="P32" s="175">
        <f>Queue!$AL$24</f>
        <v>133.75</v>
      </c>
      <c r="Q32" s="175">
        <f>Queue!$AL$25</f>
        <v>145.71428571428572</v>
      </c>
      <c r="R32" s="175">
        <f>Queue!$AL$26</f>
        <v>150</v>
      </c>
      <c r="S32" s="175">
        <f>Queue!$AL$27</f>
        <v>150</v>
      </c>
      <c r="T32" s="185"/>
      <c r="U32" s="185"/>
      <c r="V32" s="185"/>
      <c r="W32" s="204"/>
      <c r="X32" s="118"/>
      <c r="Y32" s="114"/>
      <c r="Z32" s="114"/>
      <c r="AA32" s="114"/>
      <c r="AB32" s="114"/>
      <c r="AC32" s="114"/>
      <c r="AD32" s="114"/>
      <c r="AE32" s="114"/>
      <c r="AF32" s="114"/>
      <c r="AG32" s="114"/>
      <c r="AH32" s="114"/>
    </row>
    <row r="33" spans="1:34" ht="17.100000000000001" customHeight="1" x14ac:dyDescent="0.6">
      <c r="A33" s="114"/>
      <c r="B33" s="114"/>
      <c r="C33" s="114"/>
      <c r="D33" s="114"/>
      <c r="E33" s="114"/>
      <c r="F33" s="416" t="s">
        <v>156</v>
      </c>
      <c r="G33" s="176">
        <v>9</v>
      </c>
      <c r="H33" s="91">
        <f>VALUE(Analysis!$BL$53)</f>
        <v>16</v>
      </c>
      <c r="I33" s="91">
        <f>VALUE(Analysis!$BL$54)</f>
        <v>19</v>
      </c>
      <c r="J33" s="91">
        <f>VALUE(Analysis!$BL$55)</f>
        <v>24</v>
      </c>
      <c r="K33" s="91">
        <f>VALUE(Analysis!$BL$56)</f>
        <v>21</v>
      </c>
      <c r="L33" s="91">
        <f>VALUE(Analysis!$BL$57)</f>
        <v>17</v>
      </c>
      <c r="M33" s="91">
        <f>VALUE(Analysis!$BL$58)</f>
        <v>24</v>
      </c>
      <c r="N33" s="91">
        <f>VALUE(Analysis!$BL$59)</f>
        <v>20</v>
      </c>
      <c r="O33" s="91">
        <f>VALUE(Analysis!$BL$60)</f>
        <v>20</v>
      </c>
      <c r="P33" s="91">
        <f>VALUE(Analysis!$BL$61)</f>
        <v>23</v>
      </c>
      <c r="Q33" s="91">
        <f>VALUE(Analysis!$BL$62)</f>
        <v>31</v>
      </c>
      <c r="R33" s="91">
        <f>VALUE(Analysis!$BL$63)</f>
        <v>23</v>
      </c>
      <c r="S33" s="91">
        <f>VALUE(Analysis!$BL$64)</f>
        <v>14</v>
      </c>
      <c r="T33" s="248">
        <f>SUM($H33:$S33)</f>
        <v>252</v>
      </c>
      <c r="U33" s="253">
        <f>_xlfn.MINIFS($H33:$S33,$H33:$S33,"&gt;0")</f>
        <v>14</v>
      </c>
      <c r="V33" s="253">
        <f>_xlfn.MAXIFS($H33:$S33,$H33:$S33,"&gt;0")</f>
        <v>31</v>
      </c>
      <c r="W33" s="247">
        <f>VALUE(Analysis!$BL$95)</f>
        <v>22.375</v>
      </c>
      <c r="X33" s="118"/>
      <c r="Y33" s="114"/>
      <c r="Z33" s="114"/>
      <c r="AA33" s="114"/>
      <c r="AB33" s="128"/>
      <c r="AC33" s="114"/>
      <c r="AD33" s="114"/>
      <c r="AE33" s="114"/>
      <c r="AF33" s="114"/>
      <c r="AG33" s="114"/>
      <c r="AH33" s="114"/>
    </row>
    <row r="34" spans="1:34" ht="17.100000000000001" customHeight="1" x14ac:dyDescent="0.6">
      <c r="A34" s="114"/>
      <c r="B34" s="114"/>
      <c r="C34" s="114"/>
      <c r="D34" s="114"/>
      <c r="E34" s="114"/>
      <c r="F34" s="417"/>
      <c r="G34" s="192">
        <v>10</v>
      </c>
      <c r="H34" s="91">
        <f>VALUE(Analysis!$BS$53)</f>
        <v>313</v>
      </c>
      <c r="I34" s="91">
        <f>VALUE(Analysis!$BS$54)</f>
        <v>270</v>
      </c>
      <c r="J34" s="91">
        <f>VALUE(Analysis!$BS$55)</f>
        <v>285</v>
      </c>
      <c r="K34" s="91">
        <f>VALUE(Analysis!$BS$56)</f>
        <v>278</v>
      </c>
      <c r="L34" s="91">
        <f>VALUE(Analysis!$BS$57)</f>
        <v>317</v>
      </c>
      <c r="M34" s="91">
        <f>VALUE(Analysis!$BS$58)</f>
        <v>294</v>
      </c>
      <c r="N34" s="91">
        <f>VALUE(Analysis!$BS$59)</f>
        <v>273</v>
      </c>
      <c r="O34" s="91">
        <f>VALUE(Analysis!$BS$60)</f>
        <v>290</v>
      </c>
      <c r="P34" s="91">
        <f>VALUE(Analysis!$BS$61)</f>
        <v>293</v>
      </c>
      <c r="Q34" s="91">
        <f>VALUE(Analysis!$BS$62)</f>
        <v>298</v>
      </c>
      <c r="R34" s="91">
        <f>VALUE(Analysis!$BS$63)</f>
        <v>300</v>
      </c>
      <c r="S34" s="91">
        <f>VALUE(Analysis!$BS$64)</f>
        <v>199</v>
      </c>
      <c r="T34" s="248">
        <f t="shared" ref="T34:T40" si="8">SUM($H34:$S34)</f>
        <v>3410</v>
      </c>
      <c r="U34" s="253">
        <f t="shared" ref="U34:U41" si="9">_xlfn.MINIFS($H34:$S34,$H34:$S34,"&gt;0")</f>
        <v>199</v>
      </c>
      <c r="V34" s="253">
        <f t="shared" ref="V34:V41" si="10">_xlfn.MAXIFS($H34:$S34,$H34:$S34,"&gt;0")</f>
        <v>317</v>
      </c>
      <c r="W34" s="247">
        <f>VALUE(Analysis!$BS$95)</f>
        <v>287.56666666666666</v>
      </c>
      <c r="X34" s="118"/>
      <c r="Y34" s="114"/>
      <c r="Z34" s="114"/>
      <c r="AA34" s="114"/>
      <c r="AB34" s="114"/>
      <c r="AC34" s="114"/>
      <c r="AD34" s="114"/>
      <c r="AE34" s="114"/>
      <c r="AF34" s="114"/>
      <c r="AG34" s="114"/>
      <c r="AH34" s="114"/>
    </row>
    <row r="35" spans="1:34" ht="17.100000000000001" customHeight="1" x14ac:dyDescent="0.6">
      <c r="A35" s="114"/>
      <c r="B35" s="114"/>
      <c r="C35" s="114"/>
      <c r="D35" s="114"/>
      <c r="E35" s="114"/>
      <c r="F35" s="417"/>
      <c r="G35" s="192">
        <v>11</v>
      </c>
      <c r="H35" s="91">
        <f>VALUE(Analysis!$BZ$53)</f>
        <v>268</v>
      </c>
      <c r="I35" s="91">
        <f>VALUE(Analysis!$BZ$54)</f>
        <v>336</v>
      </c>
      <c r="J35" s="91">
        <f>VALUE(Analysis!$BZ$55)</f>
        <v>261</v>
      </c>
      <c r="K35" s="91">
        <f>VALUE(Analysis!$BZ$56)</f>
        <v>300</v>
      </c>
      <c r="L35" s="91">
        <f>VALUE(Analysis!$BZ$57)</f>
        <v>265</v>
      </c>
      <c r="M35" s="91">
        <f>VALUE(Analysis!$BZ$58)</f>
        <v>275</v>
      </c>
      <c r="N35" s="91">
        <f>VALUE(Analysis!$BZ$59)</f>
        <v>311</v>
      </c>
      <c r="O35" s="91">
        <f>VALUE(Analysis!$BZ$60)</f>
        <v>311</v>
      </c>
      <c r="P35" s="91">
        <f>VALUE(Analysis!$BZ$61)</f>
        <v>234</v>
      </c>
      <c r="Q35" s="91">
        <f>VALUE(Analysis!$BZ$62)</f>
        <v>275</v>
      </c>
      <c r="R35" s="91">
        <f>VALUE(Analysis!$BZ$63)</f>
        <v>346</v>
      </c>
      <c r="S35" s="91">
        <f>VALUE(Analysis!$BZ$64)</f>
        <v>295</v>
      </c>
      <c r="T35" s="248">
        <f t="shared" si="8"/>
        <v>3477</v>
      </c>
      <c r="U35" s="253">
        <f t="shared" si="9"/>
        <v>234</v>
      </c>
      <c r="V35" s="253">
        <f t="shared" si="10"/>
        <v>346</v>
      </c>
      <c r="W35" s="247">
        <f>VALUE(Analysis!$BZ$95)</f>
        <v>289.75</v>
      </c>
      <c r="X35" s="118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</row>
    <row r="36" spans="1:34" ht="17.100000000000001" customHeight="1" x14ac:dyDescent="0.6">
      <c r="A36" s="114"/>
      <c r="B36" s="129"/>
      <c r="C36" s="115"/>
      <c r="D36" s="115"/>
      <c r="E36" s="114"/>
      <c r="F36" s="417"/>
      <c r="G36" s="192">
        <v>12</v>
      </c>
      <c r="H36" s="388">
        <f>VALUE(Analysis!$CG$53)</f>
        <v>0</v>
      </c>
      <c r="I36" s="388">
        <f>VALUE(Analysis!$CG$54)</f>
        <v>0</v>
      </c>
      <c r="J36" s="388">
        <f>VALUE(Analysis!$CG$55)</f>
        <v>0</v>
      </c>
      <c r="K36" s="388">
        <f>VALUE(Analysis!$CG$56)</f>
        <v>0</v>
      </c>
      <c r="L36" s="388">
        <f>VALUE(Analysis!$CG$57)</f>
        <v>0</v>
      </c>
      <c r="M36" s="388">
        <f>VALUE(Analysis!$CG$58)</f>
        <v>0</v>
      </c>
      <c r="N36" s="388">
        <f>VALUE(Analysis!$CG$59)</f>
        <v>0</v>
      </c>
      <c r="O36" s="388">
        <f>VALUE(Analysis!$CG$60)</f>
        <v>0</v>
      </c>
      <c r="P36" s="388">
        <f>VALUE(Analysis!$CG$61)</f>
        <v>0</v>
      </c>
      <c r="Q36" s="388">
        <f>VALUE(Analysis!$CG$62)</f>
        <v>0</v>
      </c>
      <c r="R36" s="388">
        <f>VALUE(Analysis!$CG$63)</f>
        <v>0</v>
      </c>
      <c r="S36" s="388">
        <f>VALUE(Analysis!$CG$64)</f>
        <v>0</v>
      </c>
      <c r="T36" s="389">
        <f t="shared" si="8"/>
        <v>0</v>
      </c>
      <c r="U36" s="390">
        <f t="shared" si="9"/>
        <v>0</v>
      </c>
      <c r="V36" s="390">
        <f t="shared" si="10"/>
        <v>0</v>
      </c>
      <c r="W36" s="391">
        <f>VALUE(Analysis!$CG$95)</f>
        <v>0</v>
      </c>
      <c r="X36" s="118"/>
      <c r="Y36" s="114"/>
      <c r="Z36" s="114"/>
      <c r="AA36" s="114"/>
      <c r="AB36" s="114"/>
      <c r="AC36" s="114"/>
      <c r="AD36" s="114"/>
      <c r="AE36" s="114"/>
      <c r="AF36" s="114"/>
      <c r="AG36" s="114" t="s">
        <v>205</v>
      </c>
      <c r="AH36" s="114"/>
    </row>
    <row r="37" spans="1:34" ht="17.100000000000001" hidden="1" customHeight="1" x14ac:dyDescent="0.6">
      <c r="A37" s="114"/>
      <c r="B37" s="129"/>
      <c r="C37" s="115"/>
      <c r="D37" s="115"/>
      <c r="E37" s="114"/>
      <c r="F37" s="417"/>
      <c r="G37" s="192" t="s">
        <v>206</v>
      </c>
      <c r="H37" s="91">
        <f>VALUE(Analysis!$FS$53)</f>
        <v>0</v>
      </c>
      <c r="I37" s="91">
        <f>VALUE(Analysis!$FS$54)</f>
        <v>0</v>
      </c>
      <c r="J37" s="91">
        <f>VALUE(Analysis!$FS$55)</f>
        <v>0</v>
      </c>
      <c r="K37" s="91">
        <f>VALUE(Analysis!$FS$56)</f>
        <v>0</v>
      </c>
      <c r="L37" s="91">
        <f>VALUE(Analysis!$FS$57)</f>
        <v>0</v>
      </c>
      <c r="M37" s="91">
        <f>VALUE(Analysis!$FS$58)</f>
        <v>0</v>
      </c>
      <c r="N37" s="91">
        <f>VALUE(Analysis!$FS$59)</f>
        <v>0</v>
      </c>
      <c r="O37" s="91">
        <f>VALUE(Analysis!$FS$60)</f>
        <v>0</v>
      </c>
      <c r="P37" s="91">
        <f>VALUE(Analysis!$FS$61)</f>
        <v>0</v>
      </c>
      <c r="Q37" s="91">
        <f>VALUE(Analysis!$FS$62)</f>
        <v>0</v>
      </c>
      <c r="R37" s="91">
        <f>VALUE(Analysis!$FS$63)</f>
        <v>0</v>
      </c>
      <c r="S37" s="91">
        <f>VALUE(Analysis!$FS$64)</f>
        <v>0</v>
      </c>
      <c r="T37" s="248">
        <f t="shared" si="8"/>
        <v>0</v>
      </c>
      <c r="U37" s="253">
        <f t="shared" si="9"/>
        <v>0</v>
      </c>
      <c r="V37" s="253">
        <f t="shared" si="10"/>
        <v>0</v>
      </c>
      <c r="W37" s="247">
        <f>VALUE(Analysis!$FS$95)</f>
        <v>0</v>
      </c>
      <c r="X37" s="118"/>
      <c r="Y37" s="114"/>
      <c r="Z37" s="114"/>
      <c r="AA37" s="114"/>
      <c r="AB37" s="114"/>
      <c r="AC37" s="114"/>
      <c r="AD37" s="114"/>
      <c r="AE37" s="114"/>
      <c r="AF37" s="114"/>
      <c r="AG37" s="114"/>
      <c r="AH37" s="114"/>
    </row>
    <row r="38" spans="1:34" ht="17.100000000000001" hidden="1" customHeight="1" x14ac:dyDescent="0.6">
      <c r="A38" s="114"/>
      <c r="B38" s="129"/>
      <c r="C38" s="115"/>
      <c r="D38" s="115"/>
      <c r="E38" s="114"/>
      <c r="F38" s="417"/>
      <c r="G38" s="192" t="s">
        <v>207</v>
      </c>
      <c r="H38" s="91">
        <f>VALUE(Analysis!$GA$53)</f>
        <v>0</v>
      </c>
      <c r="I38" s="91">
        <f>VALUE(Analysis!$GA$54)</f>
        <v>0</v>
      </c>
      <c r="J38" s="91">
        <f>VALUE(Analysis!$GA$55)</f>
        <v>0</v>
      </c>
      <c r="K38" s="91">
        <f>VALUE(Analysis!$GA$56)</f>
        <v>0</v>
      </c>
      <c r="L38" s="91">
        <f>VALUE(Analysis!$GA$57)</f>
        <v>0</v>
      </c>
      <c r="M38" s="91">
        <f>VALUE(Analysis!$GA$58)</f>
        <v>0</v>
      </c>
      <c r="N38" s="91">
        <f>VALUE(Analysis!$GA$59)</f>
        <v>0</v>
      </c>
      <c r="O38" s="91">
        <f>VALUE(Analysis!$GA$60)</f>
        <v>0</v>
      </c>
      <c r="P38" s="91">
        <f>VALUE(Analysis!$GA$61)</f>
        <v>0</v>
      </c>
      <c r="Q38" s="91">
        <f>VALUE(Analysis!$GA$62)</f>
        <v>0</v>
      </c>
      <c r="R38" s="91">
        <f>VALUE(Analysis!$GA$63)</f>
        <v>0</v>
      </c>
      <c r="S38" s="91">
        <f>VALUE(Analysis!$GA$64)</f>
        <v>0</v>
      </c>
      <c r="T38" s="248">
        <f t="shared" si="8"/>
        <v>0</v>
      </c>
      <c r="U38" s="253">
        <f t="shared" si="9"/>
        <v>0</v>
      </c>
      <c r="V38" s="253">
        <f t="shared" si="10"/>
        <v>0</v>
      </c>
      <c r="W38" s="247">
        <f>VALUE(Analysis!$GA$95)</f>
        <v>0</v>
      </c>
      <c r="X38" s="118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</row>
    <row r="39" spans="1:34" ht="17.100000000000001" hidden="1" customHeight="1" x14ac:dyDescent="0.6">
      <c r="A39" s="114"/>
      <c r="B39" s="129"/>
      <c r="C39" s="115"/>
      <c r="D39" s="115"/>
      <c r="E39" s="114"/>
      <c r="F39" s="418"/>
      <c r="G39" s="192" t="s">
        <v>208</v>
      </c>
      <c r="H39" s="91">
        <f>VALUE(Analysis!$GH$53)</f>
        <v>0</v>
      </c>
      <c r="I39" s="91">
        <f>VALUE(Analysis!$GH$54)</f>
        <v>0</v>
      </c>
      <c r="J39" s="91">
        <f>VALUE(Analysis!$GH$55)</f>
        <v>0</v>
      </c>
      <c r="K39" s="91">
        <f>VALUE(Analysis!$GH$56)</f>
        <v>0</v>
      </c>
      <c r="L39" s="91">
        <f>VALUE(Analysis!$GH$57)</f>
        <v>0</v>
      </c>
      <c r="M39" s="91">
        <f>VALUE(Analysis!$GH$58)</f>
        <v>0</v>
      </c>
      <c r="N39" s="91">
        <f>VALUE(Analysis!$GH$59)</f>
        <v>0</v>
      </c>
      <c r="O39" s="91">
        <f>VALUE(Analysis!$GH$60)</f>
        <v>0</v>
      </c>
      <c r="P39" s="91">
        <f>VALUE(Analysis!$GH$61)</f>
        <v>0</v>
      </c>
      <c r="Q39" s="91">
        <f>VALUE(Analysis!$GH$62)</f>
        <v>0</v>
      </c>
      <c r="R39" s="91">
        <f>VALUE(Analysis!$GH$63)</f>
        <v>0</v>
      </c>
      <c r="S39" s="91">
        <f>VALUE(Analysis!$GH$64)</f>
        <v>0</v>
      </c>
      <c r="T39" s="248">
        <f t="shared" si="8"/>
        <v>0</v>
      </c>
      <c r="U39" s="253">
        <f t="shared" si="9"/>
        <v>0</v>
      </c>
      <c r="V39" s="253">
        <f t="shared" si="10"/>
        <v>0</v>
      </c>
      <c r="W39" s="247">
        <f>VALUE(Analysis!$GH$95)</f>
        <v>0</v>
      </c>
      <c r="X39" s="118"/>
      <c r="Y39" s="114"/>
      <c r="Z39" s="114"/>
      <c r="AA39" s="114"/>
      <c r="AB39" s="114"/>
      <c r="AC39" s="114"/>
      <c r="AD39" s="114"/>
      <c r="AE39" s="114"/>
      <c r="AF39" s="114"/>
      <c r="AG39" s="114" t="s">
        <v>205</v>
      </c>
      <c r="AH39" s="114"/>
    </row>
    <row r="40" spans="1:34" ht="17.100000000000001" customHeight="1" x14ac:dyDescent="0.6">
      <c r="A40" s="114"/>
      <c r="B40" s="114"/>
      <c r="C40" s="114"/>
      <c r="D40" s="114"/>
      <c r="E40" s="114"/>
      <c r="F40" s="193" t="s">
        <v>186</v>
      </c>
      <c r="G40" s="178" t="s">
        <v>142</v>
      </c>
      <c r="H40" s="213">
        <f>Analysis!$BJ68</f>
        <v>597</v>
      </c>
      <c r="I40" s="213">
        <f>Analysis!$BJ69</f>
        <v>625</v>
      </c>
      <c r="J40" s="213">
        <f>Analysis!$BJ70</f>
        <v>570</v>
      </c>
      <c r="K40" s="213">
        <f>Analysis!$BJ71</f>
        <v>599</v>
      </c>
      <c r="L40" s="213">
        <f>Analysis!$BJ72</f>
        <v>599</v>
      </c>
      <c r="M40" s="213">
        <f>Analysis!$BJ73</f>
        <v>593</v>
      </c>
      <c r="N40" s="213">
        <f>Analysis!$BJ74</f>
        <v>604</v>
      </c>
      <c r="O40" s="213">
        <f>Analysis!$BJ75</f>
        <v>621</v>
      </c>
      <c r="P40" s="213">
        <f>Analysis!$BJ76</f>
        <v>550</v>
      </c>
      <c r="Q40" s="213">
        <f>Analysis!$BJ77</f>
        <v>604</v>
      </c>
      <c r="R40" s="213">
        <f>Analysis!$BJ78</f>
        <v>669</v>
      </c>
      <c r="S40" s="213">
        <f>Analysis!$BJ79</f>
        <v>508</v>
      </c>
      <c r="T40" s="249">
        <f t="shared" si="8"/>
        <v>7139</v>
      </c>
      <c r="U40" s="253">
        <f t="shared" si="9"/>
        <v>508</v>
      </c>
      <c r="V40" s="253">
        <f t="shared" si="10"/>
        <v>669</v>
      </c>
      <c r="W40" s="202"/>
      <c r="X40" s="118"/>
      <c r="Y40" s="114"/>
      <c r="Z40" s="114"/>
      <c r="AA40" s="114"/>
      <c r="AB40" s="114"/>
      <c r="AC40" s="114"/>
      <c r="AD40" s="114"/>
      <c r="AE40" s="114"/>
      <c r="AF40" s="114"/>
      <c r="AG40" s="114"/>
      <c r="AH40" s="114"/>
    </row>
    <row r="41" spans="1:34" ht="17.100000000000001" customHeight="1" x14ac:dyDescent="0.6">
      <c r="A41" s="114"/>
      <c r="B41" s="114"/>
      <c r="C41" s="114"/>
      <c r="D41" s="114"/>
      <c r="E41" s="114"/>
      <c r="F41" s="193" t="s">
        <v>187</v>
      </c>
      <c r="G41" s="178" t="s">
        <v>142</v>
      </c>
      <c r="H41" s="213">
        <f>Analysis!$BK68</f>
        <v>366</v>
      </c>
      <c r="I41" s="213">
        <f>Analysis!$BK69</f>
        <v>334</v>
      </c>
      <c r="J41" s="213">
        <f>Analysis!$BK70</f>
        <v>452</v>
      </c>
      <c r="K41" s="213">
        <f>Analysis!$BK71</f>
        <v>509</v>
      </c>
      <c r="L41" s="213">
        <f>Analysis!$BK72</f>
        <v>574</v>
      </c>
      <c r="M41" s="213">
        <f>Analysis!$BK73</f>
        <v>622</v>
      </c>
      <c r="N41" s="213">
        <f>Analysis!$BK74</f>
        <v>508</v>
      </c>
      <c r="O41" s="213">
        <f>Analysis!$BK75</f>
        <v>457</v>
      </c>
      <c r="P41" s="213">
        <f>Analysis!$BK76</f>
        <v>469</v>
      </c>
      <c r="Q41" s="213">
        <f>Analysis!$BK77</f>
        <v>498</v>
      </c>
      <c r="R41" s="213">
        <f>Analysis!$BK78</f>
        <v>444</v>
      </c>
      <c r="S41" s="213">
        <f>Analysis!$BK79</f>
        <v>416</v>
      </c>
      <c r="T41" s="249">
        <f>SUM($H41:$S41)</f>
        <v>5649</v>
      </c>
      <c r="U41" s="253">
        <f t="shared" si="9"/>
        <v>334</v>
      </c>
      <c r="V41" s="253">
        <f t="shared" si="10"/>
        <v>622</v>
      </c>
      <c r="W41" s="203"/>
      <c r="X41" s="118"/>
      <c r="Y41" s="114"/>
      <c r="Z41" s="114"/>
      <c r="AA41" s="114"/>
      <c r="AB41" s="114"/>
      <c r="AC41" s="114"/>
      <c r="AD41" s="114"/>
      <c r="AE41" s="114"/>
      <c r="AF41" s="114"/>
      <c r="AG41" s="114"/>
      <c r="AH41" s="114"/>
    </row>
    <row r="42" spans="1:34" ht="17.100000000000001" customHeight="1" x14ac:dyDescent="0.6">
      <c r="A42" s="114"/>
      <c r="B42" s="114"/>
      <c r="C42" s="114"/>
      <c r="D42" s="114"/>
      <c r="E42" s="114"/>
      <c r="F42" s="177"/>
      <c r="G42" s="181" t="s">
        <v>188</v>
      </c>
      <c r="H42" s="182" t="s">
        <v>189</v>
      </c>
      <c r="I42" s="182" t="s">
        <v>190</v>
      </c>
      <c r="J42" s="183" t="s">
        <v>191</v>
      </c>
      <c r="K42" s="182" t="s">
        <v>192</v>
      </c>
      <c r="L42" s="182" t="s">
        <v>193</v>
      </c>
      <c r="M42" s="183" t="s">
        <v>194</v>
      </c>
      <c r="N42" s="182" t="s">
        <v>195</v>
      </c>
      <c r="O42" s="182" t="s">
        <v>196</v>
      </c>
      <c r="P42" s="182" t="s">
        <v>197</v>
      </c>
      <c r="Q42" s="182" t="s">
        <v>198</v>
      </c>
      <c r="R42" s="182" t="s">
        <v>199</v>
      </c>
      <c r="S42" s="182" t="s">
        <v>200</v>
      </c>
      <c r="T42" s="184" t="s">
        <v>179</v>
      </c>
      <c r="U42" s="185"/>
      <c r="V42" s="186"/>
      <c r="W42" s="204"/>
      <c r="X42" s="118"/>
      <c r="Y42" s="114"/>
      <c r="Z42" s="114"/>
      <c r="AA42" s="114"/>
      <c r="AB42" s="114"/>
      <c r="AC42" s="114"/>
      <c r="AD42" s="114"/>
      <c r="AE42" s="114"/>
      <c r="AF42" s="114"/>
      <c r="AG42" s="114"/>
      <c r="AH42" s="114"/>
    </row>
    <row r="43" spans="1:34" ht="17.100000000000001" customHeight="1" x14ac:dyDescent="0.6">
      <c r="A43" s="114"/>
      <c r="B43" s="114"/>
      <c r="C43" s="114"/>
      <c r="D43" s="114"/>
      <c r="E43" s="114"/>
      <c r="F43" s="187"/>
      <c r="G43" s="194">
        <v>15</v>
      </c>
      <c r="H43" s="188">
        <f>Analysis!$BF$68</f>
        <v>159</v>
      </c>
      <c r="I43" s="188">
        <f>Analysis!$BF$69</f>
        <v>152</v>
      </c>
      <c r="J43" s="188">
        <f>Analysis!$BF$70</f>
        <v>154</v>
      </c>
      <c r="K43" s="188">
        <f>Analysis!$BF$71</f>
        <v>139</v>
      </c>
      <c r="L43" s="188">
        <f>Analysis!$BF$72</f>
        <v>162</v>
      </c>
      <c r="M43" s="188">
        <f>Analysis!$BF$73</f>
        <v>148</v>
      </c>
      <c r="N43" s="188">
        <f>Analysis!$BF$74</f>
        <v>162</v>
      </c>
      <c r="O43" s="188">
        <f>Analysis!$BF$75</f>
        <v>152</v>
      </c>
      <c r="P43" s="188">
        <f>Analysis!$BF$76</f>
        <v>148</v>
      </c>
      <c r="Q43" s="188">
        <f>Analysis!$BF$77</f>
        <v>150</v>
      </c>
      <c r="R43" s="188">
        <f>Analysis!$BF$78</f>
        <v>174</v>
      </c>
      <c r="S43" s="188">
        <f>Analysis!$BF$79</f>
        <v>151</v>
      </c>
      <c r="T43" s="191">
        <f t="shared" ref="T43:T45" si="11">SUM(H43:S43)</f>
        <v>1851</v>
      </c>
      <c r="U43" s="185"/>
      <c r="V43" s="186"/>
      <c r="W43" s="204"/>
      <c r="X43" s="118"/>
      <c r="Y43" s="114"/>
      <c r="Z43" s="114"/>
      <c r="AA43" s="114"/>
      <c r="AB43" s="114"/>
      <c r="AC43" s="114"/>
      <c r="AD43" s="114"/>
      <c r="AE43" s="114"/>
      <c r="AF43" s="114"/>
      <c r="AG43" s="114"/>
      <c r="AH43" s="114"/>
    </row>
    <row r="44" spans="1:34" ht="17.100000000000001" customHeight="1" x14ac:dyDescent="0.6">
      <c r="A44" s="114"/>
      <c r="B44" s="114"/>
      <c r="C44" s="114"/>
      <c r="D44" s="114"/>
      <c r="E44" s="114"/>
      <c r="F44" s="187"/>
      <c r="G44" s="195">
        <v>30</v>
      </c>
      <c r="H44" s="188">
        <f>Analysis!$BG$68</f>
        <v>295</v>
      </c>
      <c r="I44" s="188">
        <f>Analysis!$BG$69</f>
        <v>330</v>
      </c>
      <c r="J44" s="188">
        <f>Analysis!$BG$70</f>
        <v>285</v>
      </c>
      <c r="K44" s="188">
        <f>Analysis!$BG$71</f>
        <v>298</v>
      </c>
      <c r="L44" s="188">
        <f>Analysis!$BG$72</f>
        <v>298</v>
      </c>
      <c r="M44" s="188">
        <f>Analysis!$BG$73</f>
        <v>305</v>
      </c>
      <c r="N44" s="188">
        <f>Analysis!$BG$74</f>
        <v>326</v>
      </c>
      <c r="O44" s="188">
        <f>Analysis!$BG$75</f>
        <v>315</v>
      </c>
      <c r="P44" s="188">
        <f>Analysis!$BG$76</f>
        <v>270</v>
      </c>
      <c r="Q44" s="188">
        <f>Analysis!$BG$77</f>
        <v>293</v>
      </c>
      <c r="R44" s="188">
        <f>Analysis!$BG$78</f>
        <v>338</v>
      </c>
      <c r="S44" s="188">
        <f>Analysis!$BG$79</f>
        <v>273</v>
      </c>
      <c r="T44" s="191">
        <f t="shared" si="11"/>
        <v>3626</v>
      </c>
      <c r="U44" s="185"/>
      <c r="V44" s="186"/>
      <c r="W44" s="204"/>
      <c r="X44" s="130"/>
      <c r="Y44" s="114"/>
      <c r="Z44" s="114"/>
      <c r="AA44" s="114"/>
      <c r="AB44" s="114"/>
      <c r="AC44" s="114"/>
      <c r="AD44" s="114"/>
      <c r="AE44" s="114"/>
      <c r="AF44" s="114"/>
      <c r="AG44" s="114"/>
      <c r="AH44" s="114"/>
    </row>
    <row r="45" spans="1:34" ht="17.100000000000001" customHeight="1" x14ac:dyDescent="0.6">
      <c r="A45" s="114"/>
      <c r="B45" s="114"/>
      <c r="C45" s="114"/>
      <c r="D45" s="114"/>
      <c r="E45" s="114"/>
      <c r="F45" s="386"/>
      <c r="G45" s="195">
        <v>45</v>
      </c>
      <c r="H45" s="188">
        <f>Analysis!$BH$68</f>
        <v>455</v>
      </c>
      <c r="I45" s="188">
        <f>Analysis!$BH$69</f>
        <v>468</v>
      </c>
      <c r="J45" s="188">
        <f>Analysis!$BH$70</f>
        <v>445</v>
      </c>
      <c r="K45" s="188">
        <f>Analysis!$BH$71</f>
        <v>460</v>
      </c>
      <c r="L45" s="188">
        <f>Analysis!$BH$72</f>
        <v>457</v>
      </c>
      <c r="M45" s="188">
        <f>Analysis!$BH$73</f>
        <v>433</v>
      </c>
      <c r="N45" s="188">
        <f>Analysis!$BH$74</f>
        <v>452</v>
      </c>
      <c r="O45" s="188">
        <f>Analysis!$BH$75</f>
        <v>484</v>
      </c>
      <c r="P45" s="188">
        <f>Analysis!$BH$76</f>
        <v>402</v>
      </c>
      <c r="Q45" s="188">
        <f>Analysis!$BH$77</f>
        <v>447</v>
      </c>
      <c r="R45" s="188">
        <f>Analysis!$BH$78</f>
        <v>498</v>
      </c>
      <c r="S45" s="188">
        <f>Analysis!$BH$79</f>
        <v>400</v>
      </c>
      <c r="T45" s="191">
        <f t="shared" si="11"/>
        <v>5401</v>
      </c>
      <c r="U45" s="185"/>
      <c r="V45" s="186"/>
      <c r="W45" s="204"/>
      <c r="X45" s="118"/>
      <c r="Y45" s="114"/>
      <c r="Z45" s="114"/>
      <c r="AA45" s="114"/>
      <c r="AB45" s="114"/>
      <c r="AC45" s="114"/>
      <c r="AD45" s="114"/>
      <c r="AE45" s="114"/>
      <c r="AF45" s="114"/>
      <c r="AG45" s="114"/>
      <c r="AH45" s="114"/>
    </row>
    <row r="46" spans="1:34" ht="17.100000000000001" customHeight="1" x14ac:dyDescent="0.6">
      <c r="A46" s="114"/>
      <c r="B46" s="114"/>
      <c r="C46" s="114"/>
      <c r="D46" s="114"/>
      <c r="E46" s="114"/>
      <c r="F46" s="252" t="s">
        <v>201</v>
      </c>
      <c r="G46" s="251"/>
      <c r="H46" s="175">
        <f>Queue!$AL30</f>
        <v>112</v>
      </c>
      <c r="I46" s="175">
        <f>Queue!$AL31</f>
        <v>195</v>
      </c>
      <c r="J46" s="175">
        <f>Queue!$AL32</f>
        <v>126</v>
      </c>
      <c r="K46" s="175">
        <f>Queue!$AL33</f>
        <v>80</v>
      </c>
      <c r="L46" s="175">
        <f>Queue!$AL34</f>
        <v>80</v>
      </c>
      <c r="M46" s="175">
        <f>Queue!$AL35</f>
        <v>80</v>
      </c>
      <c r="N46" s="175">
        <f>Queue!$AL36</f>
        <v>80</v>
      </c>
      <c r="O46" s="175">
        <f>Queue!$AL37</f>
        <v>96.428571428571431</v>
      </c>
      <c r="P46" s="175">
        <f>Queue!$AL38</f>
        <v>102.5</v>
      </c>
      <c r="Q46" s="175">
        <f>Queue!$AL39</f>
        <v>120</v>
      </c>
      <c r="R46" s="175">
        <f>Queue!$AL40</f>
        <v>120</v>
      </c>
      <c r="S46" s="175">
        <f>Queue!$AL41</f>
        <v>102.22222222222223</v>
      </c>
      <c r="T46" s="185"/>
      <c r="U46" s="185"/>
      <c r="V46" s="185"/>
      <c r="W46" s="204"/>
      <c r="X46" s="118"/>
      <c r="Y46" s="114"/>
      <c r="Z46" s="114"/>
      <c r="AA46" s="114"/>
      <c r="AB46" s="114"/>
      <c r="AC46" s="114"/>
      <c r="AD46" s="114"/>
      <c r="AE46" s="114"/>
      <c r="AF46" s="114"/>
      <c r="AG46" s="114"/>
      <c r="AH46" s="114"/>
    </row>
    <row r="47" spans="1:34" ht="17.100000000000001" customHeight="1" x14ac:dyDescent="0.6">
      <c r="A47" s="114"/>
      <c r="B47" s="114"/>
      <c r="C47" s="114"/>
      <c r="D47" s="114"/>
      <c r="E47" s="114"/>
      <c r="F47" s="416" t="s">
        <v>157</v>
      </c>
      <c r="G47" s="192">
        <v>13</v>
      </c>
      <c r="H47" s="91">
        <f>VALUE(Analysis!$CN$53)</f>
        <v>257</v>
      </c>
      <c r="I47" s="91">
        <f>VALUE(Analysis!$CN$54)</f>
        <v>281</v>
      </c>
      <c r="J47" s="91">
        <f>VALUE(Analysis!$CN$55)</f>
        <v>232</v>
      </c>
      <c r="K47" s="91">
        <f>VALUE(Analysis!$CN$56)</f>
        <v>141</v>
      </c>
      <c r="L47" s="91">
        <f>VALUE(Analysis!$CN$57)</f>
        <v>109</v>
      </c>
      <c r="M47" s="91">
        <f>VALUE(Analysis!$CN$58)</f>
        <v>108</v>
      </c>
      <c r="N47" s="91">
        <f>VALUE(Analysis!$CN$59)</f>
        <v>113</v>
      </c>
      <c r="O47" s="91">
        <f>VALUE(Analysis!$CN$60)</f>
        <v>129</v>
      </c>
      <c r="P47" s="91">
        <f>VALUE(Analysis!$CN$61)</f>
        <v>190</v>
      </c>
      <c r="Q47" s="91">
        <f>VALUE(Analysis!$CN$62)</f>
        <v>246</v>
      </c>
      <c r="R47" s="91">
        <f>VALUE(Analysis!$CN$63)</f>
        <v>322</v>
      </c>
      <c r="S47" s="91">
        <f>VALUE(Analysis!$CN$64)</f>
        <v>299</v>
      </c>
      <c r="T47" s="248">
        <f>SUM($H47:$S47)</f>
        <v>2427</v>
      </c>
      <c r="U47" s="253">
        <f>_xlfn.MINIFS($H47:$S47,$H47:$S47,"&gt;0")</f>
        <v>108</v>
      </c>
      <c r="V47" s="253">
        <f>_xlfn.MAXIFS($H47:$S47,$H47:$S47,"&gt;0")</f>
        <v>322</v>
      </c>
      <c r="W47" s="247">
        <f>VALUE(Analysis!$CN$95)</f>
        <v>204.965</v>
      </c>
      <c r="X47" s="118"/>
      <c r="Y47" s="114"/>
      <c r="Z47" s="114"/>
      <c r="AA47" s="114"/>
      <c r="AB47" s="114"/>
      <c r="AC47" s="114"/>
      <c r="AD47" s="114"/>
      <c r="AE47" s="114"/>
      <c r="AF47" s="114"/>
      <c r="AG47" s="114"/>
      <c r="AH47" s="114"/>
    </row>
    <row r="48" spans="1:34" ht="17.100000000000001" customHeight="1" x14ac:dyDescent="0.6">
      <c r="A48" s="114"/>
      <c r="B48" s="114"/>
      <c r="C48" s="114"/>
      <c r="D48" s="114"/>
      <c r="E48" s="114"/>
      <c r="F48" s="417"/>
      <c r="G48" s="192">
        <v>14</v>
      </c>
      <c r="H48" s="91">
        <f>VALUE(Analysis!$CU$53)</f>
        <v>689</v>
      </c>
      <c r="I48" s="91">
        <f>VALUE(Analysis!$CU$54)</f>
        <v>613</v>
      </c>
      <c r="J48" s="91">
        <f>VALUE(Analysis!$CU$55)</f>
        <v>558</v>
      </c>
      <c r="K48" s="91">
        <f>VALUE(Analysis!$CU$56)</f>
        <v>515</v>
      </c>
      <c r="L48" s="91">
        <f>VALUE(Analysis!$CU$57)</f>
        <v>509</v>
      </c>
      <c r="M48" s="91">
        <f>VALUE(Analysis!$CU$58)</f>
        <v>501</v>
      </c>
      <c r="N48" s="91">
        <f>VALUE(Analysis!$CU$59)</f>
        <v>511</v>
      </c>
      <c r="O48" s="91">
        <f>VALUE(Analysis!$CU$60)</f>
        <v>507</v>
      </c>
      <c r="P48" s="91">
        <f>VALUE(Analysis!$CU$61)</f>
        <v>532</v>
      </c>
      <c r="Q48" s="91">
        <f>VALUE(Analysis!$CU$62)</f>
        <v>650</v>
      </c>
      <c r="R48" s="91">
        <f>VALUE(Analysis!$CU$63)</f>
        <v>760</v>
      </c>
      <c r="S48" s="91">
        <f>VALUE(Analysis!$CU$64)</f>
        <v>800</v>
      </c>
      <c r="T48" s="248">
        <f t="shared" ref="T48:T54" si="12">SUM($H48:$S48)</f>
        <v>7145</v>
      </c>
      <c r="U48" s="253">
        <f t="shared" ref="U48:U55" si="13">_xlfn.MINIFS($H48:$S48,$H48:$S48,"&gt;0")</f>
        <v>501</v>
      </c>
      <c r="V48" s="253">
        <f t="shared" ref="V48:V54" si="14">_xlfn.MAXIFS($H48:$S48,$H48:$S48,"&gt;0")</f>
        <v>800</v>
      </c>
      <c r="W48" s="247">
        <f>VALUE(Analysis!$CU$95)</f>
        <v>607.51916666666671</v>
      </c>
      <c r="X48" s="118"/>
      <c r="Y48" s="114"/>
      <c r="Z48" s="114"/>
      <c r="AA48" s="114"/>
      <c r="AB48" s="114"/>
      <c r="AC48" s="114"/>
      <c r="AD48" s="114"/>
      <c r="AE48" s="114"/>
      <c r="AF48" s="114"/>
      <c r="AG48" s="114"/>
      <c r="AH48" s="114"/>
    </row>
    <row r="49" spans="1:34" ht="17.100000000000001" customHeight="1" x14ac:dyDescent="0.6">
      <c r="A49" s="114"/>
      <c r="B49" s="114"/>
      <c r="C49" s="114"/>
      <c r="D49" s="114"/>
      <c r="E49" s="114"/>
      <c r="F49" s="417"/>
      <c r="G49" s="192">
        <v>15</v>
      </c>
      <c r="H49" s="388">
        <f>VALUE(Analysis!$DB$53)</f>
        <v>0</v>
      </c>
      <c r="I49" s="388">
        <f>VALUE(Analysis!$DB$54)</f>
        <v>0</v>
      </c>
      <c r="J49" s="388">
        <f>VALUE(Analysis!$DB$55)</f>
        <v>0</v>
      </c>
      <c r="K49" s="388">
        <f>VALUE(Analysis!$DB$56)</f>
        <v>0</v>
      </c>
      <c r="L49" s="388">
        <f>VALUE(Analysis!$DB$57)</f>
        <v>0</v>
      </c>
      <c r="M49" s="388">
        <f>VALUE(Analysis!$DB$58)</f>
        <v>0</v>
      </c>
      <c r="N49" s="388">
        <f>VALUE(Analysis!$DB$59)</f>
        <v>0</v>
      </c>
      <c r="O49" s="388">
        <f>VALUE(Analysis!$DB$60)</f>
        <v>0</v>
      </c>
      <c r="P49" s="388">
        <f>VALUE(Analysis!$DB$61)</f>
        <v>0</v>
      </c>
      <c r="Q49" s="388">
        <f>VALUE(Analysis!$DB$62)</f>
        <v>0</v>
      </c>
      <c r="R49" s="388">
        <f>VALUE(Analysis!$DB$63)</f>
        <v>0</v>
      </c>
      <c r="S49" s="388">
        <f>VALUE(Analysis!$DB$64)</f>
        <v>0</v>
      </c>
      <c r="T49" s="389">
        <f t="shared" si="12"/>
        <v>0</v>
      </c>
      <c r="U49" s="390">
        <f t="shared" si="13"/>
        <v>0</v>
      </c>
      <c r="V49" s="390">
        <f t="shared" si="14"/>
        <v>0</v>
      </c>
      <c r="W49" s="391">
        <f>VALUE(Analysis!$DB$95)</f>
        <v>0</v>
      </c>
      <c r="X49" s="118"/>
      <c r="Y49" s="114"/>
      <c r="Z49" s="114"/>
      <c r="AA49" s="114"/>
      <c r="AB49" s="114"/>
      <c r="AC49" s="114"/>
      <c r="AD49" s="114"/>
      <c r="AE49" s="114"/>
      <c r="AF49" s="114"/>
      <c r="AG49" s="114"/>
      <c r="AH49" s="114"/>
    </row>
    <row r="50" spans="1:34" ht="17.100000000000001" customHeight="1" x14ac:dyDescent="0.6">
      <c r="A50" s="114"/>
      <c r="B50" s="114"/>
      <c r="C50" s="114"/>
      <c r="D50" s="114"/>
      <c r="E50" s="114"/>
      <c r="F50" s="417"/>
      <c r="G50" s="192">
        <v>16</v>
      </c>
      <c r="H50" s="388">
        <f>VALUE(Analysis!$DI$53)</f>
        <v>0</v>
      </c>
      <c r="I50" s="388">
        <f>VALUE(Analysis!$DI$54)</f>
        <v>0</v>
      </c>
      <c r="J50" s="388">
        <f>VALUE(Analysis!$DI$55)</f>
        <v>0</v>
      </c>
      <c r="K50" s="388">
        <f>VALUE(Analysis!$DI$56)</f>
        <v>0</v>
      </c>
      <c r="L50" s="388">
        <f>VALUE(Analysis!$DI$57)</f>
        <v>0</v>
      </c>
      <c r="M50" s="388">
        <f>VALUE(Analysis!$DI$58)</f>
        <v>0</v>
      </c>
      <c r="N50" s="388">
        <f>VALUE(Analysis!$DI$59)</f>
        <v>0</v>
      </c>
      <c r="O50" s="388">
        <f>VALUE(Analysis!$DI$60)</f>
        <v>0</v>
      </c>
      <c r="P50" s="388">
        <f>VALUE(Analysis!$DI$61)</f>
        <v>0</v>
      </c>
      <c r="Q50" s="388">
        <f>VALUE(Analysis!$DI$62)</f>
        <v>0</v>
      </c>
      <c r="R50" s="388">
        <f>VALUE(Analysis!$DI$63)</f>
        <v>0</v>
      </c>
      <c r="S50" s="388">
        <f>VALUE(Analysis!$DI$64)</f>
        <v>0</v>
      </c>
      <c r="T50" s="389">
        <f t="shared" si="12"/>
        <v>0</v>
      </c>
      <c r="U50" s="390">
        <f t="shared" si="13"/>
        <v>0</v>
      </c>
      <c r="V50" s="390">
        <f t="shared" si="14"/>
        <v>0</v>
      </c>
      <c r="W50" s="391">
        <f>VALUE(Analysis!$DI$95)</f>
        <v>0</v>
      </c>
      <c r="X50" s="118"/>
      <c r="Y50" s="114"/>
      <c r="Z50" s="114"/>
      <c r="AA50" s="114"/>
      <c r="AB50" s="114"/>
      <c r="AC50" s="114"/>
      <c r="AD50" s="114"/>
      <c r="AE50" s="114"/>
      <c r="AF50" s="114"/>
      <c r="AG50" s="114"/>
      <c r="AH50" s="114"/>
    </row>
    <row r="51" spans="1:34" ht="17.100000000000001" hidden="1" customHeight="1" x14ac:dyDescent="0.6">
      <c r="A51" s="114"/>
      <c r="B51" s="114"/>
      <c r="C51" s="114"/>
      <c r="D51" s="114"/>
      <c r="E51" s="114"/>
      <c r="F51" s="417"/>
      <c r="G51" s="192" t="s">
        <v>209</v>
      </c>
      <c r="H51" s="91">
        <f>VALUE(Analysis!$GV$53)</f>
        <v>0</v>
      </c>
      <c r="I51" s="91">
        <f>VALUE(Analysis!$GV$54)</f>
        <v>0</v>
      </c>
      <c r="J51" s="91">
        <f>VALUE(Analysis!$GV$55)</f>
        <v>0</v>
      </c>
      <c r="K51" s="91">
        <f>VALUE(Analysis!$GV$56)</f>
        <v>0</v>
      </c>
      <c r="L51" s="91">
        <f>VALUE(Analysis!$GV$57)</f>
        <v>0</v>
      </c>
      <c r="M51" s="91">
        <f>VALUE(Analysis!$GV$58)</f>
        <v>0</v>
      </c>
      <c r="N51" s="91">
        <f>VALUE(Analysis!$GV$59)</f>
        <v>0</v>
      </c>
      <c r="O51" s="91">
        <f>VALUE(Analysis!$GV$60)</f>
        <v>0</v>
      </c>
      <c r="P51" s="91">
        <f>VALUE(Analysis!$GV$61)</f>
        <v>0</v>
      </c>
      <c r="Q51" s="91">
        <f>VALUE(Analysis!$GV$62)</f>
        <v>0</v>
      </c>
      <c r="R51" s="91">
        <f>VALUE(Analysis!$GV$63)</f>
        <v>0</v>
      </c>
      <c r="S51" s="91">
        <f>VALUE(Analysis!$GV$64)</f>
        <v>0</v>
      </c>
      <c r="T51" s="248">
        <f t="shared" si="12"/>
        <v>0</v>
      </c>
      <c r="U51" s="253">
        <f t="shared" si="13"/>
        <v>0</v>
      </c>
      <c r="V51" s="253">
        <f t="shared" si="14"/>
        <v>0</v>
      </c>
      <c r="W51" s="247">
        <f>VALUE(Analysis!$GV$95)</f>
        <v>0</v>
      </c>
      <c r="X51" s="118"/>
      <c r="Y51" s="114"/>
      <c r="Z51" s="114"/>
      <c r="AA51" s="114"/>
      <c r="AB51" s="114"/>
      <c r="AC51" s="114"/>
      <c r="AD51" s="114"/>
      <c r="AE51" s="114"/>
      <c r="AF51" s="114"/>
      <c r="AG51" s="114"/>
      <c r="AH51" s="114"/>
    </row>
    <row r="52" spans="1:34" ht="17.100000000000001" hidden="1" customHeight="1" x14ac:dyDescent="0.6">
      <c r="A52" s="114"/>
      <c r="B52" s="114"/>
      <c r="C52" s="114"/>
      <c r="D52" s="114"/>
      <c r="E52" s="114"/>
      <c r="F52" s="417"/>
      <c r="G52" s="192" t="s">
        <v>210</v>
      </c>
      <c r="H52" s="91">
        <f>VALUE(Analysis!$HC$53)</f>
        <v>0</v>
      </c>
      <c r="I52" s="91">
        <f>VALUE(Analysis!$HC$54)</f>
        <v>0</v>
      </c>
      <c r="J52" s="91">
        <f>VALUE(Analysis!$HC$55)</f>
        <v>0</v>
      </c>
      <c r="K52" s="91">
        <f>VALUE(Analysis!$HC$56)</f>
        <v>0</v>
      </c>
      <c r="L52" s="91">
        <f>VALUE(Analysis!$HC$57)</f>
        <v>0</v>
      </c>
      <c r="M52" s="91">
        <f>VALUE(Analysis!$HC$58)</f>
        <v>0</v>
      </c>
      <c r="N52" s="91">
        <f>VALUE(Analysis!$HC$59)</f>
        <v>0</v>
      </c>
      <c r="O52" s="91">
        <f>VALUE(Analysis!$HC$60)</f>
        <v>0</v>
      </c>
      <c r="P52" s="91">
        <f>VALUE(Analysis!$HC$61)</f>
        <v>0</v>
      </c>
      <c r="Q52" s="91">
        <f>VALUE(Analysis!$HC$62)</f>
        <v>0</v>
      </c>
      <c r="R52" s="91">
        <f>VALUE(Analysis!$HC$63)</f>
        <v>0</v>
      </c>
      <c r="S52" s="91">
        <f>VALUE(Analysis!$HC$64)</f>
        <v>0</v>
      </c>
      <c r="T52" s="248">
        <f t="shared" si="12"/>
        <v>0</v>
      </c>
      <c r="U52" s="253">
        <f t="shared" si="13"/>
        <v>0</v>
      </c>
      <c r="V52" s="253">
        <f t="shared" si="14"/>
        <v>0</v>
      </c>
      <c r="W52" s="247">
        <f>VALUE(Analysis!$HC$95)</f>
        <v>0</v>
      </c>
      <c r="X52" s="118"/>
      <c r="Y52" s="114"/>
      <c r="Z52" s="114"/>
      <c r="AA52" s="114"/>
      <c r="AB52" s="114"/>
      <c r="AC52" s="114"/>
      <c r="AD52" s="114"/>
      <c r="AE52" s="114"/>
      <c r="AF52" s="114"/>
      <c r="AG52" s="114"/>
      <c r="AH52" s="114"/>
    </row>
    <row r="53" spans="1:34" ht="17.100000000000001" hidden="1" customHeight="1" x14ac:dyDescent="0.6">
      <c r="A53" s="114"/>
      <c r="B53" s="114"/>
      <c r="C53" s="114"/>
      <c r="D53" s="114"/>
      <c r="E53" s="114"/>
      <c r="F53" s="418"/>
      <c r="G53" s="192" t="s">
        <v>211</v>
      </c>
      <c r="H53" s="91">
        <f>VALUE(Analysis!$HJ$53)</f>
        <v>0</v>
      </c>
      <c r="I53" s="91">
        <f>VALUE(Analysis!$HJ$54)</f>
        <v>0</v>
      </c>
      <c r="J53" s="91">
        <f>VALUE(Analysis!$HJ$55)</f>
        <v>0</v>
      </c>
      <c r="K53" s="91">
        <f>VALUE(Analysis!$HJ$56)</f>
        <v>0</v>
      </c>
      <c r="L53" s="91">
        <f>VALUE(Analysis!$HJ$57)</f>
        <v>0</v>
      </c>
      <c r="M53" s="91">
        <f>VALUE(Analysis!$HJ$58)</f>
        <v>0</v>
      </c>
      <c r="N53" s="91">
        <f>VALUE(Analysis!$HJ$59)</f>
        <v>0</v>
      </c>
      <c r="O53" s="91">
        <f>VALUE(Analysis!$HJ$60)</f>
        <v>0</v>
      </c>
      <c r="P53" s="91">
        <f>VALUE(Analysis!$HJ$61)</f>
        <v>0</v>
      </c>
      <c r="Q53" s="91">
        <f>VALUE(Analysis!$HJ$62)</f>
        <v>0</v>
      </c>
      <c r="R53" s="91">
        <f>VALUE(Analysis!$HJ$63)</f>
        <v>0</v>
      </c>
      <c r="S53" s="91">
        <f>VALUE(Analysis!$HJ$64)</f>
        <v>0</v>
      </c>
      <c r="T53" s="248">
        <f t="shared" si="12"/>
        <v>0</v>
      </c>
      <c r="U53" s="253">
        <f t="shared" si="13"/>
        <v>0</v>
      </c>
      <c r="V53" s="253">
        <f t="shared" si="14"/>
        <v>0</v>
      </c>
      <c r="W53" s="247">
        <f>VALUE(Analysis!$HJ$95)</f>
        <v>0</v>
      </c>
      <c r="X53" s="118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</row>
    <row r="54" spans="1:34" ht="17.100000000000001" customHeight="1" x14ac:dyDescent="0.6">
      <c r="A54" s="114"/>
      <c r="B54" s="114"/>
      <c r="C54" s="114"/>
      <c r="D54" s="114"/>
      <c r="E54" s="114"/>
      <c r="F54" s="193" t="s">
        <v>186</v>
      </c>
      <c r="G54" s="178" t="s">
        <v>142</v>
      </c>
      <c r="H54" s="213">
        <f>Analysis!$CL68</f>
        <v>946</v>
      </c>
      <c r="I54" s="213">
        <f>Analysis!$CL69</f>
        <v>894</v>
      </c>
      <c r="J54" s="213">
        <f>Analysis!$CL70</f>
        <v>790</v>
      </c>
      <c r="K54" s="213">
        <f>Analysis!$CL71</f>
        <v>656</v>
      </c>
      <c r="L54" s="213">
        <f>Analysis!$CL72</f>
        <v>618</v>
      </c>
      <c r="M54" s="213">
        <f>Analysis!$CL73</f>
        <v>609</v>
      </c>
      <c r="N54" s="213">
        <f>Analysis!$CL74</f>
        <v>624</v>
      </c>
      <c r="O54" s="213">
        <f>Analysis!$CL75</f>
        <v>636</v>
      </c>
      <c r="P54" s="213">
        <f>Analysis!$CL76</f>
        <v>722</v>
      </c>
      <c r="Q54" s="213">
        <f>Analysis!$CL77</f>
        <v>896</v>
      </c>
      <c r="R54" s="213">
        <f>Analysis!$CL78</f>
        <v>1082</v>
      </c>
      <c r="S54" s="213">
        <f>Analysis!$CL79</f>
        <v>1099</v>
      </c>
      <c r="T54" s="249">
        <f t="shared" si="12"/>
        <v>9572</v>
      </c>
      <c r="U54" s="253">
        <f t="shared" si="13"/>
        <v>609</v>
      </c>
      <c r="V54" s="253">
        <f t="shared" si="14"/>
        <v>1099</v>
      </c>
      <c r="W54" s="202"/>
      <c r="X54" s="118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</row>
    <row r="55" spans="1:34" ht="17.100000000000001" customHeight="1" x14ac:dyDescent="0.6">
      <c r="A55" s="114"/>
      <c r="B55" s="114"/>
      <c r="C55" s="114"/>
      <c r="D55" s="114"/>
      <c r="E55" s="114"/>
      <c r="F55" s="193" t="s">
        <v>187</v>
      </c>
      <c r="G55" s="178" t="s">
        <v>142</v>
      </c>
      <c r="H55" s="213">
        <f>Analysis!$CM68</f>
        <v>1015</v>
      </c>
      <c r="I55" s="213">
        <f>Analysis!$CM69</f>
        <v>943</v>
      </c>
      <c r="J55" s="213">
        <f>Analysis!$CM70</f>
        <v>940</v>
      </c>
      <c r="K55" s="213">
        <f>Analysis!$CM71</f>
        <v>901</v>
      </c>
      <c r="L55" s="213">
        <f>Analysis!$CM72</f>
        <v>875</v>
      </c>
      <c r="M55" s="213">
        <f>Analysis!$CM73</f>
        <v>847</v>
      </c>
      <c r="N55" s="213">
        <f>Analysis!$CM74</f>
        <v>967</v>
      </c>
      <c r="O55" s="213">
        <f>Analysis!$CM75</f>
        <v>985</v>
      </c>
      <c r="P55" s="213">
        <f>Analysis!$CM76</f>
        <v>965</v>
      </c>
      <c r="Q55" s="213">
        <f>Analysis!$CM77</f>
        <v>1032</v>
      </c>
      <c r="R55" s="213">
        <f>Analysis!$CM78</f>
        <v>953</v>
      </c>
      <c r="S55" s="213">
        <f>Analysis!$CM79</f>
        <v>803</v>
      </c>
      <c r="T55" s="249">
        <f>SUM($H55:$S55)</f>
        <v>11226</v>
      </c>
      <c r="U55" s="253">
        <f t="shared" si="13"/>
        <v>803</v>
      </c>
      <c r="V55" s="253">
        <f>_xlfn.MAXIFS($H55:$S55,$H55:$S55,"&gt;0")</f>
        <v>1032</v>
      </c>
      <c r="W55" s="203"/>
      <c r="X55" s="118"/>
      <c r="Y55" s="114"/>
      <c r="Z55" s="114"/>
      <c r="AA55" s="114"/>
      <c r="AB55" s="114"/>
      <c r="AC55" s="114"/>
      <c r="AD55" s="114"/>
      <c r="AE55" s="114"/>
      <c r="AF55" s="114"/>
      <c r="AG55" s="114"/>
      <c r="AH55" s="114"/>
    </row>
    <row r="56" spans="1:34" ht="17.100000000000001" customHeight="1" x14ac:dyDescent="0.6">
      <c r="A56" s="114" t="s">
        <v>212</v>
      </c>
      <c r="B56" s="114" t="s">
        <v>213</v>
      </c>
      <c r="C56" s="129"/>
      <c r="E56" s="114"/>
      <c r="F56" s="177"/>
      <c r="G56" s="181" t="s">
        <v>188</v>
      </c>
      <c r="H56" s="182" t="s">
        <v>189</v>
      </c>
      <c r="I56" s="182" t="s">
        <v>190</v>
      </c>
      <c r="J56" s="183" t="s">
        <v>191</v>
      </c>
      <c r="K56" s="182" t="s">
        <v>192</v>
      </c>
      <c r="L56" s="182" t="s">
        <v>193</v>
      </c>
      <c r="M56" s="183" t="s">
        <v>194</v>
      </c>
      <c r="N56" s="182" t="s">
        <v>195</v>
      </c>
      <c r="O56" s="182" t="s">
        <v>196</v>
      </c>
      <c r="P56" s="182" t="s">
        <v>197</v>
      </c>
      <c r="Q56" s="182" t="s">
        <v>198</v>
      </c>
      <c r="R56" s="182" t="s">
        <v>199</v>
      </c>
      <c r="S56" s="182" t="s">
        <v>200</v>
      </c>
      <c r="T56" s="184" t="s">
        <v>179</v>
      </c>
      <c r="U56" s="185"/>
      <c r="V56" s="186"/>
      <c r="W56" s="204"/>
      <c r="X56" s="118"/>
      <c r="Y56" s="114"/>
      <c r="Z56" s="114"/>
      <c r="AA56" s="114"/>
      <c r="AB56" s="114"/>
      <c r="AC56" s="114"/>
      <c r="AD56" s="114"/>
      <c r="AE56" s="114"/>
      <c r="AF56" s="114"/>
      <c r="AG56" s="114"/>
      <c r="AH56" s="114"/>
    </row>
    <row r="57" spans="1:34" ht="17.100000000000001" customHeight="1" x14ac:dyDescent="0.6">
      <c r="A57" s="114"/>
      <c r="B57" s="114" t="s">
        <v>214</v>
      </c>
      <c r="C57" s="129"/>
      <c r="E57" s="115"/>
      <c r="F57" s="187"/>
      <c r="G57" s="194">
        <v>15</v>
      </c>
      <c r="H57" s="188">
        <f>Analysis!$CH$68</f>
        <v>234</v>
      </c>
      <c r="I57" s="188">
        <f>Analysis!$CH$69</f>
        <v>244</v>
      </c>
      <c r="J57" s="188">
        <f>Analysis!$CH$70</f>
        <v>215</v>
      </c>
      <c r="K57" s="188">
        <f>Analysis!$CH$71</f>
        <v>186</v>
      </c>
      <c r="L57" s="188">
        <f>Analysis!$CH$72</f>
        <v>163</v>
      </c>
      <c r="M57" s="188">
        <f>Analysis!$CH$73</f>
        <v>155</v>
      </c>
      <c r="N57" s="188">
        <f>Analysis!$CH$74</f>
        <v>164</v>
      </c>
      <c r="O57" s="188">
        <f>Analysis!$CH$75</f>
        <v>152</v>
      </c>
      <c r="P57" s="188">
        <f>Analysis!$CH$76</f>
        <v>151</v>
      </c>
      <c r="Q57" s="188">
        <f>Analysis!$CH$77</f>
        <v>229</v>
      </c>
      <c r="R57" s="188">
        <f>Analysis!$CH$78</f>
        <v>261</v>
      </c>
      <c r="S57" s="188">
        <f>Analysis!$CH$79</f>
        <v>297</v>
      </c>
      <c r="T57" s="189">
        <f t="shared" ref="T57:T59" si="15">SUM(H57:S57)</f>
        <v>2451</v>
      </c>
      <c r="V57" s="186"/>
      <c r="W57" s="204"/>
      <c r="X57" s="118"/>
      <c r="Y57" s="114"/>
      <c r="Z57" s="114"/>
      <c r="AA57" s="114"/>
      <c r="AB57" s="114"/>
      <c r="AC57" s="114"/>
      <c r="AD57" s="114"/>
      <c r="AE57" s="114"/>
      <c r="AF57" s="114"/>
      <c r="AG57" s="114"/>
      <c r="AH57" s="114"/>
    </row>
    <row r="58" spans="1:34" ht="17.100000000000001" customHeight="1" x14ac:dyDescent="0.6">
      <c r="A58" s="115"/>
      <c r="B58" s="115"/>
      <c r="C58" s="115"/>
      <c r="D58" s="115"/>
      <c r="E58" s="115"/>
      <c r="F58" s="187"/>
      <c r="G58" s="195">
        <v>30</v>
      </c>
      <c r="H58" s="188">
        <f>Analysis!$CI$68</f>
        <v>466</v>
      </c>
      <c r="I58" s="188">
        <f>Analysis!$CI$69</f>
        <v>463</v>
      </c>
      <c r="J58" s="188">
        <f>Analysis!$CI$70</f>
        <v>413</v>
      </c>
      <c r="K58" s="188">
        <f>Analysis!$CI$71</f>
        <v>341</v>
      </c>
      <c r="L58" s="188">
        <f>Analysis!$CI$72</f>
        <v>314</v>
      </c>
      <c r="M58" s="188">
        <f>Analysis!$CI$73</f>
        <v>320</v>
      </c>
      <c r="N58" s="188">
        <f>Analysis!$CI$74</f>
        <v>329</v>
      </c>
      <c r="O58" s="188">
        <f>Analysis!$CI$75</f>
        <v>311</v>
      </c>
      <c r="P58" s="188">
        <f>Analysis!$CI$76</f>
        <v>344</v>
      </c>
      <c r="Q58" s="188">
        <f>Analysis!$CI$77</f>
        <v>468</v>
      </c>
      <c r="R58" s="188">
        <f>Analysis!$CI$78</f>
        <v>537</v>
      </c>
      <c r="S58" s="188">
        <f>Analysis!$CI$79</f>
        <v>565</v>
      </c>
      <c r="T58" s="189">
        <f t="shared" si="15"/>
        <v>4871</v>
      </c>
      <c r="U58" s="185" t="s">
        <v>215</v>
      </c>
      <c r="V58" s="186"/>
      <c r="W58" s="204"/>
      <c r="X58" s="118"/>
      <c r="Y58" s="114"/>
      <c r="Z58" s="114"/>
      <c r="AA58" s="114"/>
      <c r="AB58" s="114"/>
      <c r="AC58" s="114"/>
      <c r="AD58" s="114"/>
      <c r="AE58" s="114"/>
      <c r="AF58" s="114"/>
      <c r="AG58" s="114"/>
      <c r="AH58" s="114"/>
    </row>
    <row r="59" spans="1:34" ht="17.100000000000001" customHeight="1" x14ac:dyDescent="0.6">
      <c r="A59" s="420" t="s">
        <v>216</v>
      </c>
      <c r="B59" s="420"/>
      <c r="C59" s="420"/>
      <c r="D59" s="420"/>
      <c r="E59" s="421"/>
      <c r="F59" s="386"/>
      <c r="G59" s="195">
        <v>45</v>
      </c>
      <c r="H59" s="188">
        <f>Analysis!$CJ$68</f>
        <v>701</v>
      </c>
      <c r="I59" s="188">
        <f>Analysis!$CJ$69</f>
        <v>685</v>
      </c>
      <c r="J59" s="188">
        <f>Analysis!$CJ$70</f>
        <v>607</v>
      </c>
      <c r="K59" s="188">
        <f>Analysis!$CJ$71</f>
        <v>500</v>
      </c>
      <c r="L59" s="188">
        <f>Analysis!$CJ$72</f>
        <v>467</v>
      </c>
      <c r="M59" s="188">
        <f>Analysis!$CJ$73</f>
        <v>468</v>
      </c>
      <c r="N59" s="188">
        <f>Analysis!$CJ$74</f>
        <v>476</v>
      </c>
      <c r="O59" s="188">
        <f>Analysis!$CJ$75</f>
        <v>473</v>
      </c>
      <c r="P59" s="188">
        <f>Analysis!$CJ$76</f>
        <v>533</v>
      </c>
      <c r="Q59" s="188">
        <f>Analysis!$CJ$77</f>
        <v>667</v>
      </c>
      <c r="R59" s="188">
        <f>Analysis!$CJ$78</f>
        <v>761</v>
      </c>
      <c r="S59" s="188">
        <f>Analysis!$CJ$79</f>
        <v>835</v>
      </c>
      <c r="T59" s="189">
        <f t="shared" si="15"/>
        <v>7173</v>
      </c>
      <c r="U59" s="185"/>
      <c r="V59" s="186"/>
      <c r="W59" s="204"/>
      <c r="X59" s="118"/>
      <c r="Y59" s="114"/>
      <c r="Z59" s="114"/>
      <c r="AA59" s="114"/>
      <c r="AB59" s="114"/>
      <c r="AC59" s="114"/>
      <c r="AD59" s="114"/>
      <c r="AE59" s="114"/>
      <c r="AF59" s="114"/>
      <c r="AG59" s="114"/>
      <c r="AH59" s="114"/>
    </row>
    <row r="60" spans="1:34" s="349" customFormat="1" ht="17.100000000000001" customHeight="1" x14ac:dyDescent="0.6">
      <c r="A60" s="420" t="s">
        <v>218</v>
      </c>
      <c r="B60" s="420"/>
      <c r="C60" s="420"/>
      <c r="D60" s="420"/>
      <c r="E60" s="421"/>
      <c r="F60" s="344" t="s">
        <v>201</v>
      </c>
      <c r="G60" s="345"/>
      <c r="H60" s="346">
        <f>Queue!$AL44</f>
        <v>96.875</v>
      </c>
      <c r="I60" s="346">
        <f>Queue!$AL45</f>
        <v>140</v>
      </c>
      <c r="J60" s="346">
        <f>Queue!$AL46</f>
        <v>96</v>
      </c>
      <c r="K60" s="346">
        <f>Queue!$AL47</f>
        <v>80</v>
      </c>
      <c r="L60" s="346">
        <f>Queue!$AL48</f>
        <v>85</v>
      </c>
      <c r="M60" s="346">
        <f>Queue!$AL49</f>
        <v>88</v>
      </c>
      <c r="N60" s="346">
        <f>Queue!$AL50</f>
        <v>80</v>
      </c>
      <c r="O60" s="346">
        <f>Queue!$AL51</f>
        <v>87.692307692307693</v>
      </c>
      <c r="P60" s="346">
        <f>Queue!$AL52</f>
        <v>116.25</v>
      </c>
      <c r="Q60" s="346">
        <f>Queue!$AL53</f>
        <v>150</v>
      </c>
      <c r="R60" s="346">
        <f>Queue!$AL54</f>
        <v>118.33333333333333</v>
      </c>
      <c r="S60" s="346">
        <f>Queue!$AL55</f>
        <v>108</v>
      </c>
      <c r="T60" s="347"/>
      <c r="U60" s="347" t="s">
        <v>217</v>
      </c>
      <c r="V60" s="347"/>
      <c r="W60" s="348"/>
      <c r="X60" s="130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</row>
    <row r="61" spans="1:34" s="357" customFormat="1" ht="24.95" customHeight="1" x14ac:dyDescent="0.6">
      <c r="A61" s="350" t="s">
        <v>158</v>
      </c>
      <c r="B61" s="412" t="str">
        <f>B1</f>
        <v>หลักสี่</v>
      </c>
      <c r="C61" s="412"/>
      <c r="D61" s="412"/>
      <c r="E61" s="412"/>
      <c r="F61" s="351"/>
      <c r="G61" s="352"/>
      <c r="H61" s="353"/>
      <c r="I61" s="422" t="str">
        <f>I1</f>
        <v>ข้อมูลปริมาณการจราจรบริเวณทางแยกในกรุงเทพมหานคร</v>
      </c>
      <c r="J61" s="422"/>
      <c r="K61" s="422"/>
      <c r="L61" s="422"/>
      <c r="M61" s="422"/>
      <c r="N61" s="422"/>
      <c r="O61" s="422"/>
      <c r="P61" s="422"/>
      <c r="Q61" s="422"/>
      <c r="R61" s="422"/>
      <c r="S61" s="422"/>
      <c r="T61" s="354" t="s">
        <v>142</v>
      </c>
      <c r="U61" s="354"/>
      <c r="V61" s="355"/>
      <c r="W61" s="356"/>
      <c r="X61" s="351"/>
      <c r="Y61" s="350"/>
      <c r="Z61" s="350"/>
      <c r="AA61" s="350"/>
      <c r="AB61" s="350"/>
      <c r="AC61" s="350"/>
      <c r="AD61" s="350"/>
      <c r="AE61" s="350"/>
      <c r="AF61" s="350"/>
      <c r="AG61" s="350"/>
      <c r="AH61" s="350"/>
    </row>
    <row r="62" spans="1:34" s="108" customFormat="1" ht="24.95" customHeight="1" x14ac:dyDescent="0.6">
      <c r="A62" s="268" t="s">
        <v>160</v>
      </c>
      <c r="B62" s="415" t="str">
        <f>B2</f>
        <v>แจ้งวัฒนะ - กำแพงเพชร</v>
      </c>
      <c r="C62" s="415"/>
      <c r="D62" s="415"/>
      <c r="E62" s="415"/>
      <c r="F62" s="441" t="s">
        <v>161</v>
      </c>
      <c r="G62" s="441"/>
      <c r="H62" s="110" t="str">
        <f>H2</f>
        <v>500</v>
      </c>
      <c r="I62" s="111"/>
      <c r="J62" s="111"/>
      <c r="K62" s="111"/>
      <c r="L62" s="109"/>
      <c r="M62" s="109" t="s">
        <v>162</v>
      </c>
      <c r="N62" s="399" t="str">
        <f t="shared" ref="N62" si="16">N2</f>
        <v>20 พฤษภาคม 2569</v>
      </c>
      <c r="O62" s="399"/>
      <c r="P62" s="399"/>
      <c r="Q62" s="399"/>
      <c r="R62" s="111"/>
      <c r="S62" s="109" t="s">
        <v>6</v>
      </c>
      <c r="T62" s="109"/>
      <c r="U62" s="113" t="str">
        <f>U2</f>
        <v>ปกติ</v>
      </c>
      <c r="V62" s="113"/>
      <c r="W62" s="205"/>
      <c r="X62" s="112"/>
      <c r="Y62" s="107"/>
      <c r="Z62" s="107"/>
      <c r="AA62" s="107"/>
      <c r="AB62" s="107"/>
      <c r="AC62" s="107"/>
      <c r="AD62" s="107"/>
      <c r="AE62" s="107"/>
      <c r="AF62" s="107"/>
      <c r="AG62" s="107"/>
      <c r="AH62" s="107"/>
    </row>
    <row r="63" spans="1:34" s="246" customFormat="1" ht="17.25" customHeight="1" x14ac:dyDescent="0.6">
      <c r="A63" s="292"/>
      <c r="B63" s="292"/>
      <c r="C63" s="293"/>
      <c r="D63" s="294"/>
      <c r="E63" s="295"/>
      <c r="F63" s="296"/>
      <c r="G63" s="297"/>
      <c r="H63" s="234"/>
      <c r="I63" s="234"/>
      <c r="J63" s="234" t="s">
        <v>163</v>
      </c>
      <c r="K63" s="234"/>
      <c r="L63" s="234"/>
      <c r="M63" s="234"/>
      <c r="N63" s="234"/>
      <c r="O63" s="234" t="s">
        <v>219</v>
      </c>
      <c r="P63" s="234"/>
      <c r="Q63" s="234"/>
      <c r="R63" s="234" t="s">
        <v>220</v>
      </c>
      <c r="S63" s="234"/>
      <c r="T63" s="236"/>
      <c r="U63" s="358"/>
      <c r="V63" s="284"/>
      <c r="W63" s="348"/>
      <c r="X63" s="186"/>
      <c r="Y63" s="245"/>
      <c r="Z63" s="245"/>
      <c r="AA63" s="245"/>
      <c r="AB63" s="245"/>
      <c r="AC63" s="245"/>
      <c r="AD63" s="245"/>
      <c r="AE63" s="245"/>
      <c r="AF63" s="245"/>
      <c r="AG63" s="245"/>
      <c r="AH63" s="245"/>
    </row>
    <row r="64" spans="1:34" s="246" customFormat="1" ht="17.25" customHeight="1" x14ac:dyDescent="0.6">
      <c r="A64" s="241"/>
      <c r="B64" s="241"/>
      <c r="C64" s="241"/>
      <c r="D64" s="280"/>
      <c r="E64" s="281"/>
      <c r="F64" s="282" t="s">
        <v>142</v>
      </c>
      <c r="G64" s="283" t="s">
        <v>50</v>
      </c>
      <c r="H64" s="182" t="s">
        <v>189</v>
      </c>
      <c r="I64" s="182" t="s">
        <v>190</v>
      </c>
      <c r="J64" s="183" t="s">
        <v>191</v>
      </c>
      <c r="K64" s="182" t="s">
        <v>192</v>
      </c>
      <c r="L64" s="182" t="s">
        <v>193</v>
      </c>
      <c r="M64" s="183" t="s">
        <v>194</v>
      </c>
      <c r="N64" s="182" t="s">
        <v>195</v>
      </c>
      <c r="O64" s="182" t="s">
        <v>196</v>
      </c>
      <c r="P64" s="182" t="s">
        <v>197</v>
      </c>
      <c r="Q64" s="182" t="s">
        <v>198</v>
      </c>
      <c r="R64" s="182" t="s">
        <v>199</v>
      </c>
      <c r="S64" s="182" t="s">
        <v>200</v>
      </c>
      <c r="T64" s="184" t="s">
        <v>179</v>
      </c>
      <c r="U64" s="359"/>
      <c r="V64" s="284"/>
      <c r="W64" s="348"/>
      <c r="X64" s="186"/>
      <c r="Y64" s="245"/>
      <c r="Z64" s="245"/>
      <c r="AA64" s="245"/>
      <c r="AB64" s="245"/>
      <c r="AC64" s="245"/>
      <c r="AD64" s="245"/>
      <c r="AE64" s="245"/>
      <c r="AF64" s="245"/>
      <c r="AG64" s="245"/>
      <c r="AH64" s="245"/>
    </row>
    <row r="65" spans="1:34" s="246" customFormat="1" ht="17.25" customHeight="1" x14ac:dyDescent="0.6">
      <c r="A65" s="285"/>
      <c r="B65" s="241"/>
      <c r="C65" s="241"/>
      <c r="D65" s="280"/>
      <c r="E65" s="281"/>
      <c r="F65" s="282"/>
      <c r="G65" s="286">
        <v>15</v>
      </c>
      <c r="H65" s="287">
        <f>SUM(H15,H29,H43,H57)</f>
        <v>909</v>
      </c>
      <c r="I65" s="287">
        <f t="shared" ref="I65:S65" si="17">SUM(I15,I29,I43,I57)</f>
        <v>896</v>
      </c>
      <c r="J65" s="287">
        <f t="shared" si="17"/>
        <v>880</v>
      </c>
      <c r="K65" s="287">
        <f t="shared" si="17"/>
        <v>784</v>
      </c>
      <c r="L65" s="287">
        <f t="shared" si="17"/>
        <v>787</v>
      </c>
      <c r="M65" s="287">
        <f t="shared" si="17"/>
        <v>805</v>
      </c>
      <c r="N65" s="287">
        <f t="shared" si="17"/>
        <v>809</v>
      </c>
      <c r="O65" s="287">
        <f t="shared" si="17"/>
        <v>786</v>
      </c>
      <c r="P65" s="287">
        <f t="shared" si="17"/>
        <v>788</v>
      </c>
      <c r="Q65" s="287">
        <f t="shared" si="17"/>
        <v>921</v>
      </c>
      <c r="R65" s="287">
        <f t="shared" si="17"/>
        <v>951</v>
      </c>
      <c r="S65" s="287">
        <f t="shared" si="17"/>
        <v>947</v>
      </c>
      <c r="T65" s="191">
        <f>SUM($H$65:$S$65)</f>
        <v>10263</v>
      </c>
      <c r="U65" s="359"/>
      <c r="V65" s="284"/>
      <c r="W65" s="348"/>
      <c r="X65" s="186"/>
      <c r="Y65" s="245"/>
      <c r="Z65" s="245"/>
      <c r="AA65" s="245"/>
      <c r="AB65" s="245"/>
      <c r="AC65" s="245"/>
      <c r="AD65" s="245"/>
      <c r="AE65" s="245"/>
      <c r="AF65" s="245"/>
      <c r="AG65" s="245"/>
      <c r="AH65" s="245"/>
    </row>
    <row r="66" spans="1:34" s="246" customFormat="1" ht="17.25" customHeight="1" x14ac:dyDescent="0.6">
      <c r="A66" s="241"/>
      <c r="B66" s="241"/>
      <c r="C66" s="241"/>
      <c r="D66" s="280"/>
      <c r="E66" s="281"/>
      <c r="F66" s="282"/>
      <c r="G66" s="288">
        <v>30</v>
      </c>
      <c r="H66" s="287">
        <f>SUM(H16,H30,H44,H58)</f>
        <v>1769</v>
      </c>
      <c r="I66" s="287">
        <f t="shared" ref="H66:S67" si="18">SUM(I16,I30,I44,I58)</f>
        <v>1769</v>
      </c>
      <c r="J66" s="287">
        <f t="shared" si="18"/>
        <v>1707</v>
      </c>
      <c r="K66" s="287">
        <f t="shared" si="18"/>
        <v>1571</v>
      </c>
      <c r="L66" s="287">
        <f t="shared" si="18"/>
        <v>1581</v>
      </c>
      <c r="M66" s="287">
        <f t="shared" si="18"/>
        <v>1590</v>
      </c>
      <c r="N66" s="287">
        <f t="shared" si="18"/>
        <v>1653</v>
      </c>
      <c r="O66" s="287">
        <f t="shared" si="18"/>
        <v>1586</v>
      </c>
      <c r="P66" s="287">
        <f t="shared" si="18"/>
        <v>1590</v>
      </c>
      <c r="Q66" s="287">
        <f t="shared" si="18"/>
        <v>1843</v>
      </c>
      <c r="R66" s="287">
        <f t="shared" si="18"/>
        <v>1936</v>
      </c>
      <c r="S66" s="287">
        <f t="shared" si="18"/>
        <v>1808</v>
      </c>
      <c r="T66" s="191">
        <f>SUM($H$66:$S$66)</f>
        <v>20403</v>
      </c>
      <c r="U66" s="359"/>
      <c r="V66" s="284"/>
      <c r="W66" s="348"/>
      <c r="X66" s="186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</row>
    <row r="67" spans="1:34" s="246" customFormat="1" ht="17.25" customHeight="1" x14ac:dyDescent="0.6">
      <c r="A67" s="241"/>
      <c r="B67" s="289"/>
      <c r="C67" s="241"/>
      <c r="D67" s="280"/>
      <c r="E67" s="281"/>
      <c r="F67" s="282"/>
      <c r="G67" s="288">
        <v>45</v>
      </c>
      <c r="H67" s="287">
        <f t="shared" si="18"/>
        <v>2673</v>
      </c>
      <c r="I67" s="287">
        <f t="shared" si="18"/>
        <v>2600</v>
      </c>
      <c r="J67" s="287">
        <f t="shared" si="18"/>
        <v>2593</v>
      </c>
      <c r="K67" s="287">
        <f t="shared" si="18"/>
        <v>2372</v>
      </c>
      <c r="L67" s="287">
        <f t="shared" si="18"/>
        <v>2367</v>
      </c>
      <c r="M67" s="287">
        <f t="shared" si="18"/>
        <v>2339</v>
      </c>
      <c r="N67" s="287">
        <f t="shared" si="18"/>
        <v>2400</v>
      </c>
      <c r="O67" s="287">
        <f t="shared" si="18"/>
        <v>2399</v>
      </c>
      <c r="P67" s="287">
        <f t="shared" si="18"/>
        <v>2464</v>
      </c>
      <c r="Q67" s="287">
        <f t="shared" si="18"/>
        <v>2767</v>
      </c>
      <c r="R67" s="287">
        <f t="shared" si="18"/>
        <v>2840</v>
      </c>
      <c r="S67" s="287">
        <f t="shared" si="18"/>
        <v>2680</v>
      </c>
      <c r="T67" s="191">
        <f>SUM($H$67:$S$67)</f>
        <v>30494</v>
      </c>
      <c r="U67" s="359"/>
      <c r="V67" s="284"/>
      <c r="W67" s="348"/>
      <c r="X67" s="186"/>
      <c r="Y67" s="245"/>
      <c r="Z67" s="245"/>
      <c r="AA67" s="245"/>
      <c r="AB67" s="245"/>
      <c r="AC67" s="245"/>
      <c r="AD67" s="245"/>
      <c r="AE67" s="245"/>
      <c r="AF67" s="245"/>
      <c r="AG67" s="245"/>
      <c r="AH67" s="245"/>
    </row>
    <row r="68" spans="1:34" s="246" customFormat="1" ht="17.25" customHeight="1" x14ac:dyDescent="0.6">
      <c r="A68" s="241"/>
      <c r="B68" s="280"/>
      <c r="C68" s="241"/>
      <c r="D68" s="290"/>
      <c r="E68" s="281"/>
      <c r="F68" s="196"/>
      <c r="G68" s="291" t="s">
        <v>221</v>
      </c>
      <c r="H68" s="191">
        <f>SUM(H12,H26,H40,H54)</f>
        <v>3550</v>
      </c>
      <c r="I68" s="191">
        <f t="shared" ref="I68:S68" si="19">SUM(I12,I26,I40,I54)</f>
        <v>3448</v>
      </c>
      <c r="J68" s="191">
        <f t="shared" si="19"/>
        <v>3368</v>
      </c>
      <c r="K68" s="191">
        <f t="shared" si="19"/>
        <v>3173</v>
      </c>
      <c r="L68" s="191">
        <f t="shared" si="19"/>
        <v>3134</v>
      </c>
      <c r="M68" s="191">
        <f t="shared" si="19"/>
        <v>3133</v>
      </c>
      <c r="N68" s="191">
        <f t="shared" si="19"/>
        <v>3180</v>
      </c>
      <c r="O68" s="191">
        <f t="shared" si="19"/>
        <v>3210</v>
      </c>
      <c r="P68" s="191">
        <f t="shared" si="19"/>
        <v>3309</v>
      </c>
      <c r="Q68" s="191">
        <f t="shared" si="19"/>
        <v>3734</v>
      </c>
      <c r="R68" s="191">
        <f t="shared" si="19"/>
        <v>3835</v>
      </c>
      <c r="S68" s="191">
        <f t="shared" si="19"/>
        <v>3477</v>
      </c>
      <c r="T68" s="191">
        <f>SUM($H$68:$S$68)</f>
        <v>40551</v>
      </c>
      <c r="U68" s="360"/>
      <c r="V68" s="284"/>
      <c r="W68" s="348"/>
      <c r="X68" s="186"/>
      <c r="Y68" s="245"/>
      <c r="Z68" s="245"/>
      <c r="AA68" s="245"/>
      <c r="AB68" s="245"/>
      <c r="AC68" s="245"/>
      <c r="AD68" s="245"/>
      <c r="AE68" s="245"/>
      <c r="AF68" s="245"/>
      <c r="AG68" s="245"/>
      <c r="AH68" s="245"/>
    </row>
    <row r="69" spans="1:34" s="246" customFormat="1" ht="17.25" customHeight="1" x14ac:dyDescent="0.6">
      <c r="A69" s="241"/>
      <c r="B69" s="241"/>
      <c r="C69" s="241"/>
      <c r="D69" s="241"/>
      <c r="E69" s="242"/>
      <c r="F69" s="196"/>
      <c r="G69" s="243"/>
      <c r="H69" s="244" t="s">
        <v>263</v>
      </c>
      <c r="I69" s="244"/>
      <c r="J69" s="244"/>
      <c r="K69" s="244"/>
      <c r="L69" s="244"/>
      <c r="N69" s="244"/>
      <c r="O69" s="244"/>
      <c r="P69" s="244"/>
      <c r="Q69" s="244"/>
      <c r="R69" s="244"/>
      <c r="S69" s="244"/>
      <c r="T69" s="185"/>
      <c r="U69" s="185"/>
      <c r="V69" s="185"/>
      <c r="W69" s="204"/>
      <c r="X69" s="186"/>
      <c r="Y69" s="245"/>
      <c r="Z69" s="245"/>
      <c r="AA69" s="245"/>
      <c r="AB69" s="245"/>
      <c r="AC69" s="245"/>
      <c r="AD69" s="245"/>
      <c r="AE69" s="245"/>
      <c r="AF69" s="245"/>
      <c r="AG69" s="245"/>
      <c r="AH69" s="245"/>
    </row>
    <row r="70" spans="1:34" ht="17.25" customHeight="1" x14ac:dyDescent="0.6">
      <c r="A70" s="125"/>
      <c r="B70" s="119"/>
      <c r="C70" s="119"/>
      <c r="D70" s="119"/>
      <c r="E70" s="126"/>
      <c r="F70" s="131" t="s">
        <v>222</v>
      </c>
      <c r="G70" s="225"/>
      <c r="H70" s="239" t="s">
        <v>223</v>
      </c>
      <c r="I70" s="239" t="s">
        <v>224</v>
      </c>
      <c r="J70" s="239" t="s">
        <v>225</v>
      </c>
      <c r="K70" s="239" t="s">
        <v>226</v>
      </c>
      <c r="L70" s="239" t="s">
        <v>179</v>
      </c>
      <c r="M70" s="239" t="s">
        <v>227</v>
      </c>
      <c r="N70" s="239" t="s">
        <v>228</v>
      </c>
      <c r="O70" s="239" t="s">
        <v>229</v>
      </c>
      <c r="P70" s="239" t="s">
        <v>230</v>
      </c>
      <c r="Q70" s="239" t="s">
        <v>179</v>
      </c>
      <c r="R70" s="239" t="s">
        <v>231</v>
      </c>
      <c r="S70" s="239" t="s">
        <v>232</v>
      </c>
      <c r="T70" s="240" t="s">
        <v>233</v>
      </c>
      <c r="U70" s="240" t="s">
        <v>234</v>
      </c>
      <c r="V70" s="240" t="s">
        <v>179</v>
      </c>
      <c r="W70" s="240" t="s">
        <v>268</v>
      </c>
      <c r="X70" s="118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</row>
    <row r="71" spans="1:34" ht="17.25" customHeight="1" x14ac:dyDescent="0.6">
      <c r="A71" s="125"/>
      <c r="B71" s="119"/>
      <c r="C71" s="119"/>
      <c r="D71" s="119"/>
      <c r="E71" s="126"/>
      <c r="F71" s="132" t="s">
        <v>51</v>
      </c>
      <c r="G71" s="226"/>
      <c r="H71" s="188">
        <f>Analysis!$B$97</f>
        <v>712</v>
      </c>
      <c r="I71" s="188">
        <f>Analysis!$AD$97</f>
        <v>2398</v>
      </c>
      <c r="J71" s="188">
        <f>Analysis!$BF$97</f>
        <v>1010</v>
      </c>
      <c r="K71" s="188">
        <f>Analysis!$CH$97</f>
        <v>1600</v>
      </c>
      <c r="L71" s="227">
        <f>SUM($H$71:$K$71)</f>
        <v>5720</v>
      </c>
      <c r="M71" s="188">
        <f>Analysis!$B$98</f>
        <v>3305</v>
      </c>
      <c r="N71" s="188">
        <f>Analysis!$AD$98</f>
        <v>8570</v>
      </c>
      <c r="O71" s="188">
        <f>Analysis!$BF$98</f>
        <v>3852</v>
      </c>
      <c r="P71" s="188">
        <f>Analysis!$CH$98</f>
        <v>4427</v>
      </c>
      <c r="Q71" s="227">
        <f>SUM($M$71:$P$71)</f>
        <v>20154</v>
      </c>
      <c r="R71" s="188">
        <f>Analysis!$B$99</f>
        <v>711</v>
      </c>
      <c r="S71" s="188">
        <f>Analysis!$AD$99</f>
        <v>2366</v>
      </c>
      <c r="T71" s="188">
        <f>Analysis!$BF$99</f>
        <v>948</v>
      </c>
      <c r="U71" s="188">
        <f>Analysis!$CH$99</f>
        <v>1716</v>
      </c>
      <c r="V71" s="228">
        <f>SUM($R$71:$U$71)</f>
        <v>5741</v>
      </c>
      <c r="W71" s="254">
        <f>SUM($V$71,$Q$71,$L$71)</f>
        <v>31615</v>
      </c>
      <c r="X71" s="118"/>
      <c r="Y71" s="114"/>
      <c r="Z71" s="114"/>
      <c r="AA71" s="114" t="s">
        <v>235</v>
      </c>
      <c r="AB71" s="133" t="s">
        <v>236</v>
      </c>
      <c r="AC71" s="134">
        <f>H71+J71</f>
        <v>1722</v>
      </c>
      <c r="AD71" s="134">
        <f>H72+J72</f>
        <v>363</v>
      </c>
      <c r="AE71" s="134">
        <f>H73+J73</f>
        <v>2</v>
      </c>
      <c r="AF71" s="134">
        <f>H74+J74</f>
        <v>0</v>
      </c>
      <c r="AG71" s="134">
        <f>H75+J75</f>
        <v>8</v>
      </c>
      <c r="AH71" s="134">
        <f>H76+J76</f>
        <v>3</v>
      </c>
    </row>
    <row r="72" spans="1:34" ht="17.25" customHeight="1" x14ac:dyDescent="0.6">
      <c r="A72" s="125"/>
      <c r="B72" s="119"/>
      <c r="C72" s="119"/>
      <c r="D72" s="119"/>
      <c r="E72" s="124"/>
      <c r="F72" s="135" t="s">
        <v>237</v>
      </c>
      <c r="G72" s="226"/>
      <c r="H72" s="188">
        <f>Analysis!$C$97</f>
        <v>155</v>
      </c>
      <c r="I72" s="188">
        <f>Analysis!$AE$97</f>
        <v>607</v>
      </c>
      <c r="J72" s="188">
        <f>Analysis!$BG$97</f>
        <v>208</v>
      </c>
      <c r="K72" s="188">
        <f>Analysis!$CI$97</f>
        <v>202</v>
      </c>
      <c r="L72" s="227">
        <f>SUM($H$72:$K$72)</f>
        <v>1172</v>
      </c>
      <c r="M72" s="188">
        <f>Analysis!$C$98</f>
        <v>846</v>
      </c>
      <c r="N72" s="188">
        <f>Analysis!$AE$98</f>
        <v>2910</v>
      </c>
      <c r="O72" s="188">
        <f>Analysis!$BG$98</f>
        <v>860</v>
      </c>
      <c r="P72" s="188">
        <f>Analysis!$CI$98</f>
        <v>1029</v>
      </c>
      <c r="Q72" s="227">
        <f>SUM($M$72:$P$72)</f>
        <v>5645</v>
      </c>
      <c r="R72" s="188">
        <f>Analysis!$C$99</f>
        <v>174</v>
      </c>
      <c r="S72" s="188">
        <f>Analysis!$AE$99</f>
        <v>649</v>
      </c>
      <c r="T72" s="188">
        <f>Analysis!$BG$99</f>
        <v>222</v>
      </c>
      <c r="U72" s="188">
        <f>Analysis!$CI$99</f>
        <v>447</v>
      </c>
      <c r="V72" s="228">
        <f>SUM($R$72:$U$72)</f>
        <v>1492</v>
      </c>
      <c r="W72" s="254">
        <f>SUM($V$72,$Q$72,$L$72)</f>
        <v>8309</v>
      </c>
      <c r="X72" s="118"/>
      <c r="Y72" s="114"/>
      <c r="Z72" s="114"/>
      <c r="AA72" s="114"/>
      <c r="AB72" s="133" t="s">
        <v>238</v>
      </c>
      <c r="AC72" s="134">
        <f>M71+O71</f>
        <v>7157</v>
      </c>
      <c r="AD72" s="134">
        <f>M72+O72</f>
        <v>1706</v>
      </c>
      <c r="AE72" s="134">
        <f>M73+O73</f>
        <v>1</v>
      </c>
      <c r="AF72" s="134">
        <f>M74+O74</f>
        <v>0</v>
      </c>
      <c r="AG72" s="134">
        <f>M75+O75</f>
        <v>56</v>
      </c>
      <c r="AH72" s="134">
        <f>M76+O76</f>
        <v>17</v>
      </c>
    </row>
    <row r="73" spans="1:34" ht="17.25" customHeight="1" x14ac:dyDescent="0.6">
      <c r="A73" s="119"/>
      <c r="B73" s="119"/>
      <c r="C73" s="119"/>
      <c r="D73" s="119"/>
      <c r="E73" s="124"/>
      <c r="F73" s="135" t="s">
        <v>53</v>
      </c>
      <c r="G73" s="226"/>
      <c r="H73" s="188">
        <f>Analysis!$D$97</f>
        <v>1</v>
      </c>
      <c r="I73" s="188">
        <f>Analysis!$AF$97</f>
        <v>5</v>
      </c>
      <c r="J73" s="188">
        <f>Analysis!$BH$97</f>
        <v>1</v>
      </c>
      <c r="K73" s="188">
        <f>Analysis!$CJ$97</f>
        <v>10</v>
      </c>
      <c r="L73" s="227">
        <f>SUM($H$73:$K$73)</f>
        <v>17</v>
      </c>
      <c r="M73" s="188">
        <f>Analysis!$D$98</f>
        <v>1</v>
      </c>
      <c r="N73" s="188">
        <f>Analysis!$AF$98</f>
        <v>26</v>
      </c>
      <c r="O73" s="188">
        <f>Analysis!$BH$98</f>
        <v>0</v>
      </c>
      <c r="P73" s="188">
        <f>Analysis!$CJ$98</f>
        <v>13</v>
      </c>
      <c r="Q73" s="227">
        <f>SUM($M$73:$P$73)</f>
        <v>40</v>
      </c>
      <c r="R73" s="188">
        <f>Analysis!$D$99</f>
        <v>1</v>
      </c>
      <c r="S73" s="188">
        <f>Analysis!$AF$99</f>
        <v>7</v>
      </c>
      <c r="T73" s="188">
        <f>Analysis!$BH$99</f>
        <v>2</v>
      </c>
      <c r="U73" s="188">
        <f>Analysis!$CJ$99</f>
        <v>2</v>
      </c>
      <c r="V73" s="228">
        <f>SUM($R$73:$U$73)</f>
        <v>12</v>
      </c>
      <c r="W73" s="254">
        <f>SUM($V$73,$Q$73,$L$73)</f>
        <v>69</v>
      </c>
      <c r="X73" s="118"/>
      <c r="Y73" s="114"/>
      <c r="Z73" s="114"/>
      <c r="AA73" s="114"/>
      <c r="AB73" s="133" t="s">
        <v>239</v>
      </c>
      <c r="AC73" s="136">
        <f>R71+T71</f>
        <v>1659</v>
      </c>
      <c r="AD73" s="136">
        <f>R72+T72</f>
        <v>396</v>
      </c>
      <c r="AE73" s="136">
        <f>R73+T73</f>
        <v>3</v>
      </c>
      <c r="AF73" s="136">
        <f>R74+T74</f>
        <v>0</v>
      </c>
      <c r="AG73" s="136">
        <f>R75+T75</f>
        <v>10</v>
      </c>
      <c r="AH73" s="136">
        <f>R76+T76</f>
        <v>3</v>
      </c>
    </row>
    <row r="74" spans="1:34" ht="17.25" customHeight="1" x14ac:dyDescent="0.6">
      <c r="A74" s="125"/>
      <c r="B74" s="119"/>
      <c r="C74" s="119"/>
      <c r="D74" s="119"/>
      <c r="E74" s="124"/>
      <c r="F74" s="135" t="s">
        <v>54</v>
      </c>
      <c r="G74" s="226"/>
      <c r="H74" s="188">
        <f>Analysis!$E$97</f>
        <v>0</v>
      </c>
      <c r="I74" s="188">
        <f>Analysis!$AG$97</f>
        <v>1</v>
      </c>
      <c r="J74" s="188">
        <f>Analysis!$BI$97</f>
        <v>0</v>
      </c>
      <c r="K74" s="188">
        <f>Analysis!$CK$97</f>
        <v>1</v>
      </c>
      <c r="L74" s="227">
        <f>SUM($H$74:$K$74)</f>
        <v>2</v>
      </c>
      <c r="M74" s="188">
        <f>Analysis!$E$98</f>
        <v>0</v>
      </c>
      <c r="N74" s="188">
        <f>Analysis!$AG$98</f>
        <v>8</v>
      </c>
      <c r="O74" s="188">
        <f>Analysis!$BI$98</f>
        <v>0</v>
      </c>
      <c r="P74" s="188">
        <f>Analysis!$CK$98</f>
        <v>7</v>
      </c>
      <c r="Q74" s="227">
        <f>SUM($M$74:$P$74)</f>
        <v>15</v>
      </c>
      <c r="R74" s="188">
        <f>Analysis!$E$99</f>
        <v>0</v>
      </c>
      <c r="S74" s="188">
        <f>Analysis!$AG$99</f>
        <v>2</v>
      </c>
      <c r="T74" s="188">
        <f>Analysis!$BI$99</f>
        <v>0</v>
      </c>
      <c r="U74" s="188">
        <f>Analysis!$CK$99</f>
        <v>4</v>
      </c>
      <c r="V74" s="228">
        <f>SUM($R$74:$U$74)</f>
        <v>6</v>
      </c>
      <c r="W74" s="254">
        <f>SUM($V$74,$Q$74,$L$74)</f>
        <v>23</v>
      </c>
      <c r="X74" s="118"/>
      <c r="Y74" s="114"/>
      <c r="Z74" s="114"/>
      <c r="AA74" s="114" t="s">
        <v>240</v>
      </c>
      <c r="AB74" s="133" t="s">
        <v>236</v>
      </c>
      <c r="AC74" s="134">
        <f>I71+K71</f>
        <v>3998</v>
      </c>
      <c r="AD74" s="134">
        <f>I72+K72</f>
        <v>809</v>
      </c>
      <c r="AE74" s="134">
        <f>I73+K73</f>
        <v>15</v>
      </c>
      <c r="AF74" s="134">
        <f>I74+K74</f>
        <v>2</v>
      </c>
      <c r="AG74" s="134">
        <f>I75+K75</f>
        <v>71</v>
      </c>
      <c r="AH74" s="134">
        <f>I76+K76</f>
        <v>5</v>
      </c>
    </row>
    <row r="75" spans="1:34" ht="17.25" customHeight="1" x14ac:dyDescent="0.6">
      <c r="A75" s="119"/>
      <c r="B75" s="123"/>
      <c r="C75" s="119"/>
      <c r="D75" s="119"/>
      <c r="E75" s="127"/>
      <c r="F75" s="135" t="s">
        <v>55</v>
      </c>
      <c r="G75" s="226"/>
      <c r="H75" s="188">
        <f>Analysis!$F$97</f>
        <v>5</v>
      </c>
      <c r="I75" s="188">
        <f>Analysis!$AH$97</f>
        <v>44</v>
      </c>
      <c r="J75" s="188">
        <f>Analysis!$BJ$97</f>
        <v>3</v>
      </c>
      <c r="K75" s="188">
        <f>Analysis!$CL$97</f>
        <v>27</v>
      </c>
      <c r="L75" s="227">
        <f>SUM($H$75:$K$75)</f>
        <v>79</v>
      </c>
      <c r="M75" s="188">
        <f>Analysis!$F$98</f>
        <v>28</v>
      </c>
      <c r="N75" s="188">
        <f>Analysis!$AH$98</f>
        <v>220</v>
      </c>
      <c r="O75" s="188">
        <f>Analysis!$BJ$98</f>
        <v>28</v>
      </c>
      <c r="P75" s="188">
        <f>Analysis!$CL$98</f>
        <v>63</v>
      </c>
      <c r="Q75" s="227">
        <f>SUM($M$75:$P$75)</f>
        <v>339</v>
      </c>
      <c r="R75" s="188">
        <f>Analysis!$F$99</f>
        <v>5</v>
      </c>
      <c r="S75" s="188">
        <f>Analysis!$AH$99</f>
        <v>27</v>
      </c>
      <c r="T75" s="188">
        <f>Analysis!$BJ$99</f>
        <v>5</v>
      </c>
      <c r="U75" s="188">
        <f>Analysis!$CL$99</f>
        <v>7</v>
      </c>
      <c r="V75" s="228">
        <f>SUM($R$75:$U$75)</f>
        <v>44</v>
      </c>
      <c r="W75" s="254">
        <f>SUM($V$75,$Q$75,$L$75)</f>
        <v>462</v>
      </c>
      <c r="X75" s="118"/>
      <c r="Y75" s="114"/>
      <c r="Z75" s="114"/>
      <c r="AA75" s="114"/>
      <c r="AB75" s="133" t="s">
        <v>238</v>
      </c>
      <c r="AC75" s="134">
        <f>N71+P71</f>
        <v>12997</v>
      </c>
      <c r="AD75" s="134">
        <f>N72+P72</f>
        <v>3939</v>
      </c>
      <c r="AE75" s="134">
        <f>N73+P73</f>
        <v>39</v>
      </c>
      <c r="AF75" s="134">
        <f>N74+P74</f>
        <v>15</v>
      </c>
      <c r="AG75" s="134">
        <f>N75+P75</f>
        <v>283</v>
      </c>
      <c r="AH75" s="134">
        <f>N76+P76</f>
        <v>31</v>
      </c>
    </row>
    <row r="76" spans="1:34" ht="17.25" customHeight="1" x14ac:dyDescent="0.6">
      <c r="A76" s="119"/>
      <c r="B76" s="120"/>
      <c r="C76" s="119"/>
      <c r="D76" s="119"/>
      <c r="E76" s="121"/>
      <c r="F76" s="135" t="s">
        <v>56</v>
      </c>
      <c r="G76" s="226"/>
      <c r="H76" s="188">
        <f>Analysis!$G$97</f>
        <v>3</v>
      </c>
      <c r="I76" s="188">
        <f>Analysis!$AI$97</f>
        <v>5</v>
      </c>
      <c r="J76" s="188">
        <f>Analysis!$BK$97</f>
        <v>0</v>
      </c>
      <c r="K76" s="188">
        <f>Analysis!$CM$97</f>
        <v>0</v>
      </c>
      <c r="L76" s="227">
        <f>SUM($H$76:$K$76)</f>
        <v>8</v>
      </c>
      <c r="M76" s="188">
        <f>Analysis!$G$98</f>
        <v>17</v>
      </c>
      <c r="N76" s="188">
        <f>Analysis!$AI$98</f>
        <v>19</v>
      </c>
      <c r="O76" s="188">
        <f>Analysis!$BK$98</f>
        <v>0</v>
      </c>
      <c r="P76" s="188">
        <f>Analysis!$CM$98</f>
        <v>12</v>
      </c>
      <c r="Q76" s="227">
        <f>SUM($M$76:$P$76)</f>
        <v>48</v>
      </c>
      <c r="R76" s="188">
        <f>Analysis!$G$99</f>
        <v>3</v>
      </c>
      <c r="S76" s="188">
        <f>Analysis!$AI$99</f>
        <v>9</v>
      </c>
      <c r="T76" s="188">
        <f>Analysis!$BK$99</f>
        <v>0</v>
      </c>
      <c r="U76" s="188">
        <f>Analysis!$CM$99</f>
        <v>5</v>
      </c>
      <c r="V76" s="228">
        <f>SUM($R$76:$U$76)</f>
        <v>17</v>
      </c>
      <c r="W76" s="254">
        <f>SUM($V$76,$Q$76,$L$76)</f>
        <v>73</v>
      </c>
      <c r="X76" s="137" t="s">
        <v>241</v>
      </c>
      <c r="Y76" s="114"/>
      <c r="Z76" s="114"/>
      <c r="AA76" s="114"/>
      <c r="AB76" s="133" t="s">
        <v>239</v>
      </c>
      <c r="AC76" s="136">
        <f>S71+U71</f>
        <v>4082</v>
      </c>
      <c r="AD76" s="136">
        <f>S72+U72</f>
        <v>1096</v>
      </c>
      <c r="AE76" s="136">
        <f>S73+U73</f>
        <v>9</v>
      </c>
      <c r="AF76" s="136">
        <f>S74+U74</f>
        <v>6</v>
      </c>
      <c r="AG76" s="136">
        <f>S75+U75</f>
        <v>34</v>
      </c>
      <c r="AH76" s="136">
        <f>S76+U76</f>
        <v>14</v>
      </c>
    </row>
    <row r="77" spans="1:34" ht="17.25" customHeight="1" x14ac:dyDescent="0.6">
      <c r="A77" s="119"/>
      <c r="B77" s="120"/>
      <c r="C77" s="119"/>
      <c r="D77" s="119"/>
      <c r="E77" s="121"/>
      <c r="F77" s="229" t="s">
        <v>242</v>
      </c>
      <c r="G77" s="230"/>
      <c r="H77" s="231">
        <f>SUM($H$71:$H$76)</f>
        <v>876</v>
      </c>
      <c r="I77" s="231">
        <f>SUM($I$71:$I$76)</f>
        <v>3060</v>
      </c>
      <c r="J77" s="231">
        <f>SUM($J$71:$J$76)</f>
        <v>1222</v>
      </c>
      <c r="K77" s="231">
        <f>SUM($K$71:$K$76)</f>
        <v>1840</v>
      </c>
      <c r="L77" s="231">
        <f>SUM($L$71:$L$76)</f>
        <v>6998</v>
      </c>
      <c r="M77" s="231">
        <f>SUM($M$71:$M$76)</f>
        <v>4197</v>
      </c>
      <c r="N77" s="231">
        <f>SUM($N$71:$N$76)</f>
        <v>11753</v>
      </c>
      <c r="O77" s="231">
        <f>SUM($O$71:$O$76)</f>
        <v>4740</v>
      </c>
      <c r="P77" s="231">
        <f>SUM($P$71:$P$76)</f>
        <v>5551</v>
      </c>
      <c r="Q77" s="231">
        <f>SUM($Q$71:$Q$76)</f>
        <v>26241</v>
      </c>
      <c r="R77" s="231">
        <f>SUM($R$71:$R$76)</f>
        <v>894</v>
      </c>
      <c r="S77" s="231">
        <f>SUM($S$71:$S$76)</f>
        <v>3060</v>
      </c>
      <c r="T77" s="231">
        <f>SUM($T$71:$T$76)</f>
        <v>1177</v>
      </c>
      <c r="U77" s="231">
        <f>SUM($U$71:$U$76)</f>
        <v>2181</v>
      </c>
      <c r="V77" s="231">
        <f>SUM($V$71:$V$76)</f>
        <v>7312</v>
      </c>
      <c r="W77" s="207">
        <f>SUM($V$77,$Q$77,$L$77)</f>
        <v>40551</v>
      </c>
      <c r="X77" s="189">
        <f>$W$77/12</f>
        <v>3379.25</v>
      </c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</row>
    <row r="78" spans="1:34" ht="17.25" hidden="1" customHeight="1" x14ac:dyDescent="0.6">
      <c r="A78" s="119"/>
      <c r="B78" s="120"/>
      <c r="C78" s="119"/>
      <c r="D78" s="119"/>
      <c r="E78" s="121"/>
      <c r="F78" s="193" t="s">
        <v>243</v>
      </c>
      <c r="G78" s="232"/>
      <c r="H78" s="189">
        <f>($H$71*1)+($H$72*1)+($H$73*2.1)+($H$74*1.5)+($H$75*2.5)+($H$76*0.93)</f>
        <v>884.39</v>
      </c>
      <c r="I78" s="189">
        <f>($I$71*1)+($I$72*1)+($I$73*2.1)+($I$74*1.5)+($I$75*2.5)+($I$76*0.93)</f>
        <v>3131.65</v>
      </c>
      <c r="J78" s="189">
        <f>($J$71*1)+($J$72*1)+($J$73*2.1)+($J$74*1.5)+($J$75*2.5)+($J$76*0.93)</f>
        <v>1227.5999999999999</v>
      </c>
      <c r="K78" s="189">
        <f>($K$71*1)+($K$72*1)+($K$73*2.1)+($K$74*1.5)+($K$75*2.5)+($K$76*0.93)</f>
        <v>1892</v>
      </c>
      <c r="L78" s="189">
        <f>SUM($H$78:$K$78)</f>
        <v>7135.6399999999994</v>
      </c>
      <c r="M78" s="189">
        <f>($M$71*1)+($M$72*1)+($M$73*2.1)+($M$74*1.5)+($M$75*2.5)+($M$76*0.93)</f>
        <v>4238.9100000000008</v>
      </c>
      <c r="N78" s="189">
        <f>($N$71*1)+($N$72*1)+($N$73*2.1)+($N$74*1.5)+($N$75*2.5)+($N$76*0.93)</f>
        <v>12114.27</v>
      </c>
      <c r="O78" s="189">
        <f>($O$71*1)+($O$72*1)+($O$73*2.1)+($O$74*1.5)+($O$75*2.5)+($O$76*0.93)</f>
        <v>4782</v>
      </c>
      <c r="P78" s="189">
        <f>($P$71*1)+($P$72*1)+($P$73*2.1)+($P$74*1.5)+($P$75*2.5)+($P$76*0.93)</f>
        <v>5662.46</v>
      </c>
      <c r="Q78" s="189">
        <f>SUM($M$78:$P$78)</f>
        <v>26797.64</v>
      </c>
      <c r="R78" s="189">
        <f>($R$71*1)+($R$72*1)+($R$73*2.1)+($R$74*1.5)+($R$75*2.5)+($R$76*0.93)</f>
        <v>902.39</v>
      </c>
      <c r="S78" s="189">
        <f>($S$71*1)+($S$72*1)+($S$73*2.1)+($S$74*1.5)+($S$75*2.5)+($S$76*0.93)</f>
        <v>3108.5699999999997</v>
      </c>
      <c r="T78" s="189">
        <f>($T$71*1)+($T$72*1)+($T$73*2.1)+($T$74*1.5)+($T$75*2.5)+($T$76*0.93)</f>
        <v>1186.7</v>
      </c>
      <c r="U78" s="189">
        <f>($U$71*1)+($U$72*1)+($U$73*2.1)+($U$74*1.5)+($U$75*2.5)+($U$76*0.93)</f>
        <v>2195.35</v>
      </c>
      <c r="V78" s="189">
        <f>SUM($R$78:$U$78)</f>
        <v>7393.01</v>
      </c>
      <c r="W78" s="206"/>
      <c r="X78" s="186"/>
      <c r="Y78" s="114"/>
      <c r="Z78" s="114"/>
      <c r="AA78" s="114"/>
      <c r="AB78" s="114"/>
      <c r="AC78" s="114"/>
      <c r="AD78" s="114"/>
      <c r="AE78" s="114"/>
      <c r="AF78" s="114"/>
      <c r="AG78" s="114"/>
      <c r="AH78" s="114"/>
    </row>
    <row r="79" spans="1:34" ht="17.25" customHeight="1" x14ac:dyDescent="0.6">
      <c r="A79" s="119"/>
      <c r="B79" s="120"/>
      <c r="C79" s="119"/>
      <c r="D79" s="119"/>
      <c r="E79" s="121"/>
      <c r="F79" s="400" t="s">
        <v>244</v>
      </c>
      <c r="G79" s="401"/>
      <c r="H79" s="233"/>
      <c r="I79" s="234" t="s">
        <v>142</v>
      </c>
      <c r="J79" s="234" t="s">
        <v>245</v>
      </c>
      <c r="K79" s="235"/>
      <c r="L79" s="189">
        <f>L78/2</f>
        <v>3567.8199999999997</v>
      </c>
      <c r="M79" s="233"/>
      <c r="N79" s="234"/>
      <c r="O79" s="234" t="s">
        <v>246</v>
      </c>
      <c r="P79" s="235"/>
      <c r="Q79" s="189">
        <f>Q78/8</f>
        <v>3349.7049999999999</v>
      </c>
      <c r="R79" s="233"/>
      <c r="S79" s="234"/>
      <c r="T79" s="236" t="s">
        <v>247</v>
      </c>
      <c r="U79" s="237"/>
      <c r="V79" s="189">
        <f>V78/2</f>
        <v>3696.5050000000001</v>
      </c>
      <c r="W79" s="206">
        <f>(W71*1)+(W72*1)+(W73*2.1)+(W74*1.5)+(W75*2.5)+(W76*0.93)</f>
        <v>41326.29</v>
      </c>
      <c r="X79" s="189">
        <f>$W$79/12</f>
        <v>3443.8575000000001</v>
      </c>
      <c r="Y79" s="114"/>
      <c r="Z79" s="114"/>
      <c r="AA79" s="114"/>
      <c r="AB79" s="114"/>
      <c r="AC79" s="114"/>
      <c r="AD79" s="114"/>
      <c r="AE79" s="114"/>
      <c r="AF79" s="114"/>
      <c r="AG79" s="114"/>
      <c r="AH79" s="114"/>
    </row>
    <row r="80" spans="1:34" ht="17.25" customHeight="1" x14ac:dyDescent="0.6">
      <c r="A80" s="119"/>
      <c r="B80" s="120"/>
      <c r="C80" s="122"/>
      <c r="D80" s="119"/>
      <c r="E80" s="121"/>
      <c r="F80" s="409" t="s">
        <v>248</v>
      </c>
      <c r="G80" s="410"/>
      <c r="H80" s="410"/>
      <c r="I80" s="410"/>
      <c r="J80" s="410"/>
      <c r="K80" s="410"/>
      <c r="L80" s="410"/>
      <c r="M80" s="410"/>
      <c r="N80" s="410"/>
      <c r="O80" s="410"/>
      <c r="P80" s="410"/>
      <c r="Q80" s="410"/>
      <c r="R80" s="410"/>
      <c r="S80" s="401"/>
      <c r="T80" s="238"/>
      <c r="U80" s="186"/>
      <c r="V80" s="186"/>
      <c r="W80" s="208"/>
      <c r="X80" s="186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</row>
    <row r="81" spans="1:34" s="139" customFormat="1" ht="17.25" customHeight="1" x14ac:dyDescent="0.6">
      <c r="A81" s="257"/>
      <c r="B81" s="258"/>
      <c r="C81" s="257"/>
      <c r="D81" s="257"/>
      <c r="E81" s="259"/>
      <c r="F81" s="403" t="s">
        <v>249</v>
      </c>
      <c r="G81" s="404"/>
      <c r="H81" s="404"/>
      <c r="I81" s="404"/>
      <c r="J81" s="405"/>
      <c r="K81" s="439" t="s">
        <v>250</v>
      </c>
      <c r="L81" s="440"/>
      <c r="M81" s="438"/>
      <c r="N81" s="437" t="s">
        <v>251</v>
      </c>
      <c r="O81" s="440"/>
      <c r="P81" s="438"/>
      <c r="Q81" s="437" t="s">
        <v>252</v>
      </c>
      <c r="R81" s="440"/>
      <c r="S81" s="438"/>
      <c r="T81" s="437" t="s">
        <v>253</v>
      </c>
      <c r="U81" s="438"/>
      <c r="V81" s="197"/>
      <c r="W81" s="197"/>
      <c r="X81" s="197"/>
      <c r="Y81" s="138"/>
      <c r="Z81" s="138"/>
      <c r="AA81" s="138"/>
      <c r="AB81" s="138"/>
      <c r="AC81" s="138"/>
      <c r="AD81" s="138"/>
      <c r="AE81" s="138"/>
      <c r="AF81" s="138"/>
      <c r="AG81" s="138"/>
      <c r="AH81" s="138"/>
    </row>
    <row r="82" spans="1:34" s="139" customFormat="1" ht="17.25" customHeight="1" x14ac:dyDescent="0.6">
      <c r="A82" s="257"/>
      <c r="B82" s="257"/>
      <c r="C82" s="257"/>
      <c r="D82" s="257"/>
      <c r="E82" s="259"/>
      <c r="F82" s="406"/>
      <c r="G82" s="407"/>
      <c r="H82" s="407"/>
      <c r="I82" s="407"/>
      <c r="J82" s="408"/>
      <c r="K82" s="260" t="s">
        <v>254</v>
      </c>
      <c r="L82" s="261" t="s">
        <v>255</v>
      </c>
      <c r="M82" s="262" t="s">
        <v>256</v>
      </c>
      <c r="N82" s="263" t="s">
        <v>257</v>
      </c>
      <c r="O82" s="264" t="s">
        <v>255</v>
      </c>
      <c r="P82" s="262" t="s">
        <v>256</v>
      </c>
      <c r="Q82" s="265" t="s">
        <v>258</v>
      </c>
      <c r="R82" s="264" t="s">
        <v>255</v>
      </c>
      <c r="S82" s="262" t="s">
        <v>256</v>
      </c>
      <c r="T82" s="266" t="s">
        <v>255</v>
      </c>
      <c r="U82" s="262" t="s">
        <v>256</v>
      </c>
      <c r="V82" s="197"/>
      <c r="W82" s="197"/>
      <c r="X82" s="197"/>
      <c r="Y82" s="138"/>
      <c r="Z82" s="138"/>
      <c r="AA82" s="138"/>
      <c r="AB82" s="138"/>
      <c r="AC82" s="138"/>
      <c r="AD82" s="138"/>
      <c r="AE82" s="138"/>
      <c r="AF82" s="138"/>
      <c r="AG82" s="138"/>
      <c r="AH82" s="138"/>
    </row>
    <row r="83" spans="1:34" ht="17.25" hidden="1" customHeight="1" x14ac:dyDescent="0.6">
      <c r="A83" s="114"/>
      <c r="B83" s="114"/>
      <c r="C83" s="114"/>
      <c r="D83" s="114"/>
      <c r="E83" s="114"/>
      <c r="F83" s="402" t="str">
        <f>Header!B11</f>
        <v>ถนนกำแพงเพชร 6</v>
      </c>
      <c r="G83" s="397"/>
      <c r="H83" s="397"/>
      <c r="I83" s="397"/>
      <c r="J83" s="398"/>
      <c r="K83" s="342">
        <f>Analysis!J97</f>
        <v>2307</v>
      </c>
      <c r="L83" s="342">
        <f>Analysis!K97</f>
        <v>1153.5</v>
      </c>
      <c r="M83" s="343">
        <f>Analysis!K105</f>
        <v>1165.71</v>
      </c>
      <c r="N83" s="342">
        <f>Analysis!J98</f>
        <v>8842</v>
      </c>
      <c r="O83" s="342">
        <f>Analysis!K98</f>
        <v>1105.25</v>
      </c>
      <c r="P83" s="343">
        <f>Analysis!K106</f>
        <v>1119.0612500000002</v>
      </c>
      <c r="Q83" s="342">
        <f>Analysis!J99</f>
        <v>2426</v>
      </c>
      <c r="R83" s="342">
        <f>Analysis!K99</f>
        <v>1213</v>
      </c>
      <c r="S83" s="343">
        <f>Analysis!K107</f>
        <v>1224.8</v>
      </c>
      <c r="T83" s="342">
        <f>Analysis!K100</f>
        <v>1131.25</v>
      </c>
      <c r="U83" s="342">
        <f>Analysis!K108</f>
        <v>1144.4591666666668</v>
      </c>
      <c r="V83" s="185"/>
      <c r="W83" s="208"/>
      <c r="X83" s="186"/>
      <c r="Y83" s="114"/>
      <c r="Z83" s="114"/>
      <c r="AA83" s="114"/>
      <c r="AB83" s="114"/>
      <c r="AC83" s="114"/>
      <c r="AD83" s="114"/>
      <c r="AE83" s="114"/>
      <c r="AF83" s="114"/>
      <c r="AG83" s="114"/>
      <c r="AH83" s="114"/>
    </row>
    <row r="84" spans="1:34" ht="17.25" hidden="1" customHeight="1" x14ac:dyDescent="0.6">
      <c r="A84" s="114"/>
      <c r="B84" s="114"/>
      <c r="C84" s="114"/>
      <c r="D84" s="114"/>
      <c r="E84" s="114"/>
      <c r="F84" s="402" t="str">
        <f>Header!B13</f>
        <v>ถนนกำแพงเพชร 6</v>
      </c>
      <c r="G84" s="397"/>
      <c r="H84" s="397"/>
      <c r="I84" s="397"/>
      <c r="J84" s="398"/>
      <c r="K84" s="342">
        <f>Analysis!BN97</f>
        <v>1922</v>
      </c>
      <c r="L84" s="342">
        <f>Analysis!BO97</f>
        <v>961</v>
      </c>
      <c r="M84" s="343">
        <f>Analysis!BO105</f>
        <v>965.3</v>
      </c>
      <c r="N84" s="342">
        <f>Analysis!BN98</f>
        <v>8829</v>
      </c>
      <c r="O84" s="342">
        <f>Analysis!BO98</f>
        <v>1103.625</v>
      </c>
      <c r="P84" s="343">
        <f>Analysis!BO106</f>
        <v>1110.8487500000001</v>
      </c>
      <c r="Q84" s="342">
        <f>Analysis!BN99</f>
        <v>2037</v>
      </c>
      <c r="R84" s="342">
        <f>Analysis!BO99</f>
        <v>1018.5</v>
      </c>
      <c r="S84" s="343">
        <f>Analysis!BO107</f>
        <v>1024.615</v>
      </c>
      <c r="T84" s="342">
        <f>Analysis!BO100</f>
        <v>1065.6666666666667</v>
      </c>
      <c r="U84" s="342">
        <f>Analysis!BO108</f>
        <v>1072.2183333333335</v>
      </c>
      <c r="V84" s="185"/>
      <c r="W84" s="208"/>
      <c r="X84" s="186"/>
      <c r="Y84" s="114"/>
      <c r="Z84" s="114"/>
      <c r="AA84" s="114"/>
      <c r="AB84" s="114"/>
      <c r="AC84" s="114"/>
      <c r="AD84" s="114"/>
      <c r="AE84" s="114"/>
      <c r="AF84" s="114"/>
      <c r="AG84" s="114"/>
      <c r="AH84" s="114"/>
    </row>
    <row r="85" spans="1:34" ht="21" customHeight="1" x14ac:dyDescent="0.6">
      <c r="A85" s="114"/>
      <c r="B85" s="114"/>
      <c r="C85" s="114"/>
      <c r="D85" s="114"/>
      <c r="E85" s="114"/>
      <c r="F85" s="396" t="s">
        <v>277</v>
      </c>
      <c r="G85" s="397"/>
      <c r="H85" s="397"/>
      <c r="I85" s="397"/>
      <c r="J85" s="398"/>
      <c r="K85" s="342">
        <f t="shared" ref="K85:U85" si="20">IFERROR(AVERAGEIF(K$83:K$84,"&gt;0"),"-")</f>
        <v>2114.5</v>
      </c>
      <c r="L85" s="342">
        <f t="shared" si="20"/>
        <v>1057.25</v>
      </c>
      <c r="M85" s="343">
        <f t="shared" si="20"/>
        <v>1065.5050000000001</v>
      </c>
      <c r="N85" s="342">
        <f t="shared" si="20"/>
        <v>8835.5</v>
      </c>
      <c r="O85" s="342">
        <f t="shared" si="20"/>
        <v>1104.4375</v>
      </c>
      <c r="P85" s="343">
        <f t="shared" si="20"/>
        <v>1114.9550000000002</v>
      </c>
      <c r="Q85" s="342">
        <f t="shared" si="20"/>
        <v>2231.5</v>
      </c>
      <c r="R85" s="342">
        <f t="shared" si="20"/>
        <v>1115.75</v>
      </c>
      <c r="S85" s="343">
        <f t="shared" si="20"/>
        <v>1124.7075</v>
      </c>
      <c r="T85" s="342">
        <f t="shared" si="20"/>
        <v>1098.4583333333335</v>
      </c>
      <c r="U85" s="342">
        <f t="shared" si="20"/>
        <v>1108.3387500000001</v>
      </c>
      <c r="V85" s="186"/>
      <c r="W85" s="208"/>
      <c r="X85" s="186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</row>
    <row r="86" spans="1:34" ht="17.25" hidden="1" customHeight="1" x14ac:dyDescent="0.6">
      <c r="A86" s="114"/>
      <c r="B86" s="114"/>
      <c r="C86" s="114"/>
      <c r="D86" s="114"/>
      <c r="E86" s="114"/>
      <c r="F86" s="402" t="str">
        <f>Header!B12</f>
        <v>ถนนแจ้งวัฒนะ</v>
      </c>
      <c r="G86" s="397"/>
      <c r="H86" s="397"/>
      <c r="I86" s="397"/>
      <c r="J86" s="398"/>
      <c r="K86" s="342">
        <f>Analysis!AL97</f>
        <v>5969</v>
      </c>
      <c r="L86" s="342">
        <f>Analysis!AM97</f>
        <v>2984.5</v>
      </c>
      <c r="M86" s="343">
        <f>Analysis!AM105</f>
        <v>3053.9650000000001</v>
      </c>
      <c r="N86" s="342">
        <f>Analysis!AL98</f>
        <v>21748</v>
      </c>
      <c r="O86" s="342">
        <f>Analysis!AM98</f>
        <v>2718.5</v>
      </c>
      <c r="P86" s="343">
        <f>Analysis!AM106</f>
        <v>2785.0524999999998</v>
      </c>
      <c r="Q86" s="342">
        <f>Analysis!AL99</f>
        <v>6224</v>
      </c>
      <c r="R86" s="342">
        <f>Analysis!AM99</f>
        <v>3112</v>
      </c>
      <c r="S86" s="343">
        <f>Analysis!AM107</f>
        <v>3154.2049999999999</v>
      </c>
      <c r="T86" s="342">
        <f>Analysis!AM100</f>
        <v>2828.4166666666665</v>
      </c>
      <c r="U86" s="342">
        <f>Analysis!AM108</f>
        <v>2891.3966666666661</v>
      </c>
      <c r="V86" s="186"/>
      <c r="W86" s="208"/>
      <c r="X86" s="186"/>
      <c r="Y86" s="114"/>
      <c r="Z86" s="114"/>
      <c r="AA86" s="114"/>
      <c r="AB86" s="114"/>
      <c r="AC86" s="114"/>
      <c r="AD86" s="114"/>
      <c r="AE86" s="114"/>
      <c r="AF86" s="114"/>
      <c r="AG86" s="114"/>
      <c r="AH86" s="114"/>
    </row>
    <row r="87" spans="1:34" ht="17.25" hidden="1" customHeight="1" x14ac:dyDescent="0.6">
      <c r="A87" s="114"/>
      <c r="B87" s="114"/>
      <c r="C87" s="114"/>
      <c r="D87" s="114"/>
      <c r="E87" s="114"/>
      <c r="F87" s="402" t="str">
        <f>Header!B14</f>
        <v>ถนนแจ้งวัฒนะ</v>
      </c>
      <c r="G87" s="397"/>
      <c r="H87" s="397"/>
      <c r="I87" s="397"/>
      <c r="J87" s="398"/>
      <c r="K87" s="342">
        <f>Analysis!CP97</f>
        <v>3798</v>
      </c>
      <c r="L87" s="342">
        <f>Analysis!CQ97</f>
        <v>1899</v>
      </c>
      <c r="M87" s="343">
        <f>Analysis!CQ105</f>
        <v>1950.665</v>
      </c>
      <c r="N87" s="342">
        <f>Analysis!CP98</f>
        <v>13063</v>
      </c>
      <c r="O87" s="342">
        <f>Analysis!CQ98</f>
        <v>1632.875</v>
      </c>
      <c r="P87" s="343">
        <f>Analysis!CQ106</f>
        <v>1684.4475</v>
      </c>
      <c r="Q87" s="342">
        <f>Analysis!CP99</f>
        <v>3937</v>
      </c>
      <c r="R87" s="342">
        <f>Analysis!CQ99</f>
        <v>1968.5</v>
      </c>
      <c r="S87" s="343">
        <f>Analysis!CQ107</f>
        <v>1989.3899999999999</v>
      </c>
      <c r="T87" s="342">
        <f>Analysis!CQ100</f>
        <v>1733.1666666666667</v>
      </c>
      <c r="U87" s="342">
        <f>Analysis!CQ108</f>
        <v>1779.6408333333331</v>
      </c>
      <c r="V87" s="186"/>
      <c r="W87" s="208"/>
      <c r="X87" s="186"/>
      <c r="Y87" s="114"/>
      <c r="Z87" s="114"/>
      <c r="AA87" s="114"/>
      <c r="AB87" s="114"/>
      <c r="AC87" s="114"/>
      <c r="AD87" s="114"/>
      <c r="AE87" s="114"/>
      <c r="AF87" s="114"/>
      <c r="AG87" s="114"/>
      <c r="AH87" s="114"/>
    </row>
    <row r="88" spans="1:34" ht="21.75" customHeight="1" x14ac:dyDescent="0.6">
      <c r="A88" s="114"/>
      <c r="B88" s="114"/>
      <c r="C88" s="114"/>
      <c r="D88" s="114"/>
      <c r="E88" s="114"/>
      <c r="F88" s="396" t="s">
        <v>278</v>
      </c>
      <c r="G88" s="397"/>
      <c r="H88" s="397"/>
      <c r="I88" s="397"/>
      <c r="J88" s="398"/>
      <c r="K88" s="342">
        <f>IFERROR(AVERAGEIF(K$86:K$87,"&gt;0"),"-")</f>
        <v>4883.5</v>
      </c>
      <c r="L88" s="342">
        <f t="shared" ref="L88:U88" si="21">IFERROR(AVERAGEIF(L$86:L$87,"&gt;0"),"-")</f>
        <v>2441.75</v>
      </c>
      <c r="M88" s="343">
        <f t="shared" si="21"/>
        <v>2502.3150000000001</v>
      </c>
      <c r="N88" s="342">
        <f t="shared" si="21"/>
        <v>17405.5</v>
      </c>
      <c r="O88" s="342">
        <f t="shared" si="21"/>
        <v>2175.6875</v>
      </c>
      <c r="P88" s="343">
        <f t="shared" si="21"/>
        <v>2234.75</v>
      </c>
      <c r="Q88" s="342">
        <f t="shared" si="21"/>
        <v>5080.5</v>
      </c>
      <c r="R88" s="342">
        <f t="shared" si="21"/>
        <v>2540.25</v>
      </c>
      <c r="S88" s="343">
        <f t="shared" si="21"/>
        <v>2571.7974999999997</v>
      </c>
      <c r="T88" s="342">
        <f t="shared" si="21"/>
        <v>2280.7916666666665</v>
      </c>
      <c r="U88" s="342">
        <f t="shared" si="21"/>
        <v>2335.5187499999997</v>
      </c>
      <c r="V88" s="186"/>
      <c r="W88" s="208"/>
      <c r="X88" s="186"/>
      <c r="Y88" s="114"/>
      <c r="Z88" s="114"/>
      <c r="AA88" s="114"/>
      <c r="AB88" s="114"/>
      <c r="AC88" s="114"/>
      <c r="AD88" s="114"/>
      <c r="AE88" s="114"/>
      <c r="AF88" s="114"/>
      <c r="AG88" s="114"/>
      <c r="AH88" s="114"/>
    </row>
    <row r="89" spans="1:34" ht="16.5" customHeight="1" x14ac:dyDescent="0.6">
      <c r="A89" s="114"/>
      <c r="B89" s="114"/>
      <c r="C89" s="114"/>
      <c r="D89" s="114"/>
      <c r="E89" s="114"/>
      <c r="F89" s="115"/>
      <c r="G89" s="138"/>
      <c r="H89" s="114"/>
      <c r="I89" s="114"/>
      <c r="J89" s="114"/>
      <c r="K89" s="116"/>
      <c r="L89" s="116"/>
      <c r="M89" s="114"/>
      <c r="N89" s="114"/>
      <c r="O89" s="114"/>
      <c r="P89" s="114"/>
      <c r="Q89" s="114"/>
      <c r="R89" s="114"/>
      <c r="S89" s="114"/>
      <c r="T89" s="116"/>
      <c r="U89" s="116"/>
      <c r="V89" s="116"/>
      <c r="W89" s="209"/>
      <c r="X89" s="114"/>
      <c r="Y89" s="114"/>
      <c r="Z89" s="114"/>
      <c r="AA89" s="114"/>
      <c r="AB89" s="114"/>
      <c r="AC89" s="114"/>
      <c r="AD89" s="114"/>
      <c r="AE89" s="114"/>
      <c r="AF89" s="114"/>
      <c r="AG89" s="114"/>
      <c r="AH89" s="114"/>
    </row>
    <row r="90" spans="1:34" ht="16.5" customHeight="1" x14ac:dyDescent="0.6">
      <c r="A90" s="114"/>
      <c r="B90" s="129"/>
      <c r="C90" s="115"/>
      <c r="D90" s="115"/>
      <c r="E90" s="114"/>
      <c r="F90" s="115"/>
      <c r="G90" s="138"/>
      <c r="H90" s="114"/>
      <c r="I90" s="114"/>
      <c r="J90" s="114"/>
      <c r="K90" s="114"/>
      <c r="L90" s="114"/>
      <c r="M90" s="114"/>
      <c r="N90" s="114"/>
      <c r="O90" s="114"/>
      <c r="P90" s="114"/>
      <c r="Q90" s="114"/>
      <c r="R90" s="114"/>
      <c r="S90" s="114"/>
      <c r="T90" s="116"/>
      <c r="U90" s="116"/>
      <c r="V90" s="116"/>
      <c r="W90" s="209"/>
      <c r="X90" s="114"/>
      <c r="Y90" s="114"/>
      <c r="Z90" s="114"/>
      <c r="AA90" s="114"/>
      <c r="AB90" s="114"/>
      <c r="AC90" s="114"/>
      <c r="AD90" s="114"/>
      <c r="AE90" s="114"/>
      <c r="AF90" s="114"/>
      <c r="AG90" s="114"/>
      <c r="AH90" s="114"/>
    </row>
    <row r="91" spans="1:34" ht="16.5" customHeight="1" x14ac:dyDescent="0.6">
      <c r="A91" s="114"/>
      <c r="B91" s="114"/>
      <c r="C91" s="114"/>
      <c r="D91" s="114"/>
      <c r="E91" s="114"/>
      <c r="F91" s="115"/>
      <c r="G91" s="138"/>
      <c r="H91" s="114"/>
      <c r="I91" s="114"/>
      <c r="J91" s="114"/>
      <c r="K91" s="114"/>
      <c r="L91" s="114"/>
      <c r="M91" s="114"/>
      <c r="N91" s="114"/>
      <c r="O91" s="114"/>
      <c r="P91" s="114"/>
      <c r="Q91" s="114"/>
      <c r="R91" s="114"/>
      <c r="S91" s="114"/>
      <c r="T91" s="116"/>
      <c r="U91" s="116"/>
      <c r="V91" s="116"/>
      <c r="W91" s="209"/>
      <c r="X91" s="114"/>
      <c r="Y91" s="114"/>
      <c r="Z91" s="114"/>
      <c r="AA91" s="114"/>
      <c r="AB91" s="114"/>
      <c r="AC91" s="114"/>
      <c r="AD91" s="114"/>
      <c r="AE91" s="114"/>
      <c r="AF91" s="114"/>
      <c r="AG91" s="114"/>
      <c r="AH91" s="114"/>
    </row>
    <row r="92" spans="1:34" ht="16.5" customHeight="1" x14ac:dyDescent="0.6">
      <c r="A92" s="114"/>
      <c r="B92" s="114"/>
      <c r="C92" s="114"/>
      <c r="D92" s="114"/>
      <c r="E92" s="114"/>
      <c r="F92" s="115"/>
      <c r="G92" s="138"/>
      <c r="H92" s="114"/>
      <c r="I92" s="114"/>
      <c r="J92" s="114"/>
      <c r="K92" s="114"/>
      <c r="L92" s="114"/>
      <c r="M92" s="114"/>
      <c r="N92" s="114"/>
      <c r="O92" s="114"/>
      <c r="P92" s="114"/>
      <c r="Q92" s="114"/>
      <c r="R92" s="114"/>
      <c r="S92" s="114"/>
      <c r="T92" s="116"/>
      <c r="U92" s="116"/>
      <c r="V92" s="116"/>
      <c r="W92" s="209"/>
      <c r="X92" s="114"/>
      <c r="Y92" s="114"/>
      <c r="Z92" s="114"/>
      <c r="AA92" s="114"/>
      <c r="AB92" s="114"/>
      <c r="AC92" s="114"/>
      <c r="AD92" s="114"/>
      <c r="AE92" s="114"/>
      <c r="AF92" s="114"/>
      <c r="AG92" s="114"/>
      <c r="AH92" s="114"/>
    </row>
    <row r="93" spans="1:34" ht="16.5" customHeight="1" x14ac:dyDescent="0.6">
      <c r="A93" s="114"/>
      <c r="B93" s="114"/>
      <c r="C93" s="114"/>
      <c r="D93" s="114"/>
      <c r="E93" s="114"/>
      <c r="F93" s="115"/>
      <c r="G93" s="138"/>
      <c r="H93" s="114"/>
      <c r="I93" s="114"/>
      <c r="J93" s="114"/>
      <c r="K93" s="114"/>
      <c r="L93" s="114"/>
      <c r="M93" s="114"/>
      <c r="N93" s="114"/>
      <c r="O93" s="114"/>
      <c r="P93" s="114"/>
      <c r="Q93" s="114"/>
      <c r="R93" s="114"/>
      <c r="S93" s="114"/>
      <c r="T93" s="116"/>
      <c r="U93" s="116"/>
      <c r="V93" s="116"/>
      <c r="W93" s="209"/>
      <c r="X93" s="114"/>
      <c r="Y93" s="114"/>
      <c r="Z93" s="114"/>
      <c r="AA93" s="114"/>
      <c r="AB93" s="114"/>
      <c r="AC93" s="114"/>
      <c r="AD93" s="114"/>
      <c r="AE93" s="114"/>
      <c r="AF93" s="114"/>
      <c r="AG93" s="114"/>
      <c r="AH93" s="114"/>
    </row>
    <row r="94" spans="1:34" ht="16.5" customHeight="1" x14ac:dyDescent="0.6">
      <c r="A94" s="114"/>
      <c r="B94" s="114"/>
      <c r="C94" s="114"/>
      <c r="D94" s="114"/>
      <c r="E94" s="114"/>
      <c r="F94" s="115"/>
      <c r="G94" s="138"/>
      <c r="H94" s="114"/>
      <c r="I94" s="114"/>
      <c r="J94" s="114"/>
      <c r="K94" s="114"/>
      <c r="L94" s="114"/>
      <c r="M94" s="114"/>
      <c r="N94" s="114"/>
      <c r="O94" s="114"/>
      <c r="P94" s="114"/>
      <c r="Q94" s="114"/>
      <c r="R94" s="114"/>
      <c r="S94" s="114"/>
      <c r="T94" s="116"/>
      <c r="U94" s="116"/>
      <c r="V94" s="116"/>
      <c r="W94" s="209"/>
      <c r="X94" s="114"/>
      <c r="Y94" s="114"/>
      <c r="Z94" s="114"/>
      <c r="AA94" s="114"/>
      <c r="AB94" s="114"/>
      <c r="AC94" s="114"/>
      <c r="AD94" s="114"/>
      <c r="AE94" s="114"/>
      <c r="AF94" s="114"/>
      <c r="AG94" s="114"/>
      <c r="AH94" s="114"/>
    </row>
    <row r="95" spans="1:34" ht="16.5" customHeight="1" x14ac:dyDescent="0.6">
      <c r="A95" s="114"/>
      <c r="B95" s="114"/>
      <c r="C95" s="114"/>
      <c r="D95" s="114"/>
      <c r="E95" s="114"/>
      <c r="F95" s="115"/>
      <c r="G95" s="138"/>
      <c r="H95" s="114"/>
      <c r="I95" s="114"/>
      <c r="J95" s="114"/>
      <c r="K95" s="114"/>
      <c r="L95" s="114"/>
      <c r="M95" s="114"/>
      <c r="N95" s="114"/>
      <c r="O95" s="114"/>
      <c r="P95" s="114"/>
      <c r="Q95" s="114"/>
      <c r="R95" s="114"/>
      <c r="S95" s="114"/>
      <c r="T95" s="116"/>
      <c r="U95" s="116"/>
      <c r="V95" s="116"/>
      <c r="W95" s="209"/>
      <c r="X95" s="114"/>
      <c r="Y95" s="114"/>
      <c r="Z95" s="114"/>
      <c r="AA95" s="114"/>
      <c r="AB95" s="114"/>
      <c r="AC95" s="114"/>
      <c r="AD95" s="114"/>
      <c r="AE95" s="114"/>
      <c r="AF95" s="114"/>
      <c r="AG95" s="114"/>
      <c r="AH95" s="114"/>
    </row>
    <row r="96" spans="1:34" ht="16.5" customHeight="1" x14ac:dyDescent="0.6">
      <c r="A96" s="114"/>
      <c r="B96" s="114"/>
      <c r="C96" s="114"/>
      <c r="D96" s="114"/>
      <c r="E96" s="114"/>
      <c r="F96" s="115"/>
      <c r="G96" s="138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6"/>
      <c r="U96" s="116"/>
      <c r="V96" s="116"/>
      <c r="W96" s="209"/>
      <c r="X96" s="114"/>
      <c r="Y96" s="114"/>
      <c r="Z96" s="114"/>
      <c r="AA96" s="114"/>
      <c r="AB96" s="114"/>
      <c r="AC96" s="114"/>
      <c r="AD96" s="114"/>
      <c r="AE96" s="114"/>
      <c r="AF96" s="114"/>
      <c r="AG96" s="114"/>
      <c r="AH96" s="114"/>
    </row>
    <row r="97" spans="1:34" ht="16.5" customHeight="1" x14ac:dyDescent="0.6">
      <c r="A97" s="114"/>
      <c r="B97" s="114"/>
      <c r="C97" s="114"/>
      <c r="D97" s="114"/>
      <c r="E97" s="114"/>
      <c r="F97" s="115"/>
      <c r="G97" s="138"/>
      <c r="H97" s="114"/>
      <c r="I97" s="114"/>
      <c r="J97" s="114"/>
      <c r="K97" s="114"/>
      <c r="L97" s="114"/>
      <c r="M97" s="114"/>
      <c r="N97" s="114"/>
      <c r="O97" s="114"/>
      <c r="P97" s="114"/>
      <c r="Q97" s="114"/>
      <c r="R97" s="114"/>
      <c r="S97" s="114"/>
      <c r="T97" s="116"/>
      <c r="U97" s="116"/>
      <c r="V97" s="116"/>
      <c r="W97" s="209"/>
      <c r="X97" s="114"/>
      <c r="Y97" s="114"/>
      <c r="Z97" s="114"/>
      <c r="AA97" s="114"/>
      <c r="AB97" s="114"/>
      <c r="AC97" s="114"/>
      <c r="AD97" s="114"/>
      <c r="AE97" s="114"/>
      <c r="AF97" s="114"/>
      <c r="AG97" s="114"/>
      <c r="AH97" s="114"/>
    </row>
    <row r="98" spans="1:34" ht="16.5" customHeight="1" x14ac:dyDescent="0.6">
      <c r="A98" s="114"/>
      <c r="B98" s="114"/>
      <c r="C98" s="114"/>
      <c r="D98" s="114"/>
      <c r="E98" s="114"/>
      <c r="F98" s="115"/>
      <c r="G98" s="138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6"/>
      <c r="U98" s="116"/>
      <c r="V98" s="116"/>
      <c r="W98" s="209"/>
      <c r="X98" s="114"/>
      <c r="Y98" s="114"/>
      <c r="Z98" s="114"/>
      <c r="AA98" s="114"/>
      <c r="AB98" s="114"/>
      <c r="AC98" s="114"/>
      <c r="AD98" s="114"/>
      <c r="AE98" s="114"/>
      <c r="AF98" s="114"/>
      <c r="AG98" s="114"/>
      <c r="AH98" s="114"/>
    </row>
    <row r="99" spans="1:34" ht="16.5" customHeight="1" x14ac:dyDescent="0.6">
      <c r="A99" s="114"/>
      <c r="B99" s="114"/>
      <c r="C99" s="114"/>
      <c r="D99" s="114"/>
      <c r="E99" s="114"/>
      <c r="F99" s="115"/>
      <c r="G99" s="138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6"/>
      <c r="U99" s="116"/>
      <c r="V99" s="116"/>
      <c r="W99" s="209"/>
      <c r="X99" s="114"/>
      <c r="Y99" s="114"/>
      <c r="Z99" s="114"/>
      <c r="AA99" s="114"/>
      <c r="AB99" s="114"/>
      <c r="AC99" s="114"/>
      <c r="AD99" s="114"/>
      <c r="AE99" s="114"/>
      <c r="AF99" s="114"/>
      <c r="AG99" s="114"/>
      <c r="AH99" s="114"/>
    </row>
    <row r="100" spans="1:34" ht="16.5" customHeight="1" x14ac:dyDescent="0.6">
      <c r="A100" s="114"/>
      <c r="B100" s="114"/>
      <c r="C100" s="114"/>
      <c r="D100" s="114"/>
      <c r="E100" s="114"/>
      <c r="F100" s="115"/>
      <c r="G100" s="138"/>
      <c r="H100" s="114"/>
      <c r="I100" s="114"/>
      <c r="J100" s="114"/>
      <c r="K100" s="114"/>
      <c r="L100" s="114"/>
      <c r="M100" s="114"/>
      <c r="N100" s="114"/>
      <c r="O100" s="114"/>
      <c r="P100" s="114"/>
      <c r="Q100" s="114"/>
      <c r="R100" s="114"/>
      <c r="S100" s="114"/>
      <c r="T100" s="116"/>
      <c r="U100" s="116"/>
      <c r="V100" s="116"/>
      <c r="W100" s="209"/>
      <c r="X100" s="114"/>
      <c r="Y100" s="114"/>
      <c r="Z100" s="114"/>
      <c r="AA100" s="114"/>
      <c r="AB100" s="114"/>
      <c r="AC100" s="114"/>
      <c r="AD100" s="114"/>
      <c r="AE100" s="114"/>
      <c r="AF100" s="114"/>
      <c r="AG100" s="114"/>
      <c r="AH100" s="114"/>
    </row>
    <row r="101" spans="1:34" ht="16.5" customHeight="1" x14ac:dyDescent="0.6">
      <c r="A101" s="114"/>
      <c r="B101" s="114"/>
      <c r="C101" s="114"/>
      <c r="D101" s="114"/>
      <c r="E101" s="114"/>
      <c r="F101" s="115"/>
      <c r="G101" s="138"/>
      <c r="H101" s="114"/>
      <c r="I101" s="114"/>
      <c r="J101" s="114"/>
      <c r="K101" s="114"/>
      <c r="L101" s="114"/>
      <c r="M101" s="114"/>
      <c r="N101" s="114"/>
      <c r="O101" s="114"/>
      <c r="P101" s="114"/>
      <c r="Q101" s="114"/>
      <c r="R101" s="114"/>
      <c r="S101" s="114"/>
      <c r="T101" s="116"/>
      <c r="U101" s="116"/>
      <c r="V101" s="116"/>
      <c r="W101" s="209"/>
      <c r="X101" s="114"/>
      <c r="Y101" s="114"/>
      <c r="Z101" s="114"/>
      <c r="AA101" s="114"/>
      <c r="AB101" s="114"/>
      <c r="AC101" s="114"/>
      <c r="AD101" s="114"/>
      <c r="AE101" s="114"/>
      <c r="AF101" s="114"/>
      <c r="AG101" s="114"/>
      <c r="AH101" s="114"/>
    </row>
    <row r="102" spans="1:34" ht="16.5" customHeight="1" x14ac:dyDescent="0.6">
      <c r="A102" s="114"/>
      <c r="B102" s="114"/>
      <c r="C102" s="114"/>
      <c r="D102" s="114"/>
      <c r="E102" s="114"/>
      <c r="F102" s="115"/>
      <c r="G102" s="138"/>
      <c r="H102" s="114"/>
      <c r="I102" s="114"/>
      <c r="J102" s="114"/>
      <c r="K102" s="114"/>
      <c r="L102" s="114"/>
      <c r="M102" s="114"/>
      <c r="N102" s="114"/>
      <c r="O102" s="114"/>
      <c r="P102" s="114"/>
      <c r="Q102" s="114"/>
      <c r="R102" s="114"/>
      <c r="S102" s="114"/>
      <c r="T102" s="116"/>
      <c r="U102" s="116"/>
      <c r="V102" s="116"/>
      <c r="W102" s="209"/>
      <c r="X102" s="114"/>
      <c r="Y102" s="114"/>
      <c r="Z102" s="114"/>
      <c r="AA102" s="114"/>
      <c r="AB102" s="114"/>
      <c r="AC102" s="114"/>
      <c r="AD102" s="114"/>
      <c r="AE102" s="114"/>
      <c r="AF102" s="114"/>
      <c r="AG102" s="114"/>
      <c r="AH102" s="114"/>
    </row>
    <row r="103" spans="1:34" ht="16.5" customHeight="1" x14ac:dyDescent="0.6">
      <c r="A103" s="114"/>
      <c r="B103" s="114"/>
      <c r="C103" s="114"/>
      <c r="D103" s="114"/>
      <c r="E103" s="114"/>
      <c r="F103" s="115"/>
      <c r="G103" s="138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  <c r="T103" s="116"/>
      <c r="U103" s="116"/>
      <c r="V103" s="116"/>
      <c r="W103" s="209"/>
      <c r="X103" s="114"/>
      <c r="Y103" s="114"/>
      <c r="Z103" s="114"/>
      <c r="AA103" s="114"/>
      <c r="AB103" s="114"/>
      <c r="AC103" s="114"/>
      <c r="AD103" s="114"/>
      <c r="AE103" s="114"/>
      <c r="AF103" s="114"/>
      <c r="AG103" s="114"/>
      <c r="AH103" s="114"/>
    </row>
    <row r="104" spans="1:34" ht="16.5" customHeight="1" x14ac:dyDescent="0.6">
      <c r="A104" s="114"/>
      <c r="B104" s="114"/>
      <c r="C104" s="114"/>
      <c r="D104" s="114"/>
      <c r="E104" s="114"/>
      <c r="F104" s="115"/>
      <c r="G104" s="138"/>
      <c r="H104" s="114"/>
      <c r="I104" s="114"/>
      <c r="J104" s="114"/>
      <c r="K104" s="114"/>
      <c r="L104" s="114"/>
      <c r="M104" s="114"/>
      <c r="N104" s="114"/>
      <c r="O104" s="114"/>
      <c r="P104" s="114"/>
      <c r="Q104" s="114"/>
      <c r="R104" s="114"/>
      <c r="S104" s="114"/>
      <c r="T104" s="116"/>
      <c r="U104" s="116"/>
      <c r="V104" s="116"/>
      <c r="W104" s="209"/>
      <c r="X104" s="114"/>
      <c r="Y104" s="114"/>
      <c r="Z104" s="114"/>
      <c r="AA104" s="114"/>
      <c r="AB104" s="114"/>
      <c r="AC104" s="114"/>
      <c r="AD104" s="114"/>
      <c r="AE104" s="114"/>
      <c r="AF104" s="114"/>
      <c r="AG104" s="114"/>
      <c r="AH104" s="114"/>
    </row>
    <row r="105" spans="1:34" ht="16.5" customHeight="1" x14ac:dyDescent="0.6">
      <c r="A105" s="114"/>
      <c r="B105" s="114"/>
      <c r="C105" s="114"/>
      <c r="D105" s="114"/>
      <c r="E105" s="114"/>
      <c r="F105" s="115"/>
      <c r="G105" s="138"/>
      <c r="H105" s="114"/>
      <c r="I105" s="114"/>
      <c r="J105" s="114"/>
      <c r="K105" s="114"/>
      <c r="L105" s="114"/>
      <c r="M105" s="114"/>
      <c r="N105" s="114"/>
      <c r="O105" s="114"/>
      <c r="P105" s="114"/>
      <c r="Q105" s="114"/>
      <c r="R105" s="114"/>
      <c r="S105" s="114"/>
      <c r="T105" s="116"/>
      <c r="U105" s="116"/>
      <c r="V105" s="116"/>
      <c r="W105" s="209"/>
      <c r="X105" s="114"/>
      <c r="Y105" s="114"/>
      <c r="Z105" s="114"/>
      <c r="AA105" s="114"/>
      <c r="AB105" s="114"/>
      <c r="AC105" s="114"/>
      <c r="AD105" s="114"/>
      <c r="AE105" s="114"/>
      <c r="AF105" s="114"/>
      <c r="AG105" s="114"/>
      <c r="AH105" s="114"/>
    </row>
    <row r="106" spans="1:34" ht="16.5" customHeight="1" x14ac:dyDescent="0.6">
      <c r="A106" s="114"/>
      <c r="B106" s="114"/>
      <c r="C106" s="114"/>
      <c r="D106" s="114"/>
      <c r="E106" s="114"/>
      <c r="F106" s="115"/>
      <c r="G106" s="138"/>
      <c r="H106" s="114"/>
      <c r="I106" s="114"/>
      <c r="J106" s="114"/>
      <c r="K106" s="114"/>
      <c r="L106" s="114"/>
      <c r="M106" s="114"/>
      <c r="N106" s="114"/>
      <c r="O106" s="114"/>
      <c r="P106" s="114"/>
      <c r="Q106" s="114"/>
      <c r="R106" s="114"/>
      <c r="S106" s="114"/>
      <c r="T106" s="116"/>
      <c r="U106" s="116"/>
      <c r="V106" s="116"/>
      <c r="W106" s="209"/>
      <c r="X106" s="114"/>
      <c r="Y106" s="114"/>
      <c r="Z106" s="114"/>
      <c r="AA106" s="114"/>
      <c r="AB106" s="114"/>
      <c r="AC106" s="114"/>
      <c r="AD106" s="114"/>
      <c r="AE106" s="114"/>
      <c r="AF106" s="114"/>
      <c r="AG106" s="114"/>
      <c r="AH106" s="114"/>
    </row>
    <row r="107" spans="1:34" ht="16.5" customHeight="1" x14ac:dyDescent="0.6">
      <c r="A107" s="114"/>
      <c r="B107" s="114"/>
      <c r="C107" s="114"/>
      <c r="D107" s="114"/>
      <c r="E107" s="114"/>
      <c r="F107" s="115"/>
      <c r="G107" s="138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116"/>
      <c r="U107" s="116"/>
      <c r="V107" s="116"/>
      <c r="W107" s="209"/>
      <c r="X107" s="114"/>
      <c r="Y107" s="114"/>
      <c r="Z107" s="114"/>
      <c r="AA107" s="114"/>
      <c r="AB107" s="114"/>
      <c r="AC107" s="114"/>
      <c r="AD107" s="114"/>
      <c r="AE107" s="114"/>
      <c r="AF107" s="114"/>
      <c r="AG107" s="114"/>
      <c r="AH107" s="114"/>
    </row>
    <row r="108" spans="1:34" ht="16.5" customHeight="1" x14ac:dyDescent="0.6">
      <c r="A108" s="114"/>
      <c r="B108" s="114"/>
      <c r="C108" s="114"/>
      <c r="D108" s="114"/>
      <c r="E108" s="114"/>
      <c r="F108" s="115"/>
      <c r="G108" s="138"/>
      <c r="H108" s="114"/>
      <c r="I108" s="114"/>
      <c r="J108" s="114"/>
      <c r="K108" s="114"/>
      <c r="L108" s="114"/>
      <c r="M108" s="114"/>
      <c r="N108" s="114"/>
      <c r="O108" s="114"/>
      <c r="P108" s="114"/>
      <c r="Q108" s="114"/>
      <c r="R108" s="114"/>
      <c r="S108" s="114"/>
      <c r="T108" s="116"/>
      <c r="U108" s="116"/>
      <c r="V108" s="116"/>
      <c r="W108" s="209"/>
      <c r="X108" s="114"/>
      <c r="Y108" s="114"/>
      <c r="Z108" s="114"/>
      <c r="AA108" s="114"/>
      <c r="AB108" s="114"/>
      <c r="AC108" s="114"/>
      <c r="AD108" s="114"/>
      <c r="AE108" s="114"/>
      <c r="AF108" s="114"/>
      <c r="AG108" s="114"/>
      <c r="AH108" s="114"/>
    </row>
    <row r="109" spans="1:34" ht="16.5" customHeight="1" x14ac:dyDescent="0.6">
      <c r="A109" s="114"/>
      <c r="B109" s="114"/>
      <c r="C109" s="114"/>
      <c r="D109" s="114"/>
      <c r="E109" s="114"/>
      <c r="F109" s="115"/>
      <c r="G109" s="138"/>
      <c r="H109" s="114"/>
      <c r="I109" s="114"/>
      <c r="J109" s="114"/>
      <c r="K109" s="114"/>
      <c r="L109" s="114"/>
      <c r="M109" s="114"/>
      <c r="N109" s="114"/>
      <c r="O109" s="114"/>
      <c r="P109" s="114"/>
      <c r="Q109" s="114"/>
      <c r="R109" s="114"/>
      <c r="S109" s="114"/>
      <c r="T109" s="116"/>
      <c r="U109" s="116"/>
      <c r="V109" s="116"/>
      <c r="W109" s="209"/>
      <c r="X109" s="114"/>
      <c r="Y109" s="114"/>
      <c r="Z109" s="114"/>
      <c r="AA109" s="114"/>
      <c r="AB109" s="114"/>
      <c r="AC109" s="114"/>
      <c r="AD109" s="114"/>
      <c r="AE109" s="114"/>
      <c r="AF109" s="114"/>
      <c r="AG109" s="114"/>
      <c r="AH109" s="114"/>
    </row>
    <row r="110" spans="1:34" ht="16.5" customHeight="1" x14ac:dyDescent="0.6">
      <c r="A110" s="114"/>
      <c r="B110" s="114"/>
      <c r="C110" s="114"/>
      <c r="D110" s="114"/>
      <c r="E110" s="114"/>
      <c r="F110" s="115"/>
      <c r="G110" s="138"/>
      <c r="H110" s="114"/>
      <c r="I110" s="114"/>
      <c r="J110" s="114"/>
      <c r="K110" s="114"/>
      <c r="L110" s="114"/>
      <c r="M110" s="114"/>
      <c r="N110" s="114"/>
      <c r="O110" s="114"/>
      <c r="P110" s="114"/>
      <c r="Q110" s="114"/>
      <c r="R110" s="114"/>
      <c r="S110" s="114"/>
      <c r="T110" s="116"/>
      <c r="U110" s="116"/>
      <c r="V110" s="116"/>
      <c r="W110" s="209"/>
      <c r="X110" s="114"/>
      <c r="Y110" s="114"/>
      <c r="Z110" s="114"/>
      <c r="AA110" s="114"/>
      <c r="AB110" s="114"/>
      <c r="AC110" s="114"/>
      <c r="AD110" s="114"/>
      <c r="AE110" s="114"/>
      <c r="AF110" s="114"/>
      <c r="AG110" s="114"/>
      <c r="AH110" s="114"/>
    </row>
    <row r="111" spans="1:34" ht="16.5" customHeight="1" x14ac:dyDescent="0.6">
      <c r="A111" s="114"/>
      <c r="B111" s="114"/>
      <c r="C111" s="114"/>
      <c r="D111" s="114"/>
      <c r="E111" s="114"/>
      <c r="F111" s="115"/>
      <c r="G111" s="138"/>
      <c r="H111" s="114"/>
      <c r="I111" s="114"/>
      <c r="J111" s="114"/>
      <c r="K111" s="114"/>
      <c r="L111" s="114"/>
      <c r="M111" s="114"/>
      <c r="N111" s="114"/>
      <c r="O111" s="114"/>
      <c r="P111" s="114"/>
      <c r="Q111" s="114"/>
      <c r="R111" s="114"/>
      <c r="S111" s="114"/>
      <c r="T111" s="116"/>
      <c r="U111" s="116"/>
      <c r="V111" s="116"/>
      <c r="W111" s="209"/>
      <c r="X111" s="114"/>
      <c r="Y111" s="114"/>
      <c r="Z111" s="114"/>
      <c r="AA111" s="114"/>
      <c r="AB111" s="114"/>
      <c r="AC111" s="114"/>
      <c r="AD111" s="114"/>
      <c r="AE111" s="114"/>
      <c r="AF111" s="114"/>
      <c r="AG111" s="114"/>
      <c r="AH111" s="114"/>
    </row>
    <row r="112" spans="1:34" ht="16.5" customHeight="1" x14ac:dyDescent="0.6">
      <c r="A112" s="114"/>
      <c r="B112" s="114"/>
      <c r="C112" s="114"/>
      <c r="D112" s="114"/>
      <c r="E112" s="114"/>
      <c r="F112" s="115"/>
      <c r="G112" s="138"/>
      <c r="H112" s="114"/>
      <c r="I112" s="114"/>
      <c r="J112" s="114"/>
      <c r="K112" s="114"/>
      <c r="L112" s="114"/>
      <c r="M112" s="114"/>
      <c r="N112" s="114"/>
      <c r="O112" s="114"/>
      <c r="P112" s="114"/>
      <c r="Q112" s="114"/>
      <c r="R112" s="114"/>
      <c r="S112" s="114"/>
      <c r="T112" s="116"/>
      <c r="U112" s="116"/>
      <c r="V112" s="116"/>
      <c r="W112" s="209"/>
      <c r="X112" s="114"/>
      <c r="Y112" s="114"/>
      <c r="Z112" s="114"/>
      <c r="AA112" s="114"/>
      <c r="AB112" s="114"/>
      <c r="AC112" s="114"/>
      <c r="AD112" s="114"/>
      <c r="AE112" s="114"/>
      <c r="AF112" s="114"/>
      <c r="AG112" s="114"/>
      <c r="AH112" s="114"/>
    </row>
    <row r="113" spans="1:34" ht="16.5" customHeight="1" x14ac:dyDescent="0.6">
      <c r="A113" s="114"/>
      <c r="B113" s="114"/>
      <c r="C113" s="114"/>
      <c r="D113" s="114"/>
      <c r="E113" s="114"/>
      <c r="F113" s="115"/>
      <c r="G113" s="138"/>
      <c r="H113" s="114"/>
      <c r="I113" s="114"/>
      <c r="J113" s="114"/>
      <c r="K113" s="114"/>
      <c r="L113" s="114"/>
      <c r="M113" s="114"/>
      <c r="N113" s="114"/>
      <c r="O113" s="114"/>
      <c r="P113" s="114"/>
      <c r="Q113" s="114"/>
      <c r="R113" s="114"/>
      <c r="S113" s="114"/>
      <c r="T113" s="116"/>
      <c r="U113" s="116"/>
      <c r="V113" s="116"/>
      <c r="W113" s="209"/>
      <c r="X113" s="114"/>
      <c r="Y113" s="114"/>
      <c r="Z113" s="114"/>
      <c r="AA113" s="114"/>
      <c r="AB113" s="114"/>
      <c r="AC113" s="114"/>
      <c r="AD113" s="114"/>
      <c r="AE113" s="114"/>
      <c r="AF113" s="114"/>
      <c r="AG113" s="114"/>
      <c r="AH113" s="114"/>
    </row>
    <row r="114" spans="1:34" ht="16.5" customHeight="1" x14ac:dyDescent="0.6">
      <c r="A114" s="114"/>
      <c r="B114" s="114"/>
      <c r="C114" s="114"/>
      <c r="D114" s="114"/>
      <c r="E114" s="114"/>
      <c r="F114" s="115"/>
      <c r="G114" s="138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6"/>
      <c r="U114" s="116"/>
      <c r="V114" s="116"/>
      <c r="W114" s="209"/>
      <c r="X114" s="114"/>
      <c r="Y114" s="114"/>
      <c r="Z114" s="114"/>
      <c r="AA114" s="114"/>
      <c r="AB114" s="114"/>
      <c r="AC114" s="114"/>
      <c r="AD114" s="114"/>
      <c r="AE114" s="114"/>
      <c r="AF114" s="114"/>
      <c r="AG114" s="114"/>
      <c r="AH114" s="114"/>
    </row>
    <row r="115" spans="1:34" ht="16.5" customHeight="1" x14ac:dyDescent="0.6">
      <c r="A115" s="114"/>
      <c r="B115" s="114"/>
      <c r="C115" s="114"/>
      <c r="D115" s="114"/>
      <c r="E115" s="114"/>
      <c r="F115" s="115"/>
      <c r="G115" s="138"/>
      <c r="H115" s="114"/>
      <c r="I115" s="114"/>
      <c r="J115" s="114"/>
      <c r="K115" s="114"/>
      <c r="L115" s="114"/>
      <c r="M115" s="114"/>
      <c r="N115" s="114"/>
      <c r="O115" s="114"/>
      <c r="P115" s="114"/>
      <c r="Q115" s="114"/>
      <c r="R115" s="114"/>
      <c r="S115" s="114"/>
      <c r="T115" s="116"/>
      <c r="U115" s="116"/>
      <c r="V115" s="116"/>
      <c r="W115" s="209"/>
      <c r="X115" s="114"/>
      <c r="Y115" s="114"/>
      <c r="Z115" s="114"/>
      <c r="AA115" s="114"/>
      <c r="AB115" s="114"/>
      <c r="AC115" s="114"/>
      <c r="AD115" s="114"/>
      <c r="AE115" s="114"/>
      <c r="AF115" s="114"/>
      <c r="AG115" s="114"/>
      <c r="AH115" s="114"/>
    </row>
    <row r="116" spans="1:34" ht="16.5" customHeight="1" x14ac:dyDescent="0.6">
      <c r="A116" s="114"/>
      <c r="B116" s="114"/>
      <c r="C116" s="114"/>
      <c r="D116" s="114"/>
      <c r="E116" s="114"/>
      <c r="F116" s="115"/>
      <c r="G116" s="138"/>
      <c r="H116" s="114"/>
      <c r="I116" s="114"/>
      <c r="J116" s="114"/>
      <c r="K116" s="114"/>
      <c r="L116" s="114"/>
      <c r="M116" s="114"/>
      <c r="N116" s="114"/>
      <c r="O116" s="114"/>
      <c r="P116" s="114"/>
      <c r="Q116" s="114"/>
      <c r="R116" s="114"/>
      <c r="S116" s="114"/>
      <c r="T116" s="116"/>
      <c r="U116" s="116"/>
      <c r="V116" s="116"/>
      <c r="W116" s="209"/>
      <c r="X116" s="114"/>
      <c r="Y116" s="114"/>
      <c r="Z116" s="114"/>
      <c r="AA116" s="114"/>
      <c r="AB116" s="114"/>
      <c r="AC116" s="114"/>
      <c r="AD116" s="114"/>
      <c r="AE116" s="114"/>
      <c r="AF116" s="114"/>
      <c r="AG116" s="114"/>
      <c r="AH116" s="114"/>
    </row>
    <row r="117" spans="1:34" ht="16.5" customHeight="1" x14ac:dyDescent="0.6">
      <c r="A117" s="114"/>
      <c r="B117" s="114"/>
      <c r="C117" s="114"/>
      <c r="D117" s="114"/>
      <c r="E117" s="114"/>
      <c r="F117" s="115"/>
      <c r="G117" s="138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6"/>
      <c r="U117" s="116"/>
      <c r="V117" s="116"/>
      <c r="W117" s="209"/>
      <c r="X117" s="114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</row>
    <row r="118" spans="1:34" ht="16.5" customHeight="1" x14ac:dyDescent="0.6">
      <c r="A118" s="114"/>
      <c r="B118" s="114"/>
      <c r="C118" s="114"/>
      <c r="D118" s="114"/>
      <c r="E118" s="114"/>
      <c r="F118" s="115"/>
      <c r="G118" s="138"/>
      <c r="H118" s="114"/>
      <c r="I118" s="114"/>
      <c r="J118" s="114"/>
      <c r="K118" s="114"/>
      <c r="L118" s="114"/>
      <c r="M118" s="114"/>
      <c r="N118" s="114"/>
      <c r="O118" s="114"/>
      <c r="P118" s="114"/>
      <c r="Q118" s="114"/>
      <c r="R118" s="114"/>
      <c r="S118" s="114"/>
      <c r="T118" s="116"/>
      <c r="U118" s="116"/>
      <c r="V118" s="116"/>
      <c r="W118" s="209"/>
      <c r="X118" s="114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</row>
    <row r="119" spans="1:34" ht="16.5" customHeight="1" x14ac:dyDescent="0.6">
      <c r="A119" s="114"/>
      <c r="B119" s="114"/>
      <c r="C119" s="114"/>
      <c r="D119" s="114"/>
      <c r="E119" s="114"/>
      <c r="F119" s="115"/>
      <c r="G119" s="138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6"/>
      <c r="U119" s="116"/>
      <c r="V119" s="116"/>
      <c r="W119" s="209"/>
      <c r="X119" s="114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</row>
    <row r="120" spans="1:34" ht="16.5" customHeight="1" x14ac:dyDescent="0.6">
      <c r="A120" s="114"/>
      <c r="B120" s="114"/>
      <c r="C120" s="114"/>
      <c r="D120" s="114"/>
      <c r="E120" s="114"/>
      <c r="F120" s="115"/>
      <c r="G120" s="138"/>
      <c r="H120" s="114"/>
      <c r="I120" s="114"/>
      <c r="J120" s="114"/>
      <c r="K120" s="114"/>
      <c r="L120" s="114"/>
      <c r="M120" s="114"/>
      <c r="N120" s="114"/>
      <c r="O120" s="114"/>
      <c r="P120" s="114"/>
      <c r="Q120" s="114"/>
      <c r="R120" s="114"/>
      <c r="S120" s="114"/>
      <c r="T120" s="116"/>
      <c r="U120" s="116"/>
      <c r="V120" s="116"/>
      <c r="W120" s="209"/>
      <c r="X120" s="114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</row>
    <row r="121" spans="1:34" ht="16.5" customHeight="1" x14ac:dyDescent="0.6">
      <c r="A121" s="114"/>
      <c r="B121" s="114"/>
      <c r="C121" s="114"/>
      <c r="D121" s="114"/>
      <c r="E121" s="114"/>
      <c r="F121" s="115"/>
      <c r="G121" s="138"/>
      <c r="H121" s="114"/>
      <c r="I121" s="114"/>
      <c r="J121" s="114"/>
      <c r="K121" s="114"/>
      <c r="L121" s="114"/>
      <c r="M121" s="114"/>
      <c r="N121" s="114"/>
      <c r="O121" s="114"/>
      <c r="P121" s="114"/>
      <c r="Q121" s="114"/>
      <c r="R121" s="114"/>
      <c r="S121" s="114"/>
      <c r="T121" s="116"/>
      <c r="U121" s="116"/>
      <c r="V121" s="116"/>
      <c r="W121" s="209"/>
      <c r="X121" s="114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</row>
    <row r="122" spans="1:34" ht="16.5" customHeight="1" x14ac:dyDescent="0.6">
      <c r="A122" s="114"/>
      <c r="B122" s="114"/>
      <c r="C122" s="114"/>
      <c r="D122" s="114"/>
      <c r="E122" s="114"/>
      <c r="F122" s="115"/>
      <c r="G122" s="138"/>
      <c r="H122" s="114"/>
      <c r="I122" s="114"/>
      <c r="J122" s="114"/>
      <c r="K122" s="114"/>
      <c r="L122" s="114"/>
      <c r="M122" s="114"/>
      <c r="N122" s="114"/>
      <c r="O122" s="114"/>
      <c r="P122" s="114"/>
      <c r="Q122" s="114"/>
      <c r="R122" s="114"/>
      <c r="S122" s="114"/>
      <c r="T122" s="116"/>
      <c r="U122" s="116"/>
      <c r="V122" s="116"/>
      <c r="W122" s="209"/>
      <c r="X122" s="114"/>
      <c r="Y122" s="114"/>
      <c r="Z122" s="114"/>
      <c r="AA122" s="114"/>
      <c r="AB122" s="114"/>
      <c r="AC122" s="114"/>
      <c r="AD122" s="114"/>
      <c r="AE122" s="114"/>
      <c r="AF122" s="114"/>
      <c r="AG122" s="114"/>
      <c r="AH122" s="114"/>
    </row>
    <row r="123" spans="1:34" ht="16.5" customHeight="1" x14ac:dyDescent="0.6">
      <c r="A123" s="114"/>
      <c r="B123" s="114"/>
      <c r="C123" s="114"/>
      <c r="D123" s="114"/>
      <c r="E123" s="114"/>
      <c r="F123" s="115"/>
      <c r="G123" s="138"/>
      <c r="H123" s="114"/>
      <c r="I123" s="114"/>
      <c r="J123" s="114"/>
      <c r="K123" s="114"/>
      <c r="L123" s="114"/>
      <c r="M123" s="114"/>
      <c r="N123" s="114"/>
      <c r="O123" s="114"/>
      <c r="P123" s="114"/>
      <c r="Q123" s="114"/>
      <c r="R123" s="114"/>
      <c r="S123" s="114"/>
      <c r="T123" s="116"/>
      <c r="U123" s="116"/>
      <c r="V123" s="116"/>
      <c r="W123" s="209"/>
      <c r="X123" s="114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</row>
    <row r="124" spans="1:34" ht="16.5" customHeight="1" x14ac:dyDescent="0.6">
      <c r="A124" s="114"/>
      <c r="B124" s="114"/>
      <c r="C124" s="114"/>
      <c r="D124" s="114"/>
      <c r="E124" s="114"/>
      <c r="F124" s="115"/>
      <c r="G124" s="138"/>
      <c r="H124" s="114"/>
      <c r="I124" s="114"/>
      <c r="J124" s="114"/>
      <c r="K124" s="114"/>
      <c r="L124" s="114"/>
      <c r="M124" s="114"/>
      <c r="N124" s="114"/>
      <c r="O124" s="114"/>
      <c r="P124" s="114"/>
      <c r="Q124" s="114"/>
      <c r="R124" s="114"/>
      <c r="S124" s="114"/>
      <c r="T124" s="116"/>
      <c r="U124" s="116"/>
      <c r="V124" s="116"/>
      <c r="W124" s="209"/>
      <c r="X124" s="114"/>
      <c r="Y124" s="114"/>
      <c r="Z124" s="114"/>
      <c r="AA124" s="114"/>
      <c r="AB124" s="114"/>
      <c r="AC124" s="114"/>
      <c r="AD124" s="114"/>
      <c r="AE124" s="114"/>
      <c r="AF124" s="114"/>
      <c r="AG124" s="114"/>
      <c r="AH124" s="114"/>
    </row>
    <row r="125" spans="1:34" ht="16.5" customHeight="1" x14ac:dyDescent="0.6">
      <c r="A125" s="114"/>
      <c r="B125" s="114"/>
      <c r="C125" s="114"/>
      <c r="D125" s="114"/>
      <c r="E125" s="114"/>
      <c r="F125" s="115"/>
      <c r="G125" s="138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6"/>
      <c r="U125" s="116"/>
      <c r="V125" s="116"/>
      <c r="W125" s="209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4"/>
      <c r="AH125" s="114"/>
    </row>
    <row r="126" spans="1:34" ht="16.5" customHeight="1" x14ac:dyDescent="0.6">
      <c r="A126" s="114"/>
      <c r="B126" s="114"/>
      <c r="C126" s="114"/>
      <c r="D126" s="114"/>
      <c r="E126" s="114"/>
      <c r="F126" s="115"/>
      <c r="G126" s="138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/>
      <c r="R126" s="114"/>
      <c r="S126" s="114"/>
      <c r="T126" s="116"/>
      <c r="U126" s="116"/>
      <c r="V126" s="116"/>
      <c r="W126" s="209"/>
      <c r="X126" s="114"/>
      <c r="Y126" s="114"/>
      <c r="Z126" s="114"/>
      <c r="AA126" s="114"/>
      <c r="AB126" s="114"/>
      <c r="AC126" s="114"/>
      <c r="AD126" s="114"/>
      <c r="AE126" s="114"/>
      <c r="AF126" s="114"/>
      <c r="AG126" s="114"/>
      <c r="AH126" s="114"/>
    </row>
    <row r="127" spans="1:34" ht="16.5" customHeight="1" x14ac:dyDescent="0.6">
      <c r="A127" s="114"/>
      <c r="B127" s="114"/>
      <c r="C127" s="114"/>
      <c r="D127" s="114"/>
      <c r="E127" s="114"/>
      <c r="F127" s="115"/>
      <c r="G127" s="138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4"/>
      <c r="S127" s="114"/>
      <c r="T127" s="116"/>
      <c r="U127" s="116"/>
      <c r="V127" s="116"/>
      <c r="W127" s="209"/>
      <c r="X127" s="114"/>
      <c r="Y127" s="114"/>
      <c r="Z127" s="114"/>
      <c r="AA127" s="114"/>
      <c r="AB127" s="114"/>
      <c r="AC127" s="114"/>
      <c r="AD127" s="114"/>
      <c r="AE127" s="114"/>
      <c r="AF127" s="114"/>
      <c r="AG127" s="114"/>
      <c r="AH127" s="114"/>
    </row>
    <row r="128" spans="1:34" ht="16.5" customHeight="1" x14ac:dyDescent="0.6">
      <c r="A128" s="114"/>
      <c r="B128" s="114"/>
      <c r="C128" s="114"/>
      <c r="D128" s="114"/>
      <c r="E128" s="114"/>
      <c r="F128" s="115"/>
      <c r="G128" s="138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/>
      <c r="R128" s="114"/>
      <c r="S128" s="114"/>
      <c r="T128" s="116"/>
      <c r="U128" s="116"/>
      <c r="V128" s="116"/>
      <c r="W128" s="209"/>
      <c r="X128" s="114"/>
      <c r="Y128" s="114"/>
      <c r="Z128" s="114"/>
      <c r="AA128" s="114"/>
      <c r="AB128" s="114"/>
      <c r="AC128" s="114"/>
      <c r="AD128" s="114"/>
      <c r="AE128" s="114"/>
      <c r="AF128" s="114"/>
      <c r="AG128" s="114"/>
      <c r="AH128" s="114"/>
    </row>
    <row r="129" spans="1:34" ht="16.5" customHeight="1" x14ac:dyDescent="0.6">
      <c r="A129" s="114"/>
      <c r="B129" s="114"/>
      <c r="C129" s="114"/>
      <c r="D129" s="114"/>
      <c r="E129" s="114"/>
      <c r="F129" s="115"/>
      <c r="G129" s="138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/>
      <c r="R129" s="114"/>
      <c r="S129" s="114"/>
      <c r="T129" s="116"/>
      <c r="U129" s="116"/>
      <c r="V129" s="116"/>
      <c r="W129" s="209"/>
      <c r="X129" s="114"/>
      <c r="Y129" s="114"/>
      <c r="Z129" s="114"/>
      <c r="AA129" s="114"/>
      <c r="AB129" s="114"/>
      <c r="AC129" s="114"/>
      <c r="AD129" s="114"/>
      <c r="AE129" s="114"/>
      <c r="AF129" s="114"/>
      <c r="AG129" s="114"/>
      <c r="AH129" s="114"/>
    </row>
    <row r="130" spans="1:34" ht="16.5" customHeight="1" x14ac:dyDescent="0.6">
      <c r="A130" s="114"/>
      <c r="B130" s="114"/>
      <c r="C130" s="114"/>
      <c r="D130" s="114"/>
      <c r="E130" s="114"/>
      <c r="F130" s="115"/>
      <c r="G130" s="138"/>
      <c r="H130" s="114"/>
      <c r="I130" s="114"/>
      <c r="J130" s="114"/>
      <c r="K130" s="114"/>
      <c r="L130" s="114"/>
      <c r="M130" s="114"/>
      <c r="N130" s="114"/>
      <c r="O130" s="114"/>
      <c r="P130" s="114"/>
      <c r="Q130" s="114"/>
      <c r="R130" s="114"/>
      <c r="S130" s="114"/>
      <c r="T130" s="116"/>
      <c r="U130" s="116"/>
      <c r="V130" s="116"/>
      <c r="W130" s="209"/>
      <c r="X130" s="114"/>
      <c r="Y130" s="114"/>
      <c r="Z130" s="114"/>
      <c r="AA130" s="114"/>
      <c r="AB130" s="114"/>
      <c r="AC130" s="114"/>
      <c r="AD130" s="114"/>
      <c r="AE130" s="114"/>
      <c r="AF130" s="114"/>
      <c r="AG130" s="114"/>
      <c r="AH130" s="114"/>
    </row>
    <row r="131" spans="1:34" ht="16.5" customHeight="1" x14ac:dyDescent="0.6">
      <c r="A131" s="114"/>
      <c r="B131" s="114"/>
      <c r="C131" s="114"/>
      <c r="D131" s="114"/>
      <c r="E131" s="114"/>
      <c r="F131" s="115"/>
      <c r="G131" s="138"/>
      <c r="H131" s="114"/>
      <c r="I131" s="114"/>
      <c r="J131" s="114"/>
      <c r="K131" s="114"/>
      <c r="L131" s="114"/>
      <c r="M131" s="114"/>
      <c r="N131" s="114"/>
      <c r="O131" s="114"/>
      <c r="P131" s="114"/>
      <c r="Q131" s="114"/>
      <c r="R131" s="114"/>
      <c r="S131" s="114"/>
      <c r="T131" s="116"/>
      <c r="U131" s="116"/>
      <c r="V131" s="116"/>
      <c r="W131" s="209"/>
      <c r="X131" s="114"/>
      <c r="Y131" s="114"/>
      <c r="Z131" s="114"/>
      <c r="AA131" s="114"/>
      <c r="AB131" s="114"/>
      <c r="AC131" s="114"/>
      <c r="AD131" s="114"/>
      <c r="AE131" s="114"/>
      <c r="AF131" s="114"/>
      <c r="AG131" s="114"/>
      <c r="AH131" s="114"/>
    </row>
    <row r="132" spans="1:34" ht="24" customHeight="1" x14ac:dyDescent="0.6">
      <c r="A132" s="114"/>
      <c r="B132" s="114"/>
      <c r="C132" s="114"/>
      <c r="D132" s="114"/>
      <c r="E132" s="114"/>
      <c r="F132" s="115"/>
      <c r="G132" s="138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4"/>
      <c r="S132" s="114"/>
      <c r="T132" s="116"/>
      <c r="U132" s="116"/>
      <c r="V132" s="116"/>
      <c r="W132" s="209"/>
      <c r="X132" s="114"/>
      <c r="Y132" s="114"/>
      <c r="Z132" s="114"/>
      <c r="AA132" s="114"/>
      <c r="AB132" s="114"/>
      <c r="AC132" s="114"/>
      <c r="AD132" s="114"/>
      <c r="AE132" s="114"/>
      <c r="AF132" s="114"/>
      <c r="AG132" s="114"/>
      <c r="AH132" s="114"/>
    </row>
    <row r="133" spans="1:34" ht="24" customHeight="1" x14ac:dyDescent="0.6">
      <c r="A133" s="114"/>
      <c r="B133" s="114"/>
      <c r="C133" s="114"/>
      <c r="D133" s="114"/>
      <c r="E133" s="114"/>
      <c r="F133" s="115"/>
      <c r="G133" s="138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6"/>
      <c r="U133" s="116"/>
      <c r="V133" s="116"/>
      <c r="W133" s="209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</row>
    <row r="134" spans="1:34" ht="24" customHeight="1" x14ac:dyDescent="0.6">
      <c r="A134" s="114"/>
      <c r="B134" s="114"/>
      <c r="C134" s="114"/>
      <c r="D134" s="114"/>
      <c r="E134" s="114"/>
      <c r="F134" s="115"/>
      <c r="G134" s="138"/>
      <c r="H134" s="114"/>
      <c r="I134" s="114"/>
      <c r="J134" s="114"/>
      <c r="K134" s="114"/>
      <c r="L134" s="114"/>
      <c r="M134" s="114"/>
      <c r="N134" s="114"/>
      <c r="O134" s="114"/>
      <c r="P134" s="114"/>
      <c r="Q134" s="114"/>
      <c r="R134" s="114"/>
      <c r="S134" s="114"/>
      <c r="T134" s="116"/>
      <c r="U134" s="116"/>
      <c r="V134" s="116"/>
      <c r="W134" s="209"/>
      <c r="X134" s="114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</row>
    <row r="135" spans="1:34" ht="24" customHeight="1" x14ac:dyDescent="0.6">
      <c r="A135" s="114"/>
      <c r="B135" s="114"/>
      <c r="C135" s="114"/>
      <c r="D135" s="114"/>
      <c r="E135" s="114"/>
      <c r="F135" s="115"/>
      <c r="G135" s="138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6"/>
      <c r="U135" s="116"/>
      <c r="V135" s="116"/>
      <c r="W135" s="209"/>
      <c r="X135" s="114"/>
      <c r="Y135" s="114"/>
      <c r="Z135" s="114"/>
      <c r="AA135" s="114"/>
      <c r="AB135" s="114"/>
      <c r="AC135" s="114"/>
      <c r="AD135" s="114"/>
      <c r="AE135" s="114"/>
      <c r="AF135" s="114"/>
      <c r="AG135" s="114"/>
      <c r="AH135" s="114"/>
    </row>
    <row r="136" spans="1:34" ht="24" customHeight="1" x14ac:dyDescent="0.6">
      <c r="A136" s="114"/>
      <c r="B136" s="114"/>
      <c r="C136" s="114"/>
      <c r="D136" s="114"/>
      <c r="E136" s="114"/>
      <c r="F136" s="115"/>
      <c r="G136" s="138"/>
      <c r="H136" s="114"/>
      <c r="I136" s="114"/>
      <c r="J136" s="114"/>
      <c r="K136" s="114"/>
      <c r="L136" s="114"/>
      <c r="M136" s="114"/>
      <c r="N136" s="114"/>
      <c r="O136" s="114"/>
      <c r="P136" s="114"/>
      <c r="Q136" s="114"/>
      <c r="R136" s="114"/>
      <c r="S136" s="114"/>
      <c r="T136" s="116"/>
      <c r="U136" s="116"/>
      <c r="V136" s="116"/>
      <c r="W136" s="209"/>
      <c r="X136" s="114"/>
      <c r="Y136" s="114"/>
      <c r="Z136" s="114"/>
      <c r="AA136" s="114"/>
      <c r="AB136" s="114"/>
      <c r="AC136" s="114"/>
      <c r="AD136" s="114"/>
      <c r="AE136" s="114"/>
      <c r="AF136" s="114"/>
      <c r="AG136" s="114"/>
      <c r="AH136" s="114"/>
    </row>
    <row r="137" spans="1:34" ht="24" customHeight="1" x14ac:dyDescent="0.6">
      <c r="A137" s="114"/>
      <c r="B137" s="114"/>
      <c r="C137" s="114"/>
      <c r="D137" s="114"/>
      <c r="E137" s="114"/>
      <c r="F137" s="115"/>
      <c r="G137" s="138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114"/>
      <c r="S137" s="114"/>
      <c r="T137" s="116"/>
      <c r="U137" s="116"/>
      <c r="V137" s="116"/>
      <c r="W137" s="209"/>
      <c r="X137" s="114"/>
      <c r="Y137" s="114"/>
      <c r="Z137" s="114"/>
      <c r="AA137" s="114"/>
      <c r="AB137" s="114"/>
      <c r="AC137" s="114"/>
      <c r="AD137" s="114"/>
      <c r="AE137" s="114"/>
      <c r="AF137" s="114"/>
      <c r="AG137" s="114"/>
      <c r="AH137" s="114"/>
    </row>
    <row r="138" spans="1:34" ht="24" customHeight="1" x14ac:dyDescent="0.6">
      <c r="A138" s="114"/>
      <c r="B138" s="114"/>
      <c r="C138" s="114"/>
      <c r="D138" s="114"/>
      <c r="E138" s="114"/>
      <c r="F138" s="115"/>
      <c r="G138" s="138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6"/>
      <c r="U138" s="116"/>
      <c r="V138" s="116"/>
      <c r="W138" s="209"/>
      <c r="X138" s="114"/>
      <c r="Y138" s="114"/>
      <c r="Z138" s="114"/>
      <c r="AA138" s="114"/>
      <c r="AB138" s="114"/>
      <c r="AC138" s="114"/>
      <c r="AD138" s="114"/>
      <c r="AE138" s="114"/>
      <c r="AF138" s="114"/>
      <c r="AG138" s="114"/>
      <c r="AH138" s="114"/>
    </row>
    <row r="139" spans="1:34" ht="24" customHeight="1" x14ac:dyDescent="0.6">
      <c r="A139" s="114"/>
      <c r="B139" s="114"/>
      <c r="C139" s="114"/>
      <c r="D139" s="114"/>
      <c r="E139" s="114"/>
      <c r="F139" s="115"/>
      <c r="G139" s="138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4"/>
      <c r="S139" s="114"/>
      <c r="T139" s="116"/>
      <c r="U139" s="116"/>
      <c r="V139" s="116"/>
      <c r="W139" s="209"/>
      <c r="X139" s="114"/>
      <c r="Y139" s="114"/>
      <c r="Z139" s="114"/>
      <c r="AA139" s="114"/>
      <c r="AB139" s="114"/>
      <c r="AC139" s="114"/>
      <c r="AD139" s="114"/>
      <c r="AE139" s="114"/>
      <c r="AF139" s="114"/>
      <c r="AG139" s="114"/>
      <c r="AH139" s="114"/>
    </row>
    <row r="140" spans="1:34" ht="24" customHeight="1" x14ac:dyDescent="0.6">
      <c r="A140" s="114"/>
      <c r="B140" s="114"/>
      <c r="C140" s="114"/>
      <c r="D140" s="114"/>
      <c r="E140" s="114"/>
      <c r="F140" s="115"/>
      <c r="G140" s="138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114"/>
      <c r="S140" s="114"/>
      <c r="T140" s="116"/>
      <c r="U140" s="116"/>
      <c r="V140" s="116"/>
      <c r="W140" s="209"/>
      <c r="X140" s="114"/>
      <c r="Y140" s="114"/>
      <c r="Z140" s="114"/>
      <c r="AA140" s="114"/>
      <c r="AB140" s="114"/>
      <c r="AC140" s="114"/>
      <c r="AD140" s="114"/>
      <c r="AE140" s="114"/>
      <c r="AF140" s="114"/>
      <c r="AG140" s="114"/>
      <c r="AH140" s="114"/>
    </row>
    <row r="141" spans="1:34" ht="24" customHeight="1" x14ac:dyDescent="0.6">
      <c r="A141" s="114"/>
      <c r="B141" s="114"/>
      <c r="C141" s="114"/>
      <c r="D141" s="114"/>
      <c r="E141" s="114"/>
      <c r="F141" s="115"/>
      <c r="G141" s="138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4"/>
      <c r="S141" s="114"/>
      <c r="T141" s="116"/>
      <c r="U141" s="116"/>
      <c r="V141" s="116"/>
      <c r="W141" s="209"/>
      <c r="X141" s="114"/>
      <c r="Y141" s="114"/>
      <c r="Z141" s="114"/>
      <c r="AA141" s="114"/>
      <c r="AB141" s="114"/>
      <c r="AC141" s="114"/>
      <c r="AD141" s="114"/>
      <c r="AE141" s="114"/>
      <c r="AF141" s="114"/>
      <c r="AG141" s="114"/>
      <c r="AH141" s="114"/>
    </row>
    <row r="142" spans="1:34" ht="24" customHeight="1" x14ac:dyDescent="0.6">
      <c r="A142" s="114"/>
      <c r="B142" s="114"/>
      <c r="C142" s="114"/>
      <c r="D142" s="114"/>
      <c r="E142" s="114"/>
      <c r="F142" s="115"/>
      <c r="G142" s="138"/>
      <c r="H142" s="114"/>
      <c r="I142" s="114"/>
      <c r="J142" s="114"/>
      <c r="K142" s="114"/>
      <c r="L142" s="114"/>
      <c r="M142" s="114"/>
      <c r="N142" s="114"/>
      <c r="O142" s="114"/>
      <c r="P142" s="114"/>
      <c r="Q142" s="114"/>
      <c r="R142" s="114"/>
      <c r="S142" s="114"/>
      <c r="T142" s="116"/>
      <c r="U142" s="116"/>
      <c r="V142" s="116"/>
      <c r="W142" s="209"/>
      <c r="X142" s="114"/>
      <c r="Y142" s="114"/>
      <c r="Z142" s="114"/>
      <c r="AA142" s="114"/>
      <c r="AB142" s="114"/>
      <c r="AC142" s="114"/>
      <c r="AD142" s="114"/>
      <c r="AE142" s="114"/>
      <c r="AF142" s="114"/>
      <c r="AG142" s="114"/>
      <c r="AH142" s="114"/>
    </row>
    <row r="143" spans="1:34" ht="24" customHeight="1" x14ac:dyDescent="0.6">
      <c r="A143" s="114"/>
      <c r="B143" s="114"/>
      <c r="C143" s="114"/>
      <c r="D143" s="114"/>
      <c r="E143" s="114"/>
      <c r="F143" s="115"/>
      <c r="G143" s="138"/>
      <c r="H143" s="114"/>
      <c r="I143" s="114"/>
      <c r="J143" s="114"/>
      <c r="K143" s="114"/>
      <c r="L143" s="114"/>
      <c r="M143" s="114"/>
      <c r="N143" s="114"/>
      <c r="O143" s="114"/>
      <c r="P143" s="114"/>
      <c r="Q143" s="114"/>
      <c r="R143" s="114"/>
      <c r="S143" s="114"/>
      <c r="T143" s="116"/>
      <c r="U143" s="116"/>
      <c r="V143" s="116"/>
      <c r="W143" s="209"/>
      <c r="X143" s="114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</row>
    <row r="144" spans="1:34" ht="24" customHeight="1" x14ac:dyDescent="0.6">
      <c r="A144" s="114"/>
      <c r="B144" s="114"/>
      <c r="C144" s="114"/>
      <c r="D144" s="114"/>
      <c r="E144" s="114"/>
      <c r="F144" s="115"/>
      <c r="G144" s="138"/>
      <c r="H144" s="114"/>
      <c r="I144" s="114"/>
      <c r="J144" s="114"/>
      <c r="K144" s="114"/>
      <c r="L144" s="114"/>
      <c r="M144" s="114"/>
      <c r="N144" s="114"/>
      <c r="O144" s="114"/>
      <c r="P144" s="114"/>
      <c r="Q144" s="114"/>
      <c r="R144" s="114"/>
      <c r="S144" s="114"/>
      <c r="T144" s="116"/>
      <c r="U144" s="116"/>
      <c r="V144" s="116"/>
      <c r="W144" s="209"/>
      <c r="X144" s="114"/>
      <c r="Y144" s="114"/>
      <c r="Z144" s="114"/>
      <c r="AA144" s="114"/>
      <c r="AB144" s="114"/>
      <c r="AC144" s="114"/>
      <c r="AD144" s="114"/>
      <c r="AE144" s="114"/>
      <c r="AF144" s="114"/>
      <c r="AG144" s="114"/>
      <c r="AH144" s="114"/>
    </row>
    <row r="145" spans="1:34" ht="24" customHeight="1" x14ac:dyDescent="0.6">
      <c r="A145" s="114"/>
      <c r="B145" s="114"/>
      <c r="C145" s="114"/>
      <c r="D145" s="114"/>
      <c r="E145" s="114"/>
      <c r="F145" s="115"/>
      <c r="G145" s="138"/>
      <c r="H145" s="114"/>
      <c r="I145" s="114"/>
      <c r="J145" s="114"/>
      <c r="K145" s="114"/>
      <c r="L145" s="114"/>
      <c r="M145" s="114"/>
      <c r="N145" s="114"/>
      <c r="O145" s="114"/>
      <c r="P145" s="114"/>
      <c r="Q145" s="114"/>
      <c r="R145" s="114"/>
      <c r="S145" s="114"/>
      <c r="T145" s="116"/>
      <c r="U145" s="116"/>
      <c r="V145" s="116"/>
      <c r="W145" s="209"/>
      <c r="X145" s="114"/>
      <c r="Y145" s="114"/>
      <c r="Z145" s="114"/>
      <c r="AA145" s="114"/>
      <c r="AB145" s="114"/>
      <c r="AC145" s="114"/>
      <c r="AD145" s="114"/>
      <c r="AE145" s="114"/>
      <c r="AF145" s="114"/>
      <c r="AG145" s="114"/>
      <c r="AH145" s="114"/>
    </row>
    <row r="146" spans="1:34" ht="24" customHeight="1" x14ac:dyDescent="0.6">
      <c r="A146" s="114"/>
      <c r="B146" s="114"/>
      <c r="C146" s="114"/>
      <c r="D146" s="114"/>
      <c r="E146" s="114"/>
      <c r="F146" s="115"/>
      <c r="G146" s="138"/>
      <c r="H146" s="114"/>
      <c r="I146" s="114"/>
      <c r="J146" s="114"/>
      <c r="K146" s="114"/>
      <c r="L146" s="114"/>
      <c r="M146" s="114"/>
      <c r="N146" s="114"/>
      <c r="O146" s="114"/>
      <c r="P146" s="114"/>
      <c r="Q146" s="114"/>
      <c r="R146" s="114"/>
      <c r="S146" s="114"/>
      <c r="T146" s="116"/>
      <c r="U146" s="116"/>
      <c r="V146" s="116"/>
      <c r="W146" s="209"/>
      <c r="X146" s="114"/>
      <c r="Y146" s="114"/>
      <c r="Z146" s="114"/>
      <c r="AA146" s="114"/>
      <c r="AB146" s="114"/>
      <c r="AC146" s="114"/>
      <c r="AD146" s="114"/>
      <c r="AE146" s="114"/>
      <c r="AF146" s="114"/>
      <c r="AG146" s="114"/>
      <c r="AH146" s="114"/>
    </row>
    <row r="147" spans="1:34" ht="24" customHeight="1" x14ac:dyDescent="0.6">
      <c r="A147" s="114"/>
      <c r="B147" s="114"/>
      <c r="C147" s="114"/>
      <c r="D147" s="114"/>
      <c r="E147" s="114"/>
      <c r="F147" s="115"/>
      <c r="G147" s="138"/>
      <c r="H147" s="114"/>
      <c r="I147" s="114"/>
      <c r="J147" s="114"/>
      <c r="K147" s="114"/>
      <c r="L147" s="114"/>
      <c r="M147" s="114"/>
      <c r="N147" s="114"/>
      <c r="O147" s="114"/>
      <c r="P147" s="114"/>
      <c r="Q147" s="114"/>
      <c r="R147" s="114"/>
      <c r="S147" s="114"/>
      <c r="T147" s="116"/>
      <c r="U147" s="116"/>
      <c r="V147" s="116"/>
      <c r="W147" s="209"/>
      <c r="X147" s="114"/>
      <c r="Y147" s="114"/>
      <c r="Z147" s="114"/>
      <c r="AA147" s="114"/>
      <c r="AB147" s="114"/>
      <c r="AC147" s="114"/>
      <c r="AD147" s="114"/>
      <c r="AE147" s="114"/>
      <c r="AF147" s="114"/>
      <c r="AG147" s="114"/>
      <c r="AH147" s="114"/>
    </row>
    <row r="148" spans="1:34" ht="24" customHeight="1" x14ac:dyDescent="0.6">
      <c r="A148" s="114"/>
      <c r="B148" s="114"/>
      <c r="C148" s="114"/>
      <c r="D148" s="114"/>
      <c r="E148" s="114"/>
      <c r="F148" s="115"/>
      <c r="G148" s="138"/>
      <c r="H148" s="114"/>
      <c r="I148" s="114"/>
      <c r="J148" s="114"/>
      <c r="K148" s="114"/>
      <c r="L148" s="114"/>
      <c r="M148" s="114"/>
      <c r="N148" s="114"/>
      <c r="O148" s="114"/>
      <c r="P148" s="114"/>
      <c r="Q148" s="114"/>
      <c r="R148" s="114"/>
      <c r="S148" s="114"/>
      <c r="T148" s="116"/>
      <c r="U148" s="116"/>
      <c r="V148" s="116"/>
      <c r="W148" s="209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</row>
    <row r="149" spans="1:34" ht="24" customHeight="1" x14ac:dyDescent="0.6">
      <c r="A149" s="114"/>
      <c r="B149" s="114"/>
      <c r="C149" s="114"/>
      <c r="D149" s="114"/>
      <c r="E149" s="114"/>
      <c r="F149" s="115"/>
      <c r="G149" s="138"/>
      <c r="H149" s="114"/>
      <c r="I149" s="114"/>
      <c r="J149" s="114"/>
      <c r="K149" s="114"/>
      <c r="L149" s="114"/>
      <c r="M149" s="114"/>
      <c r="N149" s="114"/>
      <c r="O149" s="114"/>
      <c r="P149" s="114"/>
      <c r="Q149" s="114"/>
      <c r="R149" s="114"/>
      <c r="S149" s="114"/>
      <c r="T149" s="116"/>
      <c r="U149" s="116"/>
      <c r="V149" s="116"/>
      <c r="W149" s="209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</row>
    <row r="150" spans="1:34" ht="24" customHeight="1" x14ac:dyDescent="0.6">
      <c r="A150" s="114"/>
      <c r="B150" s="114"/>
      <c r="C150" s="114"/>
      <c r="D150" s="114"/>
      <c r="E150" s="114"/>
      <c r="F150" s="115"/>
      <c r="G150" s="138"/>
      <c r="H150" s="114"/>
      <c r="I150" s="114"/>
      <c r="J150" s="114"/>
      <c r="K150" s="114"/>
      <c r="L150" s="114"/>
      <c r="M150" s="114"/>
      <c r="N150" s="114"/>
      <c r="O150" s="114"/>
      <c r="P150" s="114"/>
      <c r="Q150" s="114"/>
      <c r="R150" s="114"/>
      <c r="S150" s="114"/>
      <c r="T150" s="116"/>
      <c r="U150" s="116"/>
      <c r="V150" s="116"/>
      <c r="W150" s="209"/>
      <c r="X150" s="114"/>
      <c r="Y150" s="114"/>
      <c r="Z150" s="114"/>
      <c r="AA150" s="114"/>
      <c r="AB150" s="114"/>
      <c r="AC150" s="114"/>
      <c r="AD150" s="114"/>
      <c r="AE150" s="114"/>
      <c r="AF150" s="114"/>
      <c r="AG150" s="114"/>
      <c r="AH150" s="114"/>
    </row>
    <row r="151" spans="1:34" ht="24" customHeight="1" x14ac:dyDescent="0.6">
      <c r="A151" s="114"/>
      <c r="B151" s="114"/>
      <c r="C151" s="114"/>
      <c r="D151" s="114"/>
      <c r="E151" s="114"/>
      <c r="F151" s="115"/>
      <c r="G151" s="138"/>
      <c r="H151" s="114"/>
      <c r="I151" s="114"/>
      <c r="J151" s="114"/>
      <c r="K151" s="114"/>
      <c r="L151" s="114"/>
      <c r="M151" s="114"/>
      <c r="N151" s="114"/>
      <c r="O151" s="114"/>
      <c r="P151" s="114"/>
      <c r="Q151" s="114"/>
      <c r="R151" s="114"/>
      <c r="S151" s="114"/>
      <c r="T151" s="116"/>
      <c r="U151" s="116"/>
      <c r="V151" s="116"/>
      <c r="W151" s="209"/>
      <c r="X151" s="114"/>
      <c r="Y151" s="114"/>
      <c r="Z151" s="114"/>
      <c r="AA151" s="114"/>
      <c r="AB151" s="114"/>
      <c r="AC151" s="114"/>
      <c r="AD151" s="114"/>
      <c r="AE151" s="114"/>
      <c r="AF151" s="114"/>
      <c r="AG151" s="114"/>
      <c r="AH151" s="114"/>
    </row>
    <row r="152" spans="1:34" ht="24" customHeight="1" x14ac:dyDescent="0.6">
      <c r="A152" s="114"/>
      <c r="B152" s="114"/>
      <c r="C152" s="114"/>
      <c r="D152" s="114"/>
      <c r="E152" s="114"/>
      <c r="F152" s="115"/>
      <c r="G152" s="138"/>
      <c r="H152" s="114"/>
      <c r="I152" s="114"/>
      <c r="J152" s="114"/>
      <c r="K152" s="114"/>
      <c r="L152" s="114"/>
      <c r="M152" s="114"/>
      <c r="N152" s="114"/>
      <c r="O152" s="114"/>
      <c r="P152" s="114"/>
      <c r="Q152" s="114"/>
      <c r="R152" s="114"/>
      <c r="S152" s="114"/>
      <c r="T152" s="116"/>
      <c r="U152" s="116"/>
      <c r="V152" s="116"/>
      <c r="W152" s="209"/>
      <c r="X152" s="114"/>
      <c r="Y152" s="114"/>
      <c r="Z152" s="114"/>
      <c r="AA152" s="114"/>
      <c r="AB152" s="114"/>
      <c r="AC152" s="114"/>
      <c r="AD152" s="114"/>
      <c r="AE152" s="114"/>
      <c r="AF152" s="114"/>
      <c r="AG152" s="114"/>
      <c r="AH152" s="114"/>
    </row>
    <row r="153" spans="1:34" ht="24" customHeight="1" x14ac:dyDescent="0.6">
      <c r="A153" s="114"/>
      <c r="B153" s="114"/>
      <c r="C153" s="114"/>
      <c r="D153" s="114"/>
      <c r="E153" s="114"/>
      <c r="F153" s="115"/>
      <c r="G153" s="138"/>
      <c r="H153" s="114"/>
      <c r="I153" s="114"/>
      <c r="J153" s="114"/>
      <c r="K153" s="114"/>
      <c r="L153" s="114"/>
      <c r="M153" s="114"/>
      <c r="N153" s="114"/>
      <c r="O153" s="114"/>
      <c r="P153" s="114"/>
      <c r="Q153" s="114"/>
      <c r="R153" s="114"/>
      <c r="S153" s="114"/>
      <c r="T153" s="116"/>
      <c r="U153" s="116"/>
      <c r="V153" s="116"/>
      <c r="W153" s="209"/>
      <c r="X153" s="114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</row>
    <row r="154" spans="1:34" ht="24" customHeight="1" x14ac:dyDescent="0.6">
      <c r="A154" s="114"/>
      <c r="B154" s="114"/>
      <c r="C154" s="114"/>
      <c r="D154" s="114"/>
      <c r="E154" s="114"/>
      <c r="F154" s="115"/>
      <c r="G154" s="138"/>
      <c r="H154" s="114"/>
      <c r="I154" s="114"/>
      <c r="J154" s="114"/>
      <c r="K154" s="114"/>
      <c r="L154" s="114"/>
      <c r="M154" s="114"/>
      <c r="N154" s="114"/>
      <c r="O154" s="114"/>
      <c r="P154" s="114"/>
      <c r="Q154" s="114"/>
      <c r="R154" s="114"/>
      <c r="S154" s="114"/>
      <c r="T154" s="116"/>
      <c r="U154" s="116"/>
      <c r="V154" s="116"/>
      <c r="W154" s="209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</row>
    <row r="155" spans="1:34" ht="24" customHeight="1" x14ac:dyDescent="0.6">
      <c r="A155" s="114"/>
      <c r="B155" s="114"/>
      <c r="C155" s="114"/>
      <c r="D155" s="114"/>
      <c r="E155" s="114"/>
      <c r="F155" s="115"/>
      <c r="G155" s="138"/>
      <c r="H155" s="114"/>
      <c r="I155" s="114"/>
      <c r="J155" s="114"/>
      <c r="K155" s="114"/>
      <c r="L155" s="114"/>
      <c r="M155" s="114"/>
      <c r="N155" s="114"/>
      <c r="O155" s="114"/>
      <c r="P155" s="114"/>
      <c r="Q155" s="114"/>
      <c r="R155" s="114"/>
      <c r="S155" s="114"/>
      <c r="T155" s="116"/>
      <c r="U155" s="116"/>
      <c r="V155" s="116"/>
      <c r="W155" s="209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</row>
    <row r="156" spans="1:34" ht="24" customHeight="1" x14ac:dyDescent="0.6">
      <c r="A156" s="114"/>
      <c r="B156" s="114"/>
      <c r="C156" s="114"/>
      <c r="D156" s="114"/>
      <c r="E156" s="114"/>
      <c r="F156" s="115"/>
      <c r="G156" s="138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6"/>
      <c r="U156" s="116"/>
      <c r="V156" s="116"/>
      <c r="W156" s="209"/>
      <c r="X156" s="114"/>
      <c r="Y156" s="114"/>
      <c r="Z156" s="114"/>
      <c r="AA156" s="114"/>
      <c r="AB156" s="114"/>
      <c r="AC156" s="114"/>
      <c r="AD156" s="114"/>
      <c r="AE156" s="114"/>
      <c r="AF156" s="114"/>
      <c r="AG156" s="114"/>
      <c r="AH156" s="114"/>
    </row>
    <row r="157" spans="1:34" ht="24" customHeight="1" x14ac:dyDescent="0.6">
      <c r="A157" s="114"/>
      <c r="B157" s="114"/>
      <c r="C157" s="114"/>
      <c r="D157" s="114"/>
      <c r="E157" s="114"/>
      <c r="F157" s="115"/>
      <c r="G157" s="138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114"/>
      <c r="S157" s="114"/>
      <c r="T157" s="116"/>
      <c r="U157" s="116"/>
      <c r="V157" s="116"/>
      <c r="W157" s="209"/>
      <c r="X157" s="114"/>
      <c r="Y157" s="114"/>
      <c r="Z157" s="114"/>
      <c r="AA157" s="114"/>
      <c r="AB157" s="114"/>
      <c r="AC157" s="114"/>
      <c r="AD157" s="114"/>
      <c r="AE157" s="114"/>
      <c r="AF157" s="114"/>
      <c r="AG157" s="114"/>
      <c r="AH157" s="114"/>
    </row>
    <row r="158" spans="1:34" ht="24" customHeight="1" x14ac:dyDescent="0.6">
      <c r="A158" s="114"/>
      <c r="B158" s="114"/>
      <c r="C158" s="114"/>
      <c r="D158" s="114"/>
      <c r="E158" s="114"/>
      <c r="F158" s="115"/>
      <c r="G158" s="138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114"/>
      <c r="S158" s="114"/>
      <c r="T158" s="116"/>
      <c r="U158" s="116"/>
      <c r="V158" s="116"/>
      <c r="W158" s="209"/>
      <c r="X158" s="114"/>
      <c r="Y158" s="114"/>
      <c r="Z158" s="114"/>
      <c r="AA158" s="114"/>
      <c r="AB158" s="114"/>
      <c r="AC158" s="114"/>
      <c r="AD158" s="114"/>
      <c r="AE158" s="114"/>
      <c r="AF158" s="114"/>
      <c r="AG158" s="114"/>
      <c r="AH158" s="114"/>
    </row>
    <row r="159" spans="1:34" ht="24" customHeight="1" x14ac:dyDescent="0.6">
      <c r="A159" s="114"/>
      <c r="B159" s="114"/>
      <c r="C159" s="114"/>
      <c r="D159" s="114"/>
      <c r="E159" s="114"/>
      <c r="F159" s="115"/>
      <c r="G159" s="138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114"/>
      <c r="S159" s="114"/>
      <c r="T159" s="116"/>
      <c r="U159" s="116"/>
      <c r="V159" s="116"/>
      <c r="W159" s="209"/>
      <c r="X159" s="114"/>
      <c r="Y159" s="114"/>
      <c r="Z159" s="114"/>
      <c r="AA159" s="114"/>
      <c r="AB159" s="114"/>
      <c r="AC159" s="114"/>
      <c r="AD159" s="114"/>
      <c r="AE159" s="114"/>
      <c r="AF159" s="114"/>
      <c r="AG159" s="114"/>
      <c r="AH159" s="114"/>
    </row>
    <row r="160" spans="1:34" ht="24" customHeight="1" x14ac:dyDescent="0.6">
      <c r="A160" s="114"/>
      <c r="B160" s="114"/>
      <c r="C160" s="114"/>
      <c r="D160" s="114"/>
      <c r="E160" s="114"/>
      <c r="F160" s="115"/>
      <c r="G160" s="138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4"/>
      <c r="S160" s="114"/>
      <c r="T160" s="116"/>
      <c r="U160" s="116"/>
      <c r="V160" s="116"/>
      <c r="W160" s="209"/>
      <c r="X160" s="114"/>
      <c r="Y160" s="114"/>
      <c r="Z160" s="114"/>
      <c r="AA160" s="114"/>
      <c r="AB160" s="114"/>
      <c r="AC160" s="114"/>
      <c r="AD160" s="114"/>
      <c r="AE160" s="114"/>
      <c r="AF160" s="114"/>
      <c r="AG160" s="114"/>
      <c r="AH160" s="114"/>
    </row>
    <row r="161" spans="1:34" ht="24" customHeight="1" x14ac:dyDescent="0.6">
      <c r="A161" s="114"/>
      <c r="B161" s="114"/>
      <c r="C161" s="114"/>
      <c r="D161" s="114"/>
      <c r="E161" s="114"/>
      <c r="F161" s="115"/>
      <c r="G161" s="138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4"/>
      <c r="S161" s="114"/>
      <c r="T161" s="116"/>
      <c r="U161" s="116"/>
      <c r="V161" s="116"/>
      <c r="W161" s="209"/>
      <c r="X161" s="114"/>
      <c r="Y161" s="114"/>
      <c r="Z161" s="114"/>
      <c r="AA161" s="114"/>
      <c r="AB161" s="114"/>
      <c r="AC161" s="114"/>
      <c r="AD161" s="114"/>
      <c r="AE161" s="114"/>
      <c r="AF161" s="114"/>
      <c r="AG161" s="114"/>
      <c r="AH161" s="114"/>
    </row>
    <row r="162" spans="1:34" ht="24" customHeight="1" x14ac:dyDescent="0.6">
      <c r="A162" s="114"/>
      <c r="B162" s="114"/>
      <c r="C162" s="114"/>
      <c r="D162" s="114"/>
      <c r="E162" s="114"/>
      <c r="F162" s="115"/>
      <c r="G162" s="138"/>
      <c r="H162" s="114"/>
      <c r="I162" s="114"/>
      <c r="J162" s="114"/>
      <c r="K162" s="114"/>
      <c r="L162" s="114"/>
      <c r="M162" s="114"/>
      <c r="N162" s="114"/>
      <c r="O162" s="114"/>
      <c r="P162" s="114"/>
      <c r="Q162" s="114"/>
      <c r="R162" s="114"/>
      <c r="S162" s="114"/>
      <c r="T162" s="116"/>
      <c r="U162" s="116"/>
      <c r="V162" s="116"/>
      <c r="W162" s="209"/>
      <c r="X162" s="114"/>
      <c r="Y162" s="114"/>
      <c r="Z162" s="114"/>
      <c r="AA162" s="114"/>
      <c r="AB162" s="114"/>
      <c r="AC162" s="114"/>
      <c r="AD162" s="114"/>
      <c r="AE162" s="114"/>
      <c r="AF162" s="114"/>
      <c r="AG162" s="114"/>
      <c r="AH162" s="114"/>
    </row>
    <row r="163" spans="1:34" ht="24" customHeight="1" x14ac:dyDescent="0.6">
      <c r="A163" s="114"/>
      <c r="B163" s="114"/>
      <c r="C163" s="114"/>
      <c r="D163" s="114"/>
      <c r="E163" s="114"/>
      <c r="F163" s="115"/>
      <c r="G163" s="138"/>
      <c r="H163" s="114"/>
      <c r="I163" s="114"/>
      <c r="J163" s="114"/>
      <c r="K163" s="114"/>
      <c r="L163" s="114"/>
      <c r="M163" s="114"/>
      <c r="N163" s="114"/>
      <c r="O163" s="114"/>
      <c r="P163" s="114"/>
      <c r="Q163" s="114"/>
      <c r="R163" s="114"/>
      <c r="S163" s="114"/>
      <c r="T163" s="116"/>
      <c r="U163" s="116"/>
      <c r="V163" s="116"/>
      <c r="W163" s="209"/>
      <c r="X163" s="114"/>
      <c r="Y163" s="114"/>
      <c r="Z163" s="114"/>
      <c r="AA163" s="114"/>
      <c r="AB163" s="114"/>
      <c r="AC163" s="114"/>
      <c r="AD163" s="114"/>
      <c r="AE163" s="114"/>
      <c r="AF163" s="114"/>
      <c r="AG163" s="114"/>
      <c r="AH163" s="114"/>
    </row>
    <row r="164" spans="1:34" ht="24" customHeight="1" x14ac:dyDescent="0.6">
      <c r="A164" s="114"/>
      <c r="B164" s="114"/>
      <c r="C164" s="114"/>
      <c r="D164" s="114"/>
      <c r="E164" s="114"/>
      <c r="F164" s="115"/>
      <c r="G164" s="138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114"/>
      <c r="S164" s="114"/>
      <c r="T164" s="116"/>
      <c r="U164" s="116"/>
      <c r="V164" s="116"/>
      <c r="W164" s="209"/>
      <c r="X164" s="114"/>
      <c r="Y164" s="114"/>
      <c r="Z164" s="114"/>
      <c r="AA164" s="114"/>
      <c r="AB164" s="114"/>
      <c r="AC164" s="114"/>
      <c r="AD164" s="114"/>
      <c r="AE164" s="114"/>
      <c r="AF164" s="114"/>
      <c r="AG164" s="114"/>
      <c r="AH164" s="114"/>
    </row>
    <row r="165" spans="1:34" ht="24" customHeight="1" x14ac:dyDescent="0.6">
      <c r="A165" s="114"/>
      <c r="B165" s="114"/>
      <c r="C165" s="114"/>
      <c r="D165" s="114"/>
      <c r="E165" s="114"/>
      <c r="F165" s="115"/>
      <c r="G165" s="138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6"/>
      <c r="U165" s="116"/>
      <c r="V165" s="116"/>
      <c r="W165" s="209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</row>
    <row r="166" spans="1:34" ht="24" customHeight="1" x14ac:dyDescent="0.6">
      <c r="A166" s="114"/>
      <c r="B166" s="114"/>
      <c r="C166" s="114"/>
      <c r="D166" s="114"/>
      <c r="E166" s="114"/>
      <c r="F166" s="115"/>
      <c r="G166" s="138"/>
      <c r="H166" s="114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6"/>
      <c r="U166" s="116"/>
      <c r="V166" s="116"/>
      <c r="W166" s="209"/>
      <c r="X166" s="114"/>
      <c r="Y166" s="114"/>
      <c r="Z166" s="114"/>
      <c r="AA166" s="114"/>
      <c r="AB166" s="114"/>
      <c r="AC166" s="114"/>
      <c r="AD166" s="114"/>
      <c r="AE166" s="114"/>
      <c r="AF166" s="114"/>
      <c r="AG166" s="114"/>
      <c r="AH166" s="114"/>
    </row>
    <row r="167" spans="1:34" ht="24" customHeight="1" x14ac:dyDescent="0.6">
      <c r="A167" s="114"/>
      <c r="B167" s="114"/>
      <c r="C167" s="114"/>
      <c r="D167" s="114"/>
      <c r="E167" s="114"/>
      <c r="F167" s="115"/>
      <c r="G167" s="138"/>
      <c r="H167" s="114"/>
      <c r="I167" s="114"/>
      <c r="J167" s="114"/>
      <c r="K167" s="114"/>
      <c r="L167" s="114"/>
      <c r="M167" s="114"/>
      <c r="N167" s="114"/>
      <c r="O167" s="114"/>
      <c r="P167" s="114"/>
      <c r="Q167" s="114"/>
      <c r="R167" s="114"/>
      <c r="S167" s="114"/>
      <c r="T167" s="116"/>
      <c r="U167" s="116"/>
      <c r="V167" s="116"/>
      <c r="W167" s="209"/>
      <c r="X167" s="114"/>
      <c r="Y167" s="114"/>
      <c r="Z167" s="114"/>
      <c r="AA167" s="114"/>
      <c r="AB167" s="114"/>
      <c r="AC167" s="114"/>
      <c r="AD167" s="114"/>
      <c r="AE167" s="114"/>
      <c r="AF167" s="114"/>
      <c r="AG167" s="114"/>
      <c r="AH167" s="114"/>
    </row>
    <row r="168" spans="1:34" ht="24" customHeight="1" x14ac:dyDescent="0.6">
      <c r="A168" s="114"/>
      <c r="B168" s="114"/>
      <c r="C168" s="114"/>
      <c r="D168" s="114"/>
      <c r="E168" s="114"/>
      <c r="F168" s="115"/>
      <c r="G168" s="138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6"/>
      <c r="U168" s="116"/>
      <c r="V168" s="116"/>
      <c r="W168" s="209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</row>
    <row r="169" spans="1:34" ht="24" customHeight="1" x14ac:dyDescent="0.6">
      <c r="A169" s="114"/>
      <c r="B169" s="114"/>
      <c r="C169" s="114"/>
      <c r="D169" s="114"/>
      <c r="E169" s="114"/>
      <c r="F169" s="115"/>
      <c r="G169" s="138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114"/>
      <c r="S169" s="114"/>
      <c r="T169" s="116"/>
      <c r="U169" s="116"/>
      <c r="V169" s="116"/>
      <c r="W169" s="209"/>
      <c r="X169" s="114"/>
      <c r="Y169" s="114"/>
      <c r="Z169" s="114"/>
      <c r="AA169" s="114"/>
      <c r="AB169" s="114"/>
      <c r="AC169" s="114"/>
      <c r="AD169" s="114"/>
      <c r="AE169" s="114"/>
      <c r="AF169" s="114"/>
      <c r="AG169" s="114"/>
      <c r="AH169" s="114"/>
    </row>
    <row r="170" spans="1:34" ht="24" customHeight="1" x14ac:dyDescent="0.6">
      <c r="A170" s="114"/>
      <c r="B170" s="114"/>
      <c r="C170" s="114"/>
      <c r="D170" s="114"/>
      <c r="E170" s="114"/>
      <c r="F170" s="115"/>
      <c r="G170" s="138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4"/>
      <c r="S170" s="114"/>
      <c r="T170" s="116"/>
      <c r="U170" s="116"/>
      <c r="V170" s="116"/>
      <c r="W170" s="209"/>
      <c r="X170" s="114"/>
      <c r="Y170" s="114"/>
      <c r="Z170" s="114"/>
      <c r="AA170" s="114"/>
      <c r="AB170" s="114"/>
      <c r="AC170" s="114"/>
      <c r="AD170" s="114"/>
      <c r="AE170" s="114"/>
      <c r="AF170" s="114"/>
      <c r="AG170" s="114"/>
      <c r="AH170" s="114"/>
    </row>
    <row r="171" spans="1:34" ht="24" customHeight="1" x14ac:dyDescent="0.6">
      <c r="A171" s="114"/>
      <c r="B171" s="114"/>
      <c r="C171" s="114"/>
      <c r="D171" s="114"/>
      <c r="E171" s="114"/>
      <c r="F171" s="115"/>
      <c r="G171" s="138"/>
      <c r="H171" s="114"/>
      <c r="I171" s="114"/>
      <c r="J171" s="114"/>
      <c r="K171" s="114"/>
      <c r="L171" s="114"/>
      <c r="M171" s="114"/>
      <c r="N171" s="114"/>
      <c r="O171" s="114"/>
      <c r="P171" s="114"/>
      <c r="Q171" s="114"/>
      <c r="R171" s="114"/>
      <c r="S171" s="114"/>
      <c r="T171" s="116"/>
      <c r="U171" s="116"/>
      <c r="V171" s="116"/>
      <c r="W171" s="209"/>
      <c r="X171" s="114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</row>
    <row r="172" spans="1:34" ht="24" customHeight="1" x14ac:dyDescent="0.6">
      <c r="A172" s="114"/>
      <c r="B172" s="114"/>
      <c r="C172" s="114"/>
      <c r="D172" s="114"/>
      <c r="E172" s="114"/>
      <c r="F172" s="115"/>
      <c r="G172" s="138"/>
      <c r="H172" s="114"/>
      <c r="I172" s="114"/>
      <c r="J172" s="114"/>
      <c r="K172" s="114"/>
      <c r="L172" s="114"/>
      <c r="M172" s="114"/>
      <c r="N172" s="114"/>
      <c r="O172" s="114"/>
      <c r="P172" s="114"/>
      <c r="Q172" s="114"/>
      <c r="R172" s="114"/>
      <c r="S172" s="114"/>
      <c r="T172" s="116"/>
      <c r="U172" s="116"/>
      <c r="V172" s="116"/>
      <c r="W172" s="209"/>
      <c r="X172" s="114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</row>
    <row r="173" spans="1:34" ht="24" customHeight="1" x14ac:dyDescent="0.6">
      <c r="A173" s="114"/>
      <c r="B173" s="114"/>
      <c r="C173" s="114"/>
      <c r="D173" s="114"/>
      <c r="E173" s="114"/>
      <c r="F173" s="115"/>
      <c r="G173" s="138"/>
      <c r="H173" s="114"/>
      <c r="I173" s="114"/>
      <c r="J173" s="114"/>
      <c r="K173" s="114"/>
      <c r="L173" s="114"/>
      <c r="M173" s="114"/>
      <c r="N173" s="114"/>
      <c r="O173" s="114"/>
      <c r="P173" s="114"/>
      <c r="Q173" s="114"/>
      <c r="R173" s="114"/>
      <c r="S173" s="114"/>
      <c r="T173" s="116"/>
      <c r="U173" s="116"/>
      <c r="V173" s="116"/>
      <c r="W173" s="209"/>
      <c r="X173" s="114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</row>
    <row r="174" spans="1:34" ht="24" customHeight="1" x14ac:dyDescent="0.6">
      <c r="A174" s="114"/>
      <c r="B174" s="114"/>
      <c r="C174" s="114"/>
      <c r="D174" s="114"/>
      <c r="E174" s="114"/>
      <c r="F174" s="115"/>
      <c r="G174" s="138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6"/>
      <c r="U174" s="116"/>
      <c r="V174" s="116"/>
      <c r="W174" s="209"/>
      <c r="X174" s="114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</row>
    <row r="175" spans="1:34" ht="24" customHeight="1" x14ac:dyDescent="0.6">
      <c r="A175" s="114"/>
      <c r="B175" s="114"/>
      <c r="C175" s="114"/>
      <c r="D175" s="114"/>
      <c r="E175" s="114"/>
      <c r="F175" s="115"/>
      <c r="G175" s="138"/>
      <c r="H175" s="114"/>
      <c r="I175" s="114"/>
      <c r="J175" s="114"/>
      <c r="K175" s="114"/>
      <c r="L175" s="114"/>
      <c r="M175" s="114"/>
      <c r="N175" s="114"/>
      <c r="O175" s="114"/>
      <c r="P175" s="114"/>
      <c r="Q175" s="114"/>
      <c r="R175" s="114"/>
      <c r="S175" s="114"/>
      <c r="T175" s="116"/>
      <c r="U175" s="116"/>
      <c r="V175" s="116"/>
      <c r="W175" s="209"/>
      <c r="X175" s="114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</row>
    <row r="176" spans="1:34" ht="24" customHeight="1" x14ac:dyDescent="0.6">
      <c r="A176" s="114"/>
      <c r="B176" s="114"/>
      <c r="C176" s="114"/>
      <c r="D176" s="114"/>
      <c r="E176" s="114"/>
      <c r="F176" s="115"/>
      <c r="G176" s="138"/>
      <c r="H176" s="114"/>
      <c r="I176" s="114"/>
      <c r="J176" s="114"/>
      <c r="K176" s="114"/>
      <c r="L176" s="114"/>
      <c r="M176" s="114"/>
      <c r="N176" s="114"/>
      <c r="O176" s="114"/>
      <c r="P176" s="114"/>
      <c r="Q176" s="114"/>
      <c r="R176" s="114"/>
      <c r="S176" s="114"/>
      <c r="T176" s="116"/>
      <c r="U176" s="116"/>
      <c r="V176" s="116"/>
      <c r="W176" s="209"/>
      <c r="X176" s="114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</row>
    <row r="177" spans="1:34" ht="24" customHeight="1" x14ac:dyDescent="0.6">
      <c r="A177" s="114"/>
      <c r="B177" s="114"/>
      <c r="C177" s="114"/>
      <c r="D177" s="114"/>
      <c r="E177" s="114"/>
      <c r="F177" s="115"/>
      <c r="G177" s="138"/>
      <c r="H177" s="114"/>
      <c r="I177" s="114"/>
      <c r="J177" s="114"/>
      <c r="K177" s="114"/>
      <c r="L177" s="114"/>
      <c r="M177" s="114"/>
      <c r="N177" s="114"/>
      <c r="O177" s="114"/>
      <c r="P177" s="114"/>
      <c r="Q177" s="114"/>
      <c r="R177" s="114"/>
      <c r="S177" s="114"/>
      <c r="T177" s="116"/>
      <c r="U177" s="116"/>
      <c r="V177" s="116"/>
      <c r="W177" s="209"/>
      <c r="X177" s="114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</row>
    <row r="178" spans="1:34" ht="24" customHeight="1" x14ac:dyDescent="0.6">
      <c r="A178" s="114"/>
      <c r="B178" s="114"/>
      <c r="C178" s="114"/>
      <c r="D178" s="114"/>
      <c r="E178" s="114"/>
      <c r="F178" s="115"/>
      <c r="G178" s="138"/>
      <c r="H178" s="114"/>
      <c r="I178" s="114"/>
      <c r="J178" s="114"/>
      <c r="K178" s="114"/>
      <c r="L178" s="114"/>
      <c r="M178" s="114"/>
      <c r="N178" s="114"/>
      <c r="O178" s="114"/>
      <c r="P178" s="114"/>
      <c r="Q178" s="114"/>
      <c r="R178" s="114"/>
      <c r="S178" s="114"/>
      <c r="T178" s="116"/>
      <c r="U178" s="116"/>
      <c r="V178" s="116"/>
      <c r="W178" s="209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</row>
    <row r="179" spans="1:34" ht="24" customHeight="1" x14ac:dyDescent="0.6">
      <c r="A179" s="114"/>
      <c r="B179" s="114"/>
      <c r="C179" s="114"/>
      <c r="D179" s="114"/>
      <c r="E179" s="114"/>
      <c r="F179" s="115"/>
      <c r="G179" s="138"/>
      <c r="H179" s="114"/>
      <c r="I179" s="114"/>
      <c r="J179" s="114"/>
      <c r="K179" s="114"/>
      <c r="L179" s="114"/>
      <c r="M179" s="114"/>
      <c r="N179" s="114"/>
      <c r="O179" s="114"/>
      <c r="P179" s="114"/>
      <c r="Q179" s="114"/>
      <c r="R179" s="114"/>
      <c r="S179" s="114"/>
      <c r="T179" s="116"/>
      <c r="U179" s="116"/>
      <c r="V179" s="116"/>
      <c r="W179" s="209"/>
      <c r="X179" s="114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</row>
    <row r="180" spans="1:34" ht="24" customHeight="1" x14ac:dyDescent="0.6">
      <c r="A180" s="114"/>
      <c r="B180" s="114"/>
      <c r="C180" s="114"/>
      <c r="D180" s="114"/>
      <c r="E180" s="114"/>
      <c r="F180" s="115"/>
      <c r="G180" s="138"/>
      <c r="H180" s="114"/>
      <c r="I180" s="114"/>
      <c r="J180" s="114"/>
      <c r="K180" s="114"/>
      <c r="L180" s="114"/>
      <c r="M180" s="114"/>
      <c r="N180" s="114"/>
      <c r="O180" s="114"/>
      <c r="P180" s="114"/>
      <c r="Q180" s="114"/>
      <c r="R180" s="114"/>
      <c r="S180" s="114"/>
      <c r="T180" s="116"/>
      <c r="U180" s="116"/>
      <c r="V180" s="116"/>
      <c r="W180" s="209"/>
      <c r="X180" s="114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</row>
    <row r="181" spans="1:34" ht="24" customHeight="1" x14ac:dyDescent="0.6">
      <c r="A181" s="114"/>
      <c r="B181" s="114"/>
      <c r="C181" s="114"/>
      <c r="D181" s="114"/>
      <c r="E181" s="114"/>
      <c r="F181" s="115"/>
      <c r="G181" s="138"/>
      <c r="H181" s="114"/>
      <c r="I181" s="114"/>
      <c r="J181" s="114"/>
      <c r="K181" s="114"/>
      <c r="L181" s="114"/>
      <c r="M181" s="114"/>
      <c r="N181" s="114"/>
      <c r="O181" s="114"/>
      <c r="P181" s="114"/>
      <c r="Q181" s="114"/>
      <c r="R181" s="114"/>
      <c r="S181" s="114"/>
      <c r="T181" s="116"/>
      <c r="U181" s="116"/>
      <c r="V181" s="116"/>
      <c r="W181" s="209"/>
      <c r="X181" s="114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</row>
    <row r="182" spans="1:34" ht="24" customHeight="1" x14ac:dyDescent="0.6">
      <c r="A182" s="114"/>
      <c r="B182" s="114"/>
      <c r="C182" s="114"/>
      <c r="D182" s="114"/>
      <c r="E182" s="114"/>
      <c r="F182" s="115"/>
      <c r="G182" s="138"/>
      <c r="H182" s="114"/>
      <c r="I182" s="114"/>
      <c r="J182" s="114"/>
      <c r="K182" s="114"/>
      <c r="L182" s="114"/>
      <c r="M182" s="114"/>
      <c r="N182" s="114"/>
      <c r="O182" s="114"/>
      <c r="P182" s="114"/>
      <c r="Q182" s="114"/>
      <c r="R182" s="114"/>
      <c r="S182" s="114"/>
      <c r="T182" s="116"/>
      <c r="U182" s="116"/>
      <c r="V182" s="116"/>
      <c r="W182" s="209"/>
      <c r="X182" s="114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</row>
    <row r="183" spans="1:34" ht="24" customHeight="1" x14ac:dyDescent="0.6">
      <c r="A183" s="114"/>
      <c r="B183" s="114"/>
      <c r="C183" s="114"/>
      <c r="D183" s="114"/>
      <c r="E183" s="114"/>
      <c r="F183" s="115"/>
      <c r="G183" s="138"/>
      <c r="H183" s="114"/>
      <c r="I183" s="114"/>
      <c r="J183" s="114"/>
      <c r="K183" s="114"/>
      <c r="L183" s="114"/>
      <c r="M183" s="114"/>
      <c r="N183" s="114"/>
      <c r="O183" s="114"/>
      <c r="P183" s="114"/>
      <c r="Q183" s="114"/>
      <c r="R183" s="114"/>
      <c r="S183" s="114"/>
      <c r="T183" s="116"/>
      <c r="U183" s="116"/>
      <c r="V183" s="116"/>
      <c r="W183" s="209"/>
      <c r="X183" s="114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</row>
    <row r="184" spans="1:34" ht="24" customHeight="1" x14ac:dyDescent="0.6">
      <c r="A184" s="114"/>
      <c r="B184" s="114"/>
      <c r="C184" s="114"/>
      <c r="D184" s="114"/>
      <c r="E184" s="114"/>
      <c r="F184" s="115"/>
      <c r="G184" s="138"/>
      <c r="H184" s="114"/>
      <c r="I184" s="114"/>
      <c r="J184" s="114"/>
      <c r="K184" s="114"/>
      <c r="L184" s="114"/>
      <c r="M184" s="114"/>
      <c r="N184" s="114"/>
      <c r="O184" s="114"/>
      <c r="P184" s="114"/>
      <c r="Q184" s="114"/>
      <c r="R184" s="114"/>
      <c r="S184" s="114"/>
      <c r="T184" s="116"/>
      <c r="U184" s="116"/>
      <c r="V184" s="116"/>
      <c r="W184" s="209"/>
      <c r="X184" s="114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</row>
    <row r="185" spans="1:34" ht="24" customHeight="1" x14ac:dyDescent="0.6">
      <c r="A185" s="114"/>
      <c r="B185" s="114"/>
      <c r="C185" s="114"/>
      <c r="D185" s="114"/>
      <c r="E185" s="114"/>
      <c r="F185" s="115"/>
      <c r="G185" s="138"/>
      <c r="H185" s="114"/>
      <c r="I185" s="114"/>
      <c r="J185" s="114"/>
      <c r="K185" s="114"/>
      <c r="L185" s="114"/>
      <c r="M185" s="114"/>
      <c r="N185" s="114"/>
      <c r="O185" s="114"/>
      <c r="P185" s="114"/>
      <c r="Q185" s="114"/>
      <c r="R185" s="114"/>
      <c r="S185" s="114"/>
      <c r="T185" s="116"/>
      <c r="U185" s="116"/>
      <c r="V185" s="116"/>
      <c r="W185" s="209"/>
      <c r="X185" s="114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</row>
    <row r="186" spans="1:34" ht="24" customHeight="1" x14ac:dyDescent="0.6">
      <c r="A186" s="114"/>
      <c r="B186" s="114"/>
      <c r="C186" s="114"/>
      <c r="D186" s="114"/>
      <c r="E186" s="114"/>
      <c r="F186" s="115"/>
      <c r="G186" s="138"/>
      <c r="H186" s="114"/>
      <c r="I186" s="114"/>
      <c r="J186" s="114"/>
      <c r="K186" s="114"/>
      <c r="L186" s="114"/>
      <c r="M186" s="114"/>
      <c r="N186" s="114"/>
      <c r="O186" s="114"/>
      <c r="P186" s="114"/>
      <c r="Q186" s="114"/>
      <c r="R186" s="114"/>
      <c r="S186" s="114"/>
      <c r="T186" s="116"/>
      <c r="U186" s="116"/>
      <c r="V186" s="116"/>
      <c r="W186" s="209"/>
      <c r="X186" s="114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</row>
    <row r="187" spans="1:34" ht="24" customHeight="1" x14ac:dyDescent="0.6">
      <c r="A187" s="114"/>
      <c r="B187" s="114"/>
      <c r="C187" s="114"/>
      <c r="D187" s="114"/>
      <c r="E187" s="114"/>
      <c r="F187" s="115"/>
      <c r="G187" s="138"/>
      <c r="H187" s="114"/>
      <c r="I187" s="114"/>
      <c r="J187" s="114"/>
      <c r="K187" s="114"/>
      <c r="L187" s="114"/>
      <c r="M187" s="114"/>
      <c r="N187" s="114"/>
      <c r="O187" s="114"/>
      <c r="P187" s="114"/>
      <c r="Q187" s="114"/>
      <c r="R187" s="114"/>
      <c r="S187" s="114"/>
      <c r="T187" s="116"/>
      <c r="U187" s="116"/>
      <c r="V187" s="116"/>
      <c r="W187" s="209"/>
      <c r="X187" s="114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</row>
    <row r="188" spans="1:34" ht="24" customHeight="1" x14ac:dyDescent="0.6">
      <c r="A188" s="114"/>
      <c r="B188" s="114"/>
      <c r="C188" s="114"/>
      <c r="D188" s="114"/>
      <c r="E188" s="114"/>
      <c r="F188" s="115"/>
      <c r="G188" s="138"/>
      <c r="H188" s="114"/>
      <c r="I188" s="114"/>
      <c r="J188" s="114"/>
      <c r="K188" s="114"/>
      <c r="L188" s="114"/>
      <c r="M188" s="114"/>
      <c r="N188" s="114"/>
      <c r="O188" s="114"/>
      <c r="P188" s="114"/>
      <c r="Q188" s="114"/>
      <c r="R188" s="114"/>
      <c r="S188" s="114"/>
      <c r="T188" s="116"/>
      <c r="U188" s="116"/>
      <c r="V188" s="116"/>
      <c r="W188" s="209"/>
      <c r="X188" s="114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</row>
    <row r="189" spans="1:34" ht="24" customHeight="1" x14ac:dyDescent="0.6">
      <c r="A189" s="114"/>
      <c r="B189" s="114"/>
      <c r="C189" s="114"/>
      <c r="D189" s="114"/>
      <c r="E189" s="114"/>
      <c r="F189" s="115"/>
      <c r="G189" s="138"/>
      <c r="H189" s="114"/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6"/>
      <c r="U189" s="116"/>
      <c r="V189" s="116"/>
      <c r="W189" s="209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</row>
    <row r="190" spans="1:34" ht="24" customHeight="1" x14ac:dyDescent="0.6">
      <c r="A190" s="114"/>
      <c r="B190" s="114"/>
      <c r="C190" s="114"/>
      <c r="D190" s="114"/>
      <c r="E190" s="114"/>
      <c r="F190" s="115"/>
      <c r="G190" s="138"/>
      <c r="H190" s="114"/>
      <c r="I190" s="114"/>
      <c r="J190" s="114"/>
      <c r="K190" s="114"/>
      <c r="L190" s="114"/>
      <c r="M190" s="114"/>
      <c r="N190" s="114"/>
      <c r="O190" s="114"/>
      <c r="P190" s="114"/>
      <c r="Q190" s="114"/>
      <c r="R190" s="114"/>
      <c r="S190" s="114"/>
      <c r="T190" s="116"/>
      <c r="U190" s="116"/>
      <c r="V190" s="116"/>
      <c r="W190" s="209"/>
      <c r="X190" s="114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</row>
    <row r="191" spans="1:34" ht="24" customHeight="1" x14ac:dyDescent="0.6">
      <c r="A191" s="114"/>
      <c r="B191" s="114"/>
      <c r="C191" s="114"/>
      <c r="D191" s="114"/>
      <c r="E191" s="114"/>
      <c r="F191" s="115"/>
      <c r="G191" s="138"/>
      <c r="H191" s="114"/>
      <c r="I191" s="114"/>
      <c r="J191" s="114"/>
      <c r="K191" s="114"/>
      <c r="L191" s="114"/>
      <c r="M191" s="114"/>
      <c r="N191" s="114"/>
      <c r="O191" s="114"/>
      <c r="P191" s="114"/>
      <c r="Q191" s="114"/>
      <c r="R191" s="114"/>
      <c r="S191" s="114"/>
      <c r="T191" s="116"/>
      <c r="U191" s="116"/>
      <c r="V191" s="116"/>
      <c r="W191" s="209"/>
      <c r="X191" s="114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</row>
    <row r="192" spans="1:34" ht="24" customHeight="1" x14ac:dyDescent="0.6">
      <c r="A192" s="114"/>
      <c r="B192" s="114"/>
      <c r="C192" s="114"/>
      <c r="D192" s="114"/>
      <c r="E192" s="114"/>
      <c r="F192" s="115"/>
      <c r="G192" s="138"/>
      <c r="H192" s="114"/>
      <c r="I192" s="114"/>
      <c r="J192" s="114"/>
      <c r="K192" s="114"/>
      <c r="L192" s="114"/>
      <c r="M192" s="114"/>
      <c r="N192" s="114"/>
      <c r="O192" s="114"/>
      <c r="P192" s="114"/>
      <c r="Q192" s="114"/>
      <c r="R192" s="114"/>
      <c r="S192" s="114"/>
      <c r="T192" s="116"/>
      <c r="U192" s="116"/>
      <c r="V192" s="116"/>
      <c r="W192" s="209"/>
      <c r="X192" s="114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</row>
    <row r="193" spans="1:34" ht="24" customHeight="1" x14ac:dyDescent="0.6">
      <c r="A193" s="114"/>
      <c r="B193" s="114"/>
      <c r="C193" s="114"/>
      <c r="D193" s="114"/>
      <c r="E193" s="114"/>
      <c r="F193" s="115"/>
      <c r="G193" s="138"/>
      <c r="H193" s="114"/>
      <c r="I193" s="114"/>
      <c r="J193" s="114"/>
      <c r="K193" s="114"/>
      <c r="L193" s="114"/>
      <c r="M193" s="114"/>
      <c r="N193" s="114"/>
      <c r="O193" s="114"/>
      <c r="P193" s="114"/>
      <c r="Q193" s="114"/>
      <c r="R193" s="114"/>
      <c r="S193" s="114"/>
      <c r="T193" s="116"/>
      <c r="U193" s="116"/>
      <c r="V193" s="116"/>
      <c r="W193" s="209"/>
      <c r="X193" s="114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</row>
    <row r="194" spans="1:34" ht="24" customHeight="1" x14ac:dyDescent="0.6">
      <c r="A194" s="114"/>
      <c r="B194" s="114"/>
      <c r="C194" s="114"/>
      <c r="D194" s="114"/>
      <c r="E194" s="114"/>
      <c r="F194" s="115"/>
      <c r="G194" s="138"/>
      <c r="H194" s="114"/>
      <c r="I194" s="114"/>
      <c r="J194" s="114"/>
      <c r="K194" s="114"/>
      <c r="L194" s="114"/>
      <c r="M194" s="114"/>
      <c r="N194" s="114"/>
      <c r="O194" s="114"/>
      <c r="P194" s="114"/>
      <c r="Q194" s="114"/>
      <c r="R194" s="114"/>
      <c r="S194" s="114"/>
      <c r="T194" s="116"/>
      <c r="U194" s="116"/>
      <c r="V194" s="116"/>
      <c r="W194" s="209"/>
      <c r="X194" s="114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</row>
    <row r="195" spans="1:34" ht="24" customHeight="1" x14ac:dyDescent="0.6">
      <c r="A195" s="114"/>
      <c r="B195" s="114"/>
      <c r="C195" s="114"/>
      <c r="D195" s="114"/>
      <c r="E195" s="114"/>
      <c r="F195" s="115"/>
      <c r="G195" s="138"/>
      <c r="H195" s="114"/>
      <c r="I195" s="114"/>
      <c r="J195" s="114"/>
      <c r="K195" s="114"/>
      <c r="L195" s="114"/>
      <c r="M195" s="114"/>
      <c r="N195" s="114"/>
      <c r="O195" s="114"/>
      <c r="P195" s="114"/>
      <c r="Q195" s="114"/>
      <c r="R195" s="114"/>
      <c r="S195" s="114"/>
      <c r="T195" s="116"/>
      <c r="U195" s="116"/>
      <c r="V195" s="116"/>
      <c r="W195" s="209"/>
      <c r="X195" s="114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</row>
    <row r="196" spans="1:34" ht="24" customHeight="1" x14ac:dyDescent="0.6">
      <c r="A196" s="114"/>
      <c r="B196" s="114"/>
      <c r="C196" s="114"/>
      <c r="D196" s="114"/>
      <c r="E196" s="114"/>
      <c r="F196" s="115"/>
      <c r="G196" s="138"/>
      <c r="H196" s="114"/>
      <c r="I196" s="114"/>
      <c r="J196" s="114"/>
      <c r="K196" s="114"/>
      <c r="L196" s="114"/>
      <c r="M196" s="114"/>
      <c r="N196" s="114"/>
      <c r="O196" s="114"/>
      <c r="P196" s="114"/>
      <c r="Q196" s="114"/>
      <c r="R196" s="114"/>
      <c r="S196" s="114"/>
      <c r="T196" s="116"/>
      <c r="U196" s="116"/>
      <c r="V196" s="116"/>
      <c r="W196" s="209"/>
      <c r="X196" s="114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</row>
    <row r="197" spans="1:34" ht="24" customHeight="1" x14ac:dyDescent="0.6">
      <c r="A197" s="114"/>
      <c r="B197" s="114"/>
      <c r="C197" s="114"/>
      <c r="D197" s="114"/>
      <c r="E197" s="114"/>
      <c r="F197" s="115"/>
      <c r="G197" s="138"/>
      <c r="H197" s="114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6"/>
      <c r="U197" s="116"/>
      <c r="V197" s="116"/>
      <c r="W197" s="209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</row>
    <row r="198" spans="1:34" ht="24" customHeight="1" x14ac:dyDescent="0.6">
      <c r="A198" s="114"/>
      <c r="B198" s="114"/>
      <c r="C198" s="114"/>
      <c r="D198" s="114"/>
      <c r="E198" s="114"/>
      <c r="F198" s="115"/>
      <c r="G198" s="138"/>
      <c r="H198" s="114"/>
      <c r="I198" s="114"/>
      <c r="J198" s="114"/>
      <c r="K198" s="114"/>
      <c r="L198" s="114"/>
      <c r="M198" s="114"/>
      <c r="N198" s="114"/>
      <c r="O198" s="114"/>
      <c r="P198" s="114"/>
      <c r="Q198" s="114"/>
      <c r="R198" s="114"/>
      <c r="S198" s="114"/>
      <c r="T198" s="116"/>
      <c r="U198" s="116"/>
      <c r="V198" s="116"/>
      <c r="W198" s="209"/>
      <c r="X198" s="114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</row>
    <row r="199" spans="1:34" ht="24" customHeight="1" x14ac:dyDescent="0.6">
      <c r="A199" s="114"/>
      <c r="B199" s="114"/>
      <c r="C199" s="114"/>
      <c r="D199" s="114"/>
      <c r="E199" s="114"/>
      <c r="F199" s="115"/>
      <c r="G199" s="138"/>
      <c r="H199" s="114"/>
      <c r="I199" s="114"/>
      <c r="J199" s="114"/>
      <c r="K199" s="114"/>
      <c r="L199" s="114"/>
      <c r="M199" s="114"/>
      <c r="N199" s="114"/>
      <c r="O199" s="114"/>
      <c r="P199" s="114"/>
      <c r="Q199" s="114"/>
      <c r="R199" s="114"/>
      <c r="S199" s="114"/>
      <c r="T199" s="116"/>
      <c r="U199" s="116"/>
      <c r="V199" s="116"/>
      <c r="W199" s="209"/>
      <c r="X199" s="114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</row>
    <row r="200" spans="1:34" ht="24" customHeight="1" x14ac:dyDescent="0.6">
      <c r="A200" s="114"/>
      <c r="B200" s="114"/>
      <c r="C200" s="114"/>
      <c r="D200" s="114"/>
      <c r="E200" s="114"/>
      <c r="F200" s="115"/>
      <c r="G200" s="138"/>
      <c r="H200" s="114"/>
      <c r="I200" s="114"/>
      <c r="J200" s="114"/>
      <c r="K200" s="114"/>
      <c r="L200" s="114"/>
      <c r="M200" s="114"/>
      <c r="N200" s="114"/>
      <c r="O200" s="114"/>
      <c r="P200" s="114"/>
      <c r="Q200" s="114"/>
      <c r="R200" s="114"/>
      <c r="S200" s="114"/>
      <c r="T200" s="116"/>
      <c r="U200" s="116"/>
      <c r="V200" s="116"/>
      <c r="W200" s="209"/>
      <c r="X200" s="114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</row>
    <row r="201" spans="1:34" ht="24" customHeight="1" x14ac:dyDescent="0.6">
      <c r="A201" s="114"/>
      <c r="B201" s="114"/>
      <c r="C201" s="114"/>
      <c r="D201" s="114"/>
      <c r="E201" s="114"/>
      <c r="F201" s="115"/>
      <c r="G201" s="138"/>
      <c r="H201" s="114"/>
      <c r="I201" s="114"/>
      <c r="J201" s="114"/>
      <c r="K201" s="114"/>
      <c r="L201" s="114"/>
      <c r="M201" s="114"/>
      <c r="N201" s="114"/>
      <c r="O201" s="114"/>
      <c r="P201" s="114"/>
      <c r="Q201" s="114"/>
      <c r="R201" s="114"/>
      <c r="S201" s="114"/>
      <c r="T201" s="116"/>
      <c r="U201" s="116"/>
      <c r="V201" s="116"/>
      <c r="W201" s="209"/>
      <c r="X201" s="114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</row>
    <row r="202" spans="1:34" ht="24" customHeight="1" x14ac:dyDescent="0.6">
      <c r="A202" s="114"/>
      <c r="B202" s="114"/>
      <c r="C202" s="114"/>
      <c r="D202" s="114"/>
      <c r="E202" s="114"/>
      <c r="F202" s="115"/>
      <c r="G202" s="138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16"/>
      <c r="U202" s="116"/>
      <c r="V202" s="116"/>
      <c r="W202" s="209"/>
      <c r="X202" s="114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</row>
    <row r="203" spans="1:34" ht="24" customHeight="1" x14ac:dyDescent="0.6">
      <c r="A203" s="114"/>
      <c r="B203" s="114"/>
      <c r="C203" s="114"/>
      <c r="D203" s="114"/>
      <c r="E203" s="114"/>
      <c r="F203" s="115"/>
      <c r="G203" s="138"/>
      <c r="H203" s="114"/>
      <c r="I203" s="114"/>
      <c r="J203" s="114"/>
      <c r="K203" s="114"/>
      <c r="L203" s="114"/>
      <c r="M203" s="114"/>
      <c r="N203" s="114"/>
      <c r="O203" s="114"/>
      <c r="P203" s="114"/>
      <c r="Q203" s="114"/>
      <c r="R203" s="114"/>
      <c r="S203" s="114"/>
      <c r="T203" s="116"/>
      <c r="U203" s="116"/>
      <c r="V203" s="116"/>
      <c r="W203" s="209"/>
      <c r="X203" s="114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</row>
    <row r="204" spans="1:34" ht="24" customHeight="1" x14ac:dyDescent="0.6">
      <c r="A204" s="114"/>
      <c r="B204" s="114"/>
      <c r="C204" s="114"/>
      <c r="D204" s="114"/>
      <c r="E204" s="114"/>
      <c r="F204" s="115"/>
      <c r="G204" s="138"/>
      <c r="H204" s="114"/>
      <c r="I204" s="114"/>
      <c r="J204" s="114"/>
      <c r="K204" s="114"/>
      <c r="L204" s="114"/>
      <c r="M204" s="114"/>
      <c r="N204" s="114"/>
      <c r="O204" s="114"/>
      <c r="P204" s="114"/>
      <c r="Q204" s="114"/>
      <c r="R204" s="114"/>
      <c r="S204" s="114"/>
      <c r="T204" s="116"/>
      <c r="U204" s="116"/>
      <c r="V204" s="116"/>
      <c r="W204" s="209"/>
      <c r="X204" s="114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</row>
    <row r="205" spans="1:34" ht="24" customHeight="1" x14ac:dyDescent="0.6">
      <c r="A205" s="114"/>
      <c r="B205" s="114"/>
      <c r="C205" s="114"/>
      <c r="D205" s="114"/>
      <c r="E205" s="114"/>
      <c r="F205" s="115"/>
      <c r="G205" s="138"/>
      <c r="H205" s="114"/>
      <c r="I205" s="114"/>
      <c r="J205" s="114"/>
      <c r="K205" s="114"/>
      <c r="L205" s="114"/>
      <c r="M205" s="114"/>
      <c r="N205" s="114"/>
      <c r="O205" s="114"/>
      <c r="P205" s="114"/>
      <c r="Q205" s="114"/>
      <c r="R205" s="114"/>
      <c r="S205" s="114"/>
      <c r="T205" s="116"/>
      <c r="U205" s="116"/>
      <c r="V205" s="116"/>
      <c r="W205" s="209"/>
      <c r="X205" s="114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</row>
    <row r="206" spans="1:34" ht="24" customHeight="1" x14ac:dyDescent="0.6">
      <c r="A206" s="114"/>
      <c r="B206" s="114"/>
      <c r="C206" s="114"/>
      <c r="D206" s="114"/>
      <c r="E206" s="114"/>
      <c r="F206" s="115"/>
      <c r="G206" s="138"/>
      <c r="H206" s="114"/>
      <c r="I206" s="114"/>
      <c r="J206" s="114"/>
      <c r="K206" s="114"/>
      <c r="L206" s="114"/>
      <c r="M206" s="114"/>
      <c r="N206" s="114"/>
      <c r="O206" s="114"/>
      <c r="P206" s="114"/>
      <c r="Q206" s="114"/>
      <c r="R206" s="114"/>
      <c r="S206" s="114"/>
      <c r="T206" s="116"/>
      <c r="U206" s="116"/>
      <c r="V206" s="116"/>
      <c r="W206" s="209"/>
      <c r="X206" s="114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</row>
    <row r="207" spans="1:34" ht="24" customHeight="1" x14ac:dyDescent="0.6">
      <c r="A207" s="114"/>
      <c r="B207" s="114"/>
      <c r="C207" s="114"/>
      <c r="D207" s="114"/>
      <c r="E207" s="114"/>
      <c r="F207" s="115"/>
      <c r="G207" s="138"/>
      <c r="H207" s="114"/>
      <c r="I207" s="114"/>
      <c r="J207" s="114"/>
      <c r="K207" s="114"/>
      <c r="L207" s="114"/>
      <c r="M207" s="114"/>
      <c r="N207" s="114"/>
      <c r="O207" s="114"/>
      <c r="P207" s="114"/>
      <c r="Q207" s="114"/>
      <c r="R207" s="114"/>
      <c r="S207" s="114"/>
      <c r="T207" s="116"/>
      <c r="U207" s="116"/>
      <c r="V207" s="116"/>
      <c r="W207" s="209"/>
      <c r="X207" s="114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</row>
    <row r="208" spans="1:34" ht="24" customHeight="1" x14ac:dyDescent="0.6">
      <c r="A208" s="114"/>
      <c r="B208" s="114"/>
      <c r="C208" s="114"/>
      <c r="D208" s="114"/>
      <c r="E208" s="114"/>
      <c r="F208" s="115"/>
      <c r="G208" s="138"/>
      <c r="H208" s="114"/>
      <c r="I208" s="114"/>
      <c r="J208" s="114"/>
      <c r="K208" s="114"/>
      <c r="L208" s="114"/>
      <c r="M208" s="114"/>
      <c r="N208" s="114"/>
      <c r="O208" s="114"/>
      <c r="P208" s="114"/>
      <c r="Q208" s="114"/>
      <c r="R208" s="114"/>
      <c r="S208" s="114"/>
      <c r="T208" s="116"/>
      <c r="U208" s="116"/>
      <c r="V208" s="116"/>
      <c r="W208" s="209"/>
      <c r="X208" s="114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</row>
    <row r="209" spans="1:34" ht="24" customHeight="1" x14ac:dyDescent="0.6">
      <c r="A209" s="114"/>
      <c r="B209" s="114"/>
      <c r="C209" s="114"/>
      <c r="D209" s="114"/>
      <c r="E209" s="114"/>
      <c r="F209" s="115"/>
      <c r="G209" s="138"/>
      <c r="H209" s="114"/>
      <c r="I209" s="114"/>
      <c r="J209" s="114"/>
      <c r="K209" s="114"/>
      <c r="L209" s="114"/>
      <c r="M209" s="114"/>
      <c r="N209" s="114"/>
      <c r="O209" s="114"/>
      <c r="P209" s="114"/>
      <c r="Q209" s="114"/>
      <c r="R209" s="114"/>
      <c r="S209" s="114"/>
      <c r="T209" s="116"/>
      <c r="U209" s="116"/>
      <c r="V209" s="116"/>
      <c r="W209" s="209"/>
      <c r="X209" s="114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</row>
    <row r="210" spans="1:34" ht="24" customHeight="1" x14ac:dyDescent="0.6">
      <c r="A210" s="114"/>
      <c r="B210" s="114"/>
      <c r="C210" s="114"/>
      <c r="D210" s="114"/>
      <c r="E210" s="114"/>
      <c r="F210" s="115"/>
      <c r="G210" s="138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S210" s="114"/>
      <c r="T210" s="116"/>
      <c r="U210" s="116"/>
      <c r="V210" s="116"/>
      <c r="W210" s="209"/>
      <c r="X210" s="114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</row>
    <row r="211" spans="1:34" ht="24" customHeight="1" x14ac:dyDescent="0.6">
      <c r="A211" s="114"/>
      <c r="B211" s="114"/>
      <c r="C211" s="114"/>
      <c r="D211" s="114"/>
      <c r="E211" s="114"/>
      <c r="F211" s="115"/>
      <c r="G211" s="138"/>
      <c r="H211" s="114"/>
      <c r="I211" s="114"/>
      <c r="J211" s="114"/>
      <c r="K211" s="114"/>
      <c r="L211" s="114"/>
      <c r="M211" s="114"/>
      <c r="N211" s="114"/>
      <c r="O211" s="114"/>
      <c r="P211" s="114"/>
      <c r="Q211" s="114"/>
      <c r="R211" s="114"/>
      <c r="S211" s="114"/>
      <c r="T211" s="116"/>
      <c r="U211" s="116"/>
      <c r="V211" s="116"/>
      <c r="W211" s="209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</row>
    <row r="212" spans="1:34" ht="24" customHeight="1" x14ac:dyDescent="0.6">
      <c r="A212" s="114"/>
      <c r="B212" s="114"/>
      <c r="C212" s="114"/>
      <c r="D212" s="114"/>
      <c r="E212" s="114"/>
      <c r="F212" s="115"/>
      <c r="G212" s="138"/>
      <c r="H212" s="114"/>
      <c r="I212" s="114"/>
      <c r="J212" s="114"/>
      <c r="K212" s="114"/>
      <c r="L212" s="114"/>
      <c r="M212" s="114"/>
      <c r="N212" s="114"/>
      <c r="O212" s="114"/>
      <c r="P212" s="114"/>
      <c r="Q212" s="114"/>
      <c r="R212" s="114"/>
      <c r="S212" s="114"/>
      <c r="T212" s="116"/>
      <c r="U212" s="116"/>
      <c r="V212" s="116"/>
      <c r="W212" s="209"/>
      <c r="X212" s="114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</row>
    <row r="213" spans="1:34" ht="24" customHeight="1" x14ac:dyDescent="0.6">
      <c r="A213" s="114"/>
      <c r="B213" s="114"/>
      <c r="C213" s="114"/>
      <c r="D213" s="114"/>
      <c r="E213" s="114"/>
      <c r="F213" s="115"/>
      <c r="G213" s="138"/>
      <c r="H213" s="114"/>
      <c r="I213" s="114"/>
      <c r="J213" s="114"/>
      <c r="K213" s="114"/>
      <c r="L213" s="114"/>
      <c r="M213" s="114"/>
      <c r="N213" s="114"/>
      <c r="O213" s="114"/>
      <c r="P213" s="114"/>
      <c r="Q213" s="114"/>
      <c r="R213" s="114"/>
      <c r="S213" s="114"/>
      <c r="T213" s="116"/>
      <c r="U213" s="116"/>
      <c r="V213" s="116"/>
      <c r="W213" s="209"/>
      <c r="X213" s="114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</row>
    <row r="214" spans="1:34" ht="24" customHeight="1" x14ac:dyDescent="0.6">
      <c r="A214" s="114"/>
      <c r="B214" s="114"/>
      <c r="C214" s="114"/>
      <c r="D214" s="114"/>
      <c r="E214" s="114"/>
      <c r="F214" s="115"/>
      <c r="G214" s="138"/>
      <c r="H214" s="114"/>
      <c r="I214" s="114"/>
      <c r="J214" s="114"/>
      <c r="K214" s="114"/>
      <c r="L214" s="114"/>
      <c r="M214" s="114"/>
      <c r="N214" s="114"/>
      <c r="O214" s="114"/>
      <c r="P214" s="114"/>
      <c r="Q214" s="114"/>
      <c r="R214" s="114"/>
      <c r="S214" s="114"/>
      <c r="T214" s="116"/>
      <c r="U214" s="116"/>
      <c r="V214" s="116"/>
      <c r="W214" s="209"/>
      <c r="X214" s="114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</row>
    <row r="215" spans="1:34" ht="24" customHeight="1" x14ac:dyDescent="0.6">
      <c r="A215" s="114"/>
      <c r="B215" s="114"/>
      <c r="C215" s="114"/>
      <c r="D215" s="114"/>
      <c r="E215" s="114"/>
      <c r="F215" s="115"/>
      <c r="G215" s="138"/>
      <c r="H215" s="114"/>
      <c r="I215" s="114"/>
      <c r="J215" s="114"/>
      <c r="K215" s="114"/>
      <c r="L215" s="114"/>
      <c r="M215" s="114"/>
      <c r="N215" s="114"/>
      <c r="O215" s="114"/>
      <c r="P215" s="114"/>
      <c r="Q215" s="114"/>
      <c r="R215" s="114"/>
      <c r="S215" s="114"/>
      <c r="T215" s="116"/>
      <c r="U215" s="116"/>
      <c r="V215" s="116"/>
      <c r="W215" s="209"/>
      <c r="X215" s="114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</row>
    <row r="216" spans="1:34" ht="24" customHeight="1" x14ac:dyDescent="0.6">
      <c r="A216" s="114"/>
      <c r="B216" s="114"/>
      <c r="C216" s="114"/>
      <c r="D216" s="114"/>
      <c r="E216" s="114"/>
      <c r="F216" s="115"/>
      <c r="G216" s="138"/>
      <c r="H216" s="114"/>
      <c r="I216" s="114"/>
      <c r="J216" s="114"/>
      <c r="K216" s="114"/>
      <c r="L216" s="114"/>
      <c r="M216" s="114"/>
      <c r="N216" s="114"/>
      <c r="O216" s="114"/>
      <c r="P216" s="114"/>
      <c r="Q216" s="114"/>
      <c r="R216" s="114"/>
      <c r="S216" s="114"/>
      <c r="T216" s="116"/>
      <c r="U216" s="116"/>
      <c r="V216" s="116"/>
      <c r="W216" s="209"/>
      <c r="X216" s="114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</row>
    <row r="217" spans="1:34" ht="24" customHeight="1" x14ac:dyDescent="0.6">
      <c r="A217" s="114"/>
      <c r="B217" s="114"/>
      <c r="C217" s="114"/>
      <c r="D217" s="114"/>
      <c r="E217" s="114"/>
      <c r="F217" s="115"/>
      <c r="G217" s="138"/>
      <c r="H217" s="114"/>
      <c r="I217" s="114"/>
      <c r="J217" s="114"/>
      <c r="K217" s="114"/>
      <c r="L217" s="114"/>
      <c r="M217" s="114"/>
      <c r="N217" s="114"/>
      <c r="O217" s="114"/>
      <c r="P217" s="114"/>
      <c r="Q217" s="114"/>
      <c r="R217" s="114"/>
      <c r="S217" s="114"/>
      <c r="T217" s="116"/>
      <c r="U217" s="116"/>
      <c r="V217" s="116"/>
      <c r="W217" s="209"/>
      <c r="X217" s="114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</row>
    <row r="218" spans="1:34" ht="24" customHeight="1" x14ac:dyDescent="0.6">
      <c r="A218" s="114"/>
      <c r="B218" s="114"/>
      <c r="C218" s="114"/>
      <c r="D218" s="114"/>
      <c r="E218" s="114"/>
      <c r="F218" s="115"/>
      <c r="G218" s="138"/>
      <c r="H218" s="114"/>
      <c r="I218" s="114"/>
      <c r="J218" s="114"/>
      <c r="K218" s="114"/>
      <c r="L218" s="114"/>
      <c r="M218" s="114"/>
      <c r="N218" s="114"/>
      <c r="O218" s="114"/>
      <c r="P218" s="114"/>
      <c r="Q218" s="114"/>
      <c r="R218" s="114"/>
      <c r="S218" s="114"/>
      <c r="T218" s="116"/>
      <c r="U218" s="116"/>
      <c r="V218" s="116"/>
      <c r="W218" s="209"/>
      <c r="X218" s="114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</row>
    <row r="219" spans="1:34" ht="24" customHeight="1" x14ac:dyDescent="0.6">
      <c r="A219" s="114"/>
      <c r="B219" s="114"/>
      <c r="C219" s="114"/>
      <c r="D219" s="114"/>
      <c r="E219" s="114"/>
      <c r="F219" s="115"/>
      <c r="G219" s="138"/>
      <c r="H219" s="114"/>
      <c r="I219" s="114"/>
      <c r="J219" s="114"/>
      <c r="K219" s="114"/>
      <c r="L219" s="114"/>
      <c r="M219" s="114"/>
      <c r="N219" s="114"/>
      <c r="O219" s="114"/>
      <c r="P219" s="114"/>
      <c r="Q219" s="114"/>
      <c r="R219" s="114"/>
      <c r="S219" s="114"/>
      <c r="T219" s="116"/>
      <c r="U219" s="116"/>
      <c r="V219" s="116"/>
      <c r="W219" s="209"/>
      <c r="X219" s="114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</row>
    <row r="220" spans="1:34" ht="24" customHeight="1" x14ac:dyDescent="0.6">
      <c r="A220" s="114"/>
      <c r="B220" s="114"/>
      <c r="C220" s="114"/>
      <c r="D220" s="114"/>
      <c r="E220" s="114"/>
      <c r="F220" s="115"/>
      <c r="G220" s="138"/>
      <c r="H220" s="114"/>
      <c r="I220" s="114"/>
      <c r="J220" s="114"/>
      <c r="K220" s="114"/>
      <c r="L220" s="114"/>
      <c r="M220" s="114"/>
      <c r="N220" s="114"/>
      <c r="O220" s="114"/>
      <c r="P220" s="114"/>
      <c r="Q220" s="114"/>
      <c r="R220" s="114"/>
      <c r="S220" s="114"/>
      <c r="T220" s="116"/>
      <c r="U220" s="116"/>
      <c r="V220" s="116"/>
      <c r="W220" s="209"/>
      <c r="X220" s="114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</row>
    <row r="221" spans="1:34" ht="24" customHeight="1" x14ac:dyDescent="0.6">
      <c r="A221" s="114"/>
      <c r="B221" s="114"/>
      <c r="C221" s="114"/>
      <c r="D221" s="114"/>
      <c r="E221" s="114"/>
      <c r="F221" s="115"/>
      <c r="G221" s="138"/>
      <c r="H221" s="114"/>
      <c r="I221" s="114"/>
      <c r="J221" s="114"/>
      <c r="K221" s="114"/>
      <c r="L221" s="114"/>
      <c r="M221" s="114"/>
      <c r="N221" s="114"/>
      <c r="O221" s="114"/>
      <c r="P221" s="114"/>
      <c r="Q221" s="114"/>
      <c r="R221" s="114"/>
      <c r="S221" s="114"/>
      <c r="T221" s="116"/>
      <c r="U221" s="116"/>
      <c r="V221" s="116"/>
      <c r="W221" s="209"/>
      <c r="X221" s="114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</row>
    <row r="222" spans="1:34" ht="24" customHeight="1" x14ac:dyDescent="0.6">
      <c r="A222" s="114"/>
      <c r="B222" s="114"/>
      <c r="C222" s="114"/>
      <c r="D222" s="114"/>
      <c r="E222" s="114"/>
      <c r="F222" s="115"/>
      <c r="G222" s="138"/>
      <c r="H222" s="114"/>
      <c r="I222" s="114"/>
      <c r="J222" s="114"/>
      <c r="K222" s="114"/>
      <c r="L222" s="114"/>
      <c r="M222" s="114"/>
      <c r="N222" s="114"/>
      <c r="O222" s="114"/>
      <c r="P222" s="114"/>
      <c r="Q222" s="114"/>
      <c r="R222" s="114"/>
      <c r="S222" s="114"/>
      <c r="T222" s="116"/>
      <c r="U222" s="116"/>
      <c r="V222" s="116"/>
      <c r="W222" s="209"/>
      <c r="X222" s="114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</row>
    <row r="223" spans="1:34" ht="24" customHeight="1" x14ac:dyDescent="0.6">
      <c r="A223" s="114"/>
      <c r="B223" s="114"/>
      <c r="C223" s="114"/>
      <c r="D223" s="114"/>
      <c r="E223" s="114"/>
      <c r="F223" s="115"/>
      <c r="G223" s="138"/>
      <c r="H223" s="114"/>
      <c r="I223" s="114"/>
      <c r="J223" s="114"/>
      <c r="K223" s="114"/>
      <c r="L223" s="114"/>
      <c r="M223" s="114"/>
      <c r="N223" s="114"/>
      <c r="O223" s="114"/>
      <c r="P223" s="114"/>
      <c r="Q223" s="114"/>
      <c r="R223" s="114"/>
      <c r="S223" s="114"/>
      <c r="T223" s="116"/>
      <c r="U223" s="116"/>
      <c r="V223" s="116"/>
      <c r="W223" s="209"/>
      <c r="X223" s="114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</row>
    <row r="224" spans="1:34" ht="24" customHeight="1" x14ac:dyDescent="0.6">
      <c r="A224" s="114"/>
      <c r="B224" s="114"/>
      <c r="C224" s="114"/>
      <c r="D224" s="114"/>
      <c r="E224" s="114"/>
      <c r="F224" s="115"/>
      <c r="G224" s="138"/>
      <c r="H224" s="114"/>
      <c r="I224" s="114"/>
      <c r="J224" s="114"/>
      <c r="K224" s="114"/>
      <c r="L224" s="114"/>
      <c r="M224" s="114"/>
      <c r="N224" s="114"/>
      <c r="O224" s="114"/>
      <c r="P224" s="114"/>
      <c r="Q224" s="114"/>
      <c r="R224" s="114"/>
      <c r="S224" s="114"/>
      <c r="T224" s="116"/>
      <c r="U224" s="116"/>
      <c r="V224" s="116"/>
      <c r="W224" s="209"/>
      <c r="X224" s="114"/>
      <c r="Y224" s="114"/>
      <c r="Z224" s="114"/>
      <c r="AA224" s="114"/>
      <c r="AB224" s="114"/>
      <c r="AC224" s="114"/>
      <c r="AD224" s="114"/>
      <c r="AE224" s="114"/>
      <c r="AF224" s="114"/>
      <c r="AG224" s="114"/>
      <c r="AH224" s="114"/>
    </row>
    <row r="225" spans="1:34" ht="24" customHeight="1" x14ac:dyDescent="0.6">
      <c r="A225" s="114"/>
      <c r="B225" s="114"/>
      <c r="C225" s="114"/>
      <c r="D225" s="114"/>
      <c r="E225" s="114"/>
      <c r="F225" s="115"/>
      <c r="G225" s="138"/>
      <c r="H225" s="114"/>
      <c r="I225" s="114"/>
      <c r="J225" s="114"/>
      <c r="K225" s="114"/>
      <c r="L225" s="114"/>
      <c r="M225" s="114"/>
      <c r="N225" s="114"/>
      <c r="O225" s="114"/>
      <c r="P225" s="114"/>
      <c r="Q225" s="114"/>
      <c r="R225" s="114"/>
      <c r="S225" s="114"/>
      <c r="T225" s="116"/>
      <c r="U225" s="116"/>
      <c r="V225" s="116"/>
      <c r="W225" s="209"/>
      <c r="X225" s="114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</row>
    <row r="226" spans="1:34" ht="24" customHeight="1" x14ac:dyDescent="0.6">
      <c r="A226" s="114"/>
      <c r="B226" s="114"/>
      <c r="C226" s="114"/>
      <c r="D226" s="114"/>
      <c r="E226" s="114"/>
      <c r="F226" s="115"/>
      <c r="G226" s="138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6"/>
      <c r="U226" s="116"/>
      <c r="V226" s="116"/>
      <c r="W226" s="209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</row>
    <row r="227" spans="1:34" ht="24" customHeight="1" x14ac:dyDescent="0.6">
      <c r="A227" s="114"/>
      <c r="B227" s="114"/>
      <c r="C227" s="114"/>
      <c r="D227" s="114"/>
      <c r="E227" s="114"/>
      <c r="F227" s="115"/>
      <c r="G227" s="138"/>
      <c r="H227" s="114"/>
      <c r="I227" s="114"/>
      <c r="J227" s="114"/>
      <c r="K227" s="114"/>
      <c r="L227" s="114"/>
      <c r="M227" s="114"/>
      <c r="N227" s="114"/>
      <c r="O227" s="114"/>
      <c r="P227" s="114"/>
      <c r="Q227" s="114"/>
      <c r="R227" s="114"/>
      <c r="S227" s="114"/>
      <c r="T227" s="116"/>
      <c r="U227" s="116"/>
      <c r="V227" s="116"/>
      <c r="W227" s="209"/>
      <c r="X227" s="114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</row>
    <row r="228" spans="1:34" ht="24" customHeight="1" x14ac:dyDescent="0.6">
      <c r="A228" s="114"/>
      <c r="B228" s="114"/>
      <c r="C228" s="114"/>
      <c r="D228" s="114"/>
      <c r="E228" s="114"/>
      <c r="F228" s="115"/>
      <c r="G228" s="138"/>
      <c r="H228" s="114"/>
      <c r="I228" s="114"/>
      <c r="J228" s="114"/>
      <c r="K228" s="114"/>
      <c r="L228" s="114"/>
      <c r="M228" s="114"/>
      <c r="N228" s="114"/>
      <c r="O228" s="114"/>
      <c r="P228" s="114"/>
      <c r="Q228" s="114"/>
      <c r="R228" s="114"/>
      <c r="S228" s="114"/>
      <c r="T228" s="116"/>
      <c r="U228" s="116"/>
      <c r="V228" s="116"/>
      <c r="W228" s="209"/>
      <c r="X228" s="114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</row>
    <row r="229" spans="1:34" ht="24" customHeight="1" x14ac:dyDescent="0.6">
      <c r="A229" s="114"/>
      <c r="B229" s="114"/>
      <c r="C229" s="114"/>
      <c r="D229" s="114"/>
      <c r="E229" s="114"/>
      <c r="F229" s="115"/>
      <c r="G229" s="138"/>
      <c r="H229" s="114"/>
      <c r="I229" s="114"/>
      <c r="J229" s="114"/>
      <c r="K229" s="114"/>
      <c r="L229" s="114"/>
      <c r="M229" s="114"/>
      <c r="N229" s="114"/>
      <c r="O229" s="114"/>
      <c r="P229" s="114"/>
      <c r="Q229" s="114"/>
      <c r="R229" s="114"/>
      <c r="S229" s="114"/>
      <c r="T229" s="116"/>
      <c r="U229" s="116"/>
      <c r="V229" s="116"/>
      <c r="W229" s="209"/>
      <c r="X229" s="114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</row>
    <row r="230" spans="1:34" ht="24" customHeight="1" x14ac:dyDescent="0.6">
      <c r="A230" s="114"/>
      <c r="B230" s="114"/>
      <c r="C230" s="114"/>
      <c r="D230" s="114"/>
      <c r="E230" s="114"/>
      <c r="F230" s="115"/>
      <c r="G230" s="138"/>
      <c r="H230" s="114"/>
      <c r="I230" s="114"/>
      <c r="J230" s="114"/>
      <c r="K230" s="114"/>
      <c r="L230" s="114"/>
      <c r="M230" s="114"/>
      <c r="N230" s="114"/>
      <c r="O230" s="114"/>
      <c r="P230" s="114"/>
      <c r="Q230" s="114"/>
      <c r="R230" s="114"/>
      <c r="S230" s="114"/>
      <c r="T230" s="116"/>
      <c r="U230" s="116"/>
      <c r="V230" s="116"/>
      <c r="W230" s="209"/>
      <c r="X230" s="114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</row>
    <row r="231" spans="1:34" ht="24" customHeight="1" x14ac:dyDescent="0.6">
      <c r="A231" s="114"/>
      <c r="B231" s="114"/>
      <c r="C231" s="114"/>
      <c r="D231" s="114"/>
      <c r="E231" s="114"/>
      <c r="F231" s="115"/>
      <c r="G231" s="138"/>
      <c r="H231" s="114"/>
      <c r="I231" s="114"/>
      <c r="J231" s="114"/>
      <c r="K231" s="114"/>
      <c r="L231" s="114"/>
      <c r="M231" s="114"/>
      <c r="N231" s="114"/>
      <c r="O231" s="114"/>
      <c r="P231" s="114"/>
      <c r="Q231" s="114"/>
      <c r="R231" s="114"/>
      <c r="S231" s="114"/>
      <c r="T231" s="116"/>
      <c r="U231" s="116"/>
      <c r="V231" s="116"/>
      <c r="W231" s="209"/>
      <c r="X231" s="114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</row>
    <row r="232" spans="1:34" ht="24" customHeight="1" x14ac:dyDescent="0.6">
      <c r="A232" s="114"/>
      <c r="B232" s="114"/>
      <c r="C232" s="114"/>
      <c r="D232" s="114"/>
      <c r="E232" s="114"/>
      <c r="F232" s="115"/>
      <c r="G232" s="138"/>
      <c r="H232" s="114"/>
      <c r="I232" s="114"/>
      <c r="J232" s="114"/>
      <c r="K232" s="114"/>
      <c r="L232" s="114"/>
      <c r="M232" s="114"/>
      <c r="N232" s="114"/>
      <c r="O232" s="114"/>
      <c r="P232" s="114"/>
      <c r="Q232" s="114"/>
      <c r="R232" s="114"/>
      <c r="S232" s="114"/>
      <c r="T232" s="116"/>
      <c r="U232" s="116"/>
      <c r="V232" s="116"/>
      <c r="W232" s="209"/>
      <c r="X232" s="114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</row>
    <row r="233" spans="1:34" ht="24" customHeight="1" x14ac:dyDescent="0.6">
      <c r="A233" s="114"/>
      <c r="B233" s="114"/>
      <c r="C233" s="114"/>
      <c r="D233" s="114"/>
      <c r="E233" s="114"/>
      <c r="F233" s="115"/>
      <c r="G233" s="138"/>
      <c r="H233" s="114"/>
      <c r="I233" s="114"/>
      <c r="J233" s="114"/>
      <c r="K233" s="114"/>
      <c r="L233" s="114"/>
      <c r="M233" s="114"/>
      <c r="N233" s="114"/>
      <c r="O233" s="114"/>
      <c r="P233" s="114"/>
      <c r="Q233" s="114"/>
      <c r="R233" s="114"/>
      <c r="S233" s="114"/>
      <c r="T233" s="116"/>
      <c r="U233" s="116"/>
      <c r="V233" s="116"/>
      <c r="W233" s="209"/>
      <c r="X233" s="114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</row>
    <row r="234" spans="1:34" ht="24" customHeight="1" x14ac:dyDescent="0.6">
      <c r="A234" s="114"/>
      <c r="B234" s="114"/>
      <c r="C234" s="114"/>
      <c r="D234" s="114"/>
      <c r="E234" s="114"/>
      <c r="F234" s="115"/>
      <c r="G234" s="138"/>
      <c r="H234" s="114"/>
      <c r="I234" s="114"/>
      <c r="J234" s="114"/>
      <c r="K234" s="114"/>
      <c r="L234" s="114"/>
      <c r="M234" s="114"/>
      <c r="N234" s="114"/>
      <c r="O234" s="114"/>
      <c r="P234" s="114"/>
      <c r="Q234" s="114"/>
      <c r="R234" s="114"/>
      <c r="S234" s="114"/>
      <c r="T234" s="116"/>
      <c r="U234" s="116"/>
      <c r="V234" s="116"/>
      <c r="W234" s="209"/>
      <c r="X234" s="114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</row>
    <row r="235" spans="1:34" ht="24" customHeight="1" x14ac:dyDescent="0.6">
      <c r="A235" s="114"/>
      <c r="B235" s="114"/>
      <c r="C235" s="114"/>
      <c r="D235" s="114"/>
      <c r="E235" s="114"/>
      <c r="F235" s="115"/>
      <c r="G235" s="138"/>
      <c r="H235" s="114"/>
      <c r="I235" s="114"/>
      <c r="J235" s="114"/>
      <c r="K235" s="114"/>
      <c r="L235" s="114"/>
      <c r="M235" s="114"/>
      <c r="N235" s="114"/>
      <c r="O235" s="114"/>
      <c r="P235" s="114"/>
      <c r="Q235" s="114"/>
      <c r="R235" s="114"/>
      <c r="S235" s="114"/>
      <c r="T235" s="116"/>
      <c r="U235" s="116"/>
      <c r="V235" s="116"/>
      <c r="W235" s="209"/>
      <c r="X235" s="114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</row>
    <row r="236" spans="1:34" ht="24" customHeight="1" x14ac:dyDescent="0.6">
      <c r="A236" s="114"/>
      <c r="B236" s="114"/>
      <c r="C236" s="114"/>
      <c r="D236" s="114"/>
      <c r="E236" s="114"/>
      <c r="F236" s="115"/>
      <c r="G236" s="138"/>
      <c r="H236" s="114"/>
      <c r="I236" s="114"/>
      <c r="J236" s="114"/>
      <c r="K236" s="114"/>
      <c r="L236" s="114"/>
      <c r="M236" s="114"/>
      <c r="N236" s="114"/>
      <c r="O236" s="114"/>
      <c r="P236" s="114"/>
      <c r="Q236" s="114"/>
      <c r="R236" s="114"/>
      <c r="S236" s="114"/>
      <c r="T236" s="116"/>
      <c r="U236" s="116"/>
      <c r="V236" s="116"/>
      <c r="W236" s="209"/>
      <c r="X236" s="114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114"/>
    </row>
    <row r="237" spans="1:34" ht="24" customHeight="1" x14ac:dyDescent="0.6">
      <c r="A237" s="114"/>
      <c r="B237" s="114"/>
      <c r="C237" s="114"/>
      <c r="D237" s="114"/>
      <c r="E237" s="114"/>
      <c r="F237" s="115"/>
      <c r="G237" s="138"/>
      <c r="H237" s="114"/>
      <c r="I237" s="114"/>
      <c r="J237" s="114"/>
      <c r="K237" s="114"/>
      <c r="L237" s="114"/>
      <c r="M237" s="114"/>
      <c r="N237" s="114"/>
      <c r="O237" s="114"/>
      <c r="P237" s="114"/>
      <c r="Q237" s="114"/>
      <c r="R237" s="114"/>
      <c r="S237" s="114"/>
      <c r="T237" s="116"/>
      <c r="U237" s="116"/>
      <c r="V237" s="116"/>
      <c r="W237" s="209"/>
      <c r="X237" s="114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</row>
    <row r="238" spans="1:34" ht="24" customHeight="1" x14ac:dyDescent="0.6">
      <c r="A238" s="114"/>
      <c r="B238" s="114"/>
      <c r="C238" s="114"/>
      <c r="D238" s="114"/>
      <c r="E238" s="114"/>
      <c r="F238" s="115"/>
      <c r="G238" s="138"/>
      <c r="H238" s="114"/>
      <c r="I238" s="114"/>
      <c r="J238" s="114"/>
      <c r="K238" s="114"/>
      <c r="L238" s="114"/>
      <c r="M238" s="114"/>
      <c r="N238" s="114"/>
      <c r="O238" s="114"/>
      <c r="P238" s="114"/>
      <c r="Q238" s="114"/>
      <c r="R238" s="114"/>
      <c r="S238" s="114"/>
      <c r="T238" s="116"/>
      <c r="U238" s="116"/>
      <c r="V238" s="116"/>
      <c r="W238" s="209"/>
      <c r="X238" s="114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</row>
    <row r="239" spans="1:34" ht="24" customHeight="1" x14ac:dyDescent="0.6">
      <c r="A239" s="114"/>
      <c r="B239" s="114"/>
      <c r="C239" s="114"/>
      <c r="D239" s="114"/>
      <c r="E239" s="114"/>
      <c r="F239" s="115"/>
      <c r="G239" s="138"/>
      <c r="H239" s="114"/>
      <c r="I239" s="114"/>
      <c r="J239" s="114"/>
      <c r="K239" s="114"/>
      <c r="L239" s="114"/>
      <c r="M239" s="114"/>
      <c r="N239" s="114"/>
      <c r="O239" s="114"/>
      <c r="P239" s="114"/>
      <c r="Q239" s="114"/>
      <c r="R239" s="114"/>
      <c r="S239" s="114"/>
      <c r="T239" s="116"/>
      <c r="U239" s="116"/>
      <c r="V239" s="116"/>
      <c r="W239" s="209"/>
      <c r="X239" s="114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</row>
    <row r="240" spans="1:34" ht="24" customHeight="1" x14ac:dyDescent="0.6">
      <c r="A240" s="114"/>
      <c r="B240" s="114"/>
      <c r="C240" s="114"/>
      <c r="D240" s="114"/>
      <c r="E240" s="114"/>
      <c r="F240" s="115"/>
      <c r="G240" s="138"/>
      <c r="H240" s="114"/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6"/>
      <c r="U240" s="116"/>
      <c r="V240" s="116"/>
      <c r="W240" s="209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</row>
    <row r="241" spans="1:34" ht="24" customHeight="1" x14ac:dyDescent="0.6">
      <c r="A241" s="114"/>
      <c r="B241" s="114"/>
      <c r="C241" s="114"/>
      <c r="D241" s="114"/>
      <c r="E241" s="114"/>
      <c r="F241" s="115"/>
      <c r="G241" s="138"/>
      <c r="H241" s="114"/>
      <c r="I241" s="114"/>
      <c r="J241" s="114"/>
      <c r="K241" s="114"/>
      <c r="L241" s="114"/>
      <c r="M241" s="114"/>
      <c r="N241" s="114"/>
      <c r="O241" s="114"/>
      <c r="P241" s="114"/>
      <c r="Q241" s="114"/>
      <c r="R241" s="114"/>
      <c r="S241" s="114"/>
      <c r="T241" s="116"/>
      <c r="U241" s="116"/>
      <c r="V241" s="116"/>
      <c r="W241" s="209"/>
      <c r="X241" s="114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</row>
    <row r="242" spans="1:34" ht="24" customHeight="1" x14ac:dyDescent="0.6">
      <c r="A242" s="114"/>
      <c r="B242" s="114"/>
      <c r="C242" s="114"/>
      <c r="D242" s="114"/>
      <c r="E242" s="114"/>
      <c r="F242" s="115"/>
      <c r="G242" s="138"/>
      <c r="H242" s="114"/>
      <c r="I242" s="114"/>
      <c r="J242" s="114"/>
      <c r="K242" s="114"/>
      <c r="L242" s="114"/>
      <c r="M242" s="114"/>
      <c r="N242" s="114"/>
      <c r="O242" s="114"/>
      <c r="P242" s="114"/>
      <c r="Q242" s="114"/>
      <c r="R242" s="114"/>
      <c r="S242" s="114"/>
      <c r="T242" s="116"/>
      <c r="U242" s="116"/>
      <c r="V242" s="116"/>
      <c r="W242" s="209"/>
      <c r="X242" s="114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</row>
    <row r="243" spans="1:34" ht="24" customHeight="1" x14ac:dyDescent="0.6">
      <c r="A243" s="114"/>
      <c r="B243" s="114"/>
      <c r="C243" s="114"/>
      <c r="D243" s="114"/>
      <c r="E243" s="114"/>
      <c r="F243" s="115"/>
      <c r="G243" s="138"/>
      <c r="H243" s="114"/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6"/>
      <c r="U243" s="116"/>
      <c r="V243" s="116"/>
      <c r="W243" s="209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</row>
    <row r="244" spans="1:34" ht="24" customHeight="1" x14ac:dyDescent="0.6">
      <c r="A244" s="114"/>
      <c r="B244" s="114"/>
      <c r="C244" s="114"/>
      <c r="D244" s="114"/>
      <c r="E244" s="114"/>
      <c r="F244" s="115"/>
      <c r="G244" s="138"/>
      <c r="H244" s="114"/>
      <c r="I244" s="114"/>
      <c r="J244" s="114"/>
      <c r="K244" s="114"/>
      <c r="L244" s="114"/>
      <c r="M244" s="114"/>
      <c r="N244" s="114"/>
      <c r="O244" s="114"/>
      <c r="P244" s="114"/>
      <c r="Q244" s="114"/>
      <c r="R244" s="114"/>
      <c r="S244" s="114"/>
      <c r="T244" s="116"/>
      <c r="U244" s="116"/>
      <c r="V244" s="116"/>
      <c r="W244" s="209"/>
      <c r="X244" s="114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</row>
    <row r="245" spans="1:34" ht="24" customHeight="1" x14ac:dyDescent="0.6">
      <c r="A245" s="114"/>
      <c r="B245" s="114"/>
      <c r="C245" s="114"/>
      <c r="D245" s="114"/>
      <c r="E245" s="114"/>
      <c r="F245" s="115"/>
      <c r="G245" s="138"/>
      <c r="H245" s="114"/>
      <c r="I245" s="114"/>
      <c r="J245" s="114"/>
      <c r="K245" s="114"/>
      <c r="L245" s="114"/>
      <c r="M245" s="114"/>
      <c r="N245" s="114"/>
      <c r="O245" s="114"/>
      <c r="P245" s="114"/>
      <c r="Q245" s="114"/>
      <c r="R245" s="114"/>
      <c r="S245" s="114"/>
      <c r="T245" s="116"/>
      <c r="U245" s="116"/>
      <c r="V245" s="116"/>
      <c r="W245" s="209"/>
      <c r="X245" s="114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</row>
    <row r="246" spans="1:34" ht="24" customHeight="1" x14ac:dyDescent="0.6">
      <c r="A246" s="114"/>
      <c r="B246" s="114"/>
      <c r="C246" s="114"/>
      <c r="D246" s="114"/>
      <c r="E246" s="114"/>
      <c r="F246" s="115"/>
      <c r="G246" s="138"/>
      <c r="H246" s="114"/>
      <c r="I246" s="114"/>
      <c r="J246" s="114"/>
      <c r="K246" s="114"/>
      <c r="L246" s="114"/>
      <c r="M246" s="114"/>
      <c r="N246" s="114"/>
      <c r="O246" s="114"/>
      <c r="P246" s="114"/>
      <c r="Q246" s="114"/>
      <c r="R246" s="114"/>
      <c r="S246" s="114"/>
      <c r="T246" s="116"/>
      <c r="U246" s="116"/>
      <c r="V246" s="116"/>
      <c r="W246" s="209"/>
      <c r="X246" s="114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</row>
    <row r="247" spans="1:34" ht="24" customHeight="1" x14ac:dyDescent="0.6">
      <c r="A247" s="114"/>
      <c r="B247" s="114"/>
      <c r="C247" s="114"/>
      <c r="D247" s="114"/>
      <c r="E247" s="114"/>
      <c r="F247" s="115"/>
      <c r="G247" s="138"/>
      <c r="H247" s="114"/>
      <c r="I247" s="114"/>
      <c r="J247" s="114"/>
      <c r="K247" s="114"/>
      <c r="L247" s="114"/>
      <c r="M247" s="114"/>
      <c r="N247" s="114"/>
      <c r="O247" s="114"/>
      <c r="P247" s="114"/>
      <c r="Q247" s="114"/>
      <c r="R247" s="114"/>
      <c r="S247" s="114"/>
      <c r="T247" s="116"/>
      <c r="U247" s="116"/>
      <c r="V247" s="116"/>
      <c r="W247" s="209"/>
      <c r="X247" s="114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</row>
    <row r="248" spans="1:34" ht="24" customHeight="1" x14ac:dyDescent="0.6">
      <c r="A248" s="114"/>
      <c r="B248" s="114"/>
      <c r="C248" s="114"/>
      <c r="D248" s="114"/>
      <c r="E248" s="114"/>
      <c r="F248" s="115"/>
      <c r="G248" s="138"/>
      <c r="H248" s="114"/>
      <c r="I248" s="114"/>
      <c r="J248" s="114"/>
      <c r="K248" s="114"/>
      <c r="L248" s="114"/>
      <c r="M248" s="114"/>
      <c r="N248" s="114"/>
      <c r="O248" s="114"/>
      <c r="P248" s="114"/>
      <c r="Q248" s="114"/>
      <c r="R248" s="114"/>
      <c r="S248" s="114"/>
      <c r="T248" s="116"/>
      <c r="U248" s="116"/>
      <c r="V248" s="116"/>
      <c r="W248" s="209"/>
      <c r="X248" s="114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/>
    </row>
    <row r="249" spans="1:34" ht="24" customHeight="1" x14ac:dyDescent="0.6">
      <c r="A249" s="114"/>
      <c r="B249" s="114"/>
      <c r="C249" s="114"/>
      <c r="D249" s="114"/>
      <c r="E249" s="114"/>
      <c r="F249" s="115"/>
      <c r="G249" s="138"/>
      <c r="H249" s="114"/>
      <c r="I249" s="114"/>
      <c r="J249" s="114"/>
      <c r="K249" s="114"/>
      <c r="L249" s="114"/>
      <c r="M249" s="114"/>
      <c r="N249" s="114"/>
      <c r="O249" s="114"/>
      <c r="P249" s="114"/>
      <c r="Q249" s="114"/>
      <c r="R249" s="114"/>
      <c r="S249" s="114"/>
      <c r="T249" s="116"/>
      <c r="U249" s="116"/>
      <c r="V249" s="116"/>
      <c r="W249" s="209"/>
      <c r="X249" s="114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</row>
    <row r="250" spans="1:34" ht="24" customHeight="1" x14ac:dyDescent="0.6">
      <c r="A250" s="114"/>
      <c r="B250" s="114"/>
      <c r="C250" s="114"/>
      <c r="D250" s="114"/>
      <c r="E250" s="114"/>
      <c r="F250" s="115"/>
      <c r="G250" s="138"/>
      <c r="H250" s="114"/>
      <c r="I250" s="114"/>
      <c r="J250" s="114"/>
      <c r="K250" s="114"/>
      <c r="L250" s="114"/>
      <c r="M250" s="114"/>
      <c r="N250" s="114"/>
      <c r="O250" s="114"/>
      <c r="P250" s="114"/>
      <c r="Q250" s="114"/>
      <c r="R250" s="114"/>
      <c r="S250" s="114"/>
      <c r="T250" s="116"/>
      <c r="U250" s="116"/>
      <c r="V250" s="116"/>
      <c r="W250" s="209"/>
      <c r="X250" s="114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</row>
    <row r="251" spans="1:34" ht="24" customHeight="1" x14ac:dyDescent="0.6">
      <c r="A251" s="114"/>
      <c r="B251" s="114"/>
      <c r="C251" s="114"/>
      <c r="D251" s="114"/>
      <c r="E251" s="114"/>
      <c r="F251" s="115"/>
      <c r="G251" s="138"/>
      <c r="H251" s="114"/>
      <c r="I251" s="114"/>
      <c r="J251" s="114"/>
      <c r="K251" s="114"/>
      <c r="L251" s="114"/>
      <c r="M251" s="114"/>
      <c r="N251" s="114"/>
      <c r="O251" s="114"/>
      <c r="P251" s="114"/>
      <c r="Q251" s="114"/>
      <c r="R251" s="114"/>
      <c r="S251" s="114"/>
      <c r="T251" s="116"/>
      <c r="U251" s="116"/>
      <c r="V251" s="116"/>
      <c r="W251" s="209"/>
      <c r="X251" s="114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</row>
    <row r="252" spans="1:34" ht="24" customHeight="1" x14ac:dyDescent="0.6">
      <c r="A252" s="114"/>
      <c r="B252" s="114"/>
      <c r="C252" s="114"/>
      <c r="D252" s="114"/>
      <c r="E252" s="114"/>
      <c r="F252" s="115"/>
      <c r="G252" s="138"/>
      <c r="H252" s="114"/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6"/>
      <c r="U252" s="116"/>
      <c r="V252" s="116"/>
      <c r="W252" s="209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</row>
    <row r="253" spans="1:34" ht="24" customHeight="1" x14ac:dyDescent="0.6">
      <c r="A253" s="114"/>
      <c r="B253" s="114"/>
      <c r="C253" s="114"/>
      <c r="D253" s="114"/>
      <c r="E253" s="114"/>
      <c r="F253" s="115"/>
      <c r="G253" s="138"/>
      <c r="H253" s="114"/>
      <c r="I253" s="114"/>
      <c r="J253" s="114"/>
      <c r="K253" s="114"/>
      <c r="L253" s="114"/>
      <c r="M253" s="114"/>
      <c r="N253" s="114"/>
      <c r="O253" s="114"/>
      <c r="P253" s="114"/>
      <c r="Q253" s="114"/>
      <c r="R253" s="114"/>
      <c r="S253" s="114"/>
      <c r="T253" s="116"/>
      <c r="U253" s="116"/>
      <c r="V253" s="116"/>
      <c r="W253" s="209"/>
      <c r="X253" s="114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</row>
    <row r="254" spans="1:34" ht="24" customHeight="1" x14ac:dyDescent="0.6">
      <c r="A254" s="114"/>
      <c r="B254" s="114"/>
      <c r="C254" s="114"/>
      <c r="D254" s="114"/>
      <c r="E254" s="114"/>
      <c r="F254" s="115"/>
      <c r="G254" s="138"/>
      <c r="H254" s="114"/>
      <c r="I254" s="114"/>
      <c r="J254" s="114"/>
      <c r="K254" s="114"/>
      <c r="L254" s="114"/>
      <c r="M254" s="114"/>
      <c r="N254" s="114"/>
      <c r="O254" s="114"/>
      <c r="P254" s="114"/>
      <c r="Q254" s="114"/>
      <c r="R254" s="114"/>
      <c r="S254" s="114"/>
      <c r="T254" s="116"/>
      <c r="U254" s="116"/>
      <c r="V254" s="116"/>
      <c r="W254" s="209"/>
      <c r="X254" s="114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</row>
    <row r="255" spans="1:34" ht="24" customHeight="1" x14ac:dyDescent="0.6">
      <c r="A255" s="114"/>
      <c r="B255" s="114"/>
      <c r="C255" s="114"/>
      <c r="D255" s="114"/>
      <c r="E255" s="114"/>
      <c r="F255" s="115"/>
      <c r="G255" s="138"/>
      <c r="H255" s="114"/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6"/>
      <c r="U255" s="116"/>
      <c r="V255" s="116"/>
      <c r="W255" s="209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</row>
    <row r="256" spans="1:34" ht="24" customHeight="1" x14ac:dyDescent="0.6">
      <c r="A256" s="114"/>
      <c r="B256" s="114"/>
      <c r="C256" s="114"/>
      <c r="D256" s="114"/>
      <c r="E256" s="114"/>
      <c r="F256" s="115"/>
      <c r="G256" s="138"/>
      <c r="H256" s="114"/>
      <c r="I256" s="114"/>
      <c r="J256" s="114"/>
      <c r="K256" s="114"/>
      <c r="L256" s="114"/>
      <c r="M256" s="114"/>
      <c r="N256" s="114"/>
      <c r="O256" s="114"/>
      <c r="P256" s="114"/>
      <c r="Q256" s="114"/>
      <c r="R256" s="114"/>
      <c r="S256" s="114"/>
      <c r="T256" s="116"/>
      <c r="U256" s="116"/>
      <c r="V256" s="116"/>
      <c r="W256" s="209"/>
      <c r="X256" s="114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</row>
    <row r="257" spans="1:34" ht="24" customHeight="1" x14ac:dyDescent="0.6">
      <c r="A257" s="114"/>
      <c r="B257" s="114"/>
      <c r="C257" s="114"/>
      <c r="D257" s="114"/>
      <c r="E257" s="114"/>
      <c r="F257" s="115"/>
      <c r="G257" s="138"/>
      <c r="H257" s="114"/>
      <c r="I257" s="114"/>
      <c r="J257" s="114"/>
      <c r="K257" s="114"/>
      <c r="L257" s="114"/>
      <c r="M257" s="114"/>
      <c r="N257" s="114"/>
      <c r="O257" s="114"/>
      <c r="P257" s="114"/>
      <c r="Q257" s="114"/>
      <c r="R257" s="114"/>
      <c r="S257" s="114"/>
      <c r="T257" s="116"/>
      <c r="U257" s="116"/>
      <c r="V257" s="116"/>
      <c r="W257" s="209"/>
      <c r="X257" s="114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</row>
    <row r="258" spans="1:34" ht="24" customHeight="1" x14ac:dyDescent="0.6">
      <c r="A258" s="114"/>
      <c r="B258" s="114"/>
      <c r="C258" s="114"/>
      <c r="D258" s="114"/>
      <c r="E258" s="114"/>
      <c r="F258" s="115"/>
      <c r="G258" s="138"/>
      <c r="H258" s="114"/>
      <c r="I258" s="114"/>
      <c r="J258" s="114"/>
      <c r="K258" s="114"/>
      <c r="L258" s="114"/>
      <c r="M258" s="114"/>
      <c r="N258" s="114"/>
      <c r="O258" s="114"/>
      <c r="P258" s="114"/>
      <c r="Q258" s="114"/>
      <c r="R258" s="114"/>
      <c r="S258" s="114"/>
      <c r="T258" s="116"/>
      <c r="U258" s="116"/>
      <c r="V258" s="116"/>
      <c r="W258" s="209"/>
      <c r="X258" s="114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</row>
    <row r="259" spans="1:34" ht="24" customHeight="1" x14ac:dyDescent="0.6">
      <c r="A259" s="114"/>
      <c r="B259" s="114"/>
      <c r="C259" s="114"/>
      <c r="D259" s="114"/>
      <c r="E259" s="114"/>
      <c r="F259" s="115"/>
      <c r="G259" s="138"/>
      <c r="H259" s="114"/>
      <c r="I259" s="114"/>
      <c r="J259" s="114"/>
      <c r="K259" s="114"/>
      <c r="L259" s="114"/>
      <c r="M259" s="114"/>
      <c r="N259" s="114"/>
      <c r="O259" s="114"/>
      <c r="P259" s="114"/>
      <c r="Q259" s="114"/>
      <c r="R259" s="114"/>
      <c r="S259" s="114"/>
      <c r="T259" s="116"/>
      <c r="U259" s="116"/>
      <c r="V259" s="116"/>
      <c r="W259" s="209"/>
      <c r="X259" s="114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</row>
    <row r="260" spans="1:34" ht="24" customHeight="1" x14ac:dyDescent="0.6">
      <c r="A260" s="114"/>
      <c r="B260" s="114"/>
      <c r="C260" s="114"/>
      <c r="D260" s="114"/>
      <c r="E260" s="114"/>
      <c r="F260" s="115"/>
      <c r="G260" s="138"/>
      <c r="H260" s="114"/>
      <c r="I260" s="114"/>
      <c r="J260" s="114"/>
      <c r="K260" s="114"/>
      <c r="L260" s="114"/>
      <c r="M260" s="114"/>
      <c r="N260" s="114"/>
      <c r="O260" s="114"/>
      <c r="P260" s="114"/>
      <c r="Q260" s="114"/>
      <c r="R260" s="114"/>
      <c r="S260" s="114"/>
      <c r="T260" s="116"/>
      <c r="U260" s="116"/>
      <c r="V260" s="116"/>
      <c r="W260" s="209"/>
      <c r="X260" s="114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</row>
    <row r="261" spans="1:34" ht="24" customHeight="1" x14ac:dyDescent="0.6">
      <c r="A261" s="114"/>
      <c r="B261" s="114"/>
      <c r="C261" s="114"/>
      <c r="D261" s="114"/>
      <c r="E261" s="114"/>
      <c r="F261" s="115"/>
      <c r="G261" s="138"/>
      <c r="H261" s="114"/>
      <c r="I261" s="114"/>
      <c r="J261" s="114"/>
      <c r="K261" s="114"/>
      <c r="L261" s="114"/>
      <c r="M261" s="114"/>
      <c r="N261" s="114"/>
      <c r="O261" s="114"/>
      <c r="P261" s="114"/>
      <c r="Q261" s="114"/>
      <c r="R261" s="114"/>
      <c r="S261" s="114"/>
      <c r="T261" s="116"/>
      <c r="U261" s="116"/>
      <c r="V261" s="116"/>
      <c r="W261" s="209"/>
      <c r="X261" s="114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</row>
    <row r="262" spans="1:34" ht="24" customHeight="1" x14ac:dyDescent="0.6">
      <c r="A262" s="114"/>
      <c r="B262" s="114"/>
      <c r="C262" s="114"/>
      <c r="D262" s="114"/>
      <c r="E262" s="114"/>
      <c r="F262" s="115"/>
      <c r="G262" s="138"/>
      <c r="H262" s="114"/>
      <c r="I262" s="114"/>
      <c r="J262" s="114"/>
      <c r="K262" s="114"/>
      <c r="L262" s="114"/>
      <c r="M262" s="114"/>
      <c r="N262" s="114"/>
      <c r="O262" s="114"/>
      <c r="P262" s="114"/>
      <c r="Q262" s="114"/>
      <c r="R262" s="114"/>
      <c r="S262" s="114"/>
      <c r="T262" s="116"/>
      <c r="U262" s="116"/>
      <c r="V262" s="116"/>
      <c r="W262" s="209"/>
      <c r="X262" s="114"/>
      <c r="Y262" s="114"/>
      <c r="Z262" s="114"/>
      <c r="AA262" s="114"/>
      <c r="AB262" s="114"/>
      <c r="AC262" s="114"/>
      <c r="AD262" s="114"/>
      <c r="AE262" s="114"/>
      <c r="AF262" s="114"/>
      <c r="AG262" s="114"/>
      <c r="AH262" s="114"/>
    </row>
    <row r="263" spans="1:34" ht="24" customHeight="1" x14ac:dyDescent="0.6">
      <c r="A263" s="114"/>
      <c r="B263" s="114"/>
      <c r="C263" s="114"/>
      <c r="D263" s="114"/>
      <c r="E263" s="114"/>
      <c r="F263" s="115"/>
      <c r="G263" s="138"/>
      <c r="H263" s="114"/>
      <c r="I263" s="114"/>
      <c r="J263" s="114"/>
      <c r="K263" s="114"/>
      <c r="L263" s="114"/>
      <c r="M263" s="114"/>
      <c r="N263" s="114"/>
      <c r="O263" s="114"/>
      <c r="P263" s="114"/>
      <c r="Q263" s="114"/>
      <c r="R263" s="114"/>
      <c r="S263" s="114"/>
      <c r="T263" s="116"/>
      <c r="U263" s="116"/>
      <c r="V263" s="116"/>
      <c r="W263" s="209"/>
      <c r="X263" s="114"/>
      <c r="Y263" s="114"/>
      <c r="Z263" s="114"/>
      <c r="AA263" s="114"/>
      <c r="AB263" s="114"/>
      <c r="AC263" s="114"/>
      <c r="AD263" s="114"/>
      <c r="AE263" s="114"/>
      <c r="AF263" s="114"/>
      <c r="AG263" s="114"/>
      <c r="AH263" s="114"/>
    </row>
    <row r="264" spans="1:34" ht="24" customHeight="1" x14ac:dyDescent="0.6">
      <c r="A264" s="114"/>
      <c r="B264" s="114"/>
      <c r="C264" s="114"/>
      <c r="D264" s="114"/>
      <c r="E264" s="114"/>
      <c r="F264" s="115"/>
      <c r="G264" s="138"/>
      <c r="H264" s="114"/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6"/>
      <c r="U264" s="116"/>
      <c r="V264" s="116"/>
      <c r="W264" s="209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</row>
    <row r="265" spans="1:34" ht="24" customHeight="1" x14ac:dyDescent="0.6">
      <c r="A265" s="114"/>
      <c r="B265" s="114"/>
      <c r="C265" s="114"/>
      <c r="D265" s="114"/>
      <c r="E265" s="114"/>
      <c r="F265" s="115"/>
      <c r="G265" s="138"/>
      <c r="H265" s="114"/>
      <c r="I265" s="114"/>
      <c r="J265" s="114"/>
      <c r="K265" s="114"/>
      <c r="L265" s="114"/>
      <c r="M265" s="114"/>
      <c r="N265" s="114"/>
      <c r="O265" s="114"/>
      <c r="P265" s="114"/>
      <c r="Q265" s="114"/>
      <c r="R265" s="114"/>
      <c r="S265" s="114"/>
      <c r="T265" s="116"/>
      <c r="U265" s="116"/>
      <c r="V265" s="116"/>
      <c r="W265" s="209"/>
      <c r="X265" s="114"/>
      <c r="Y265" s="114"/>
      <c r="Z265" s="114"/>
      <c r="AA265" s="114"/>
      <c r="AB265" s="114"/>
      <c r="AC265" s="114"/>
      <c r="AD265" s="114"/>
      <c r="AE265" s="114"/>
      <c r="AF265" s="114"/>
      <c r="AG265" s="114"/>
      <c r="AH265" s="114"/>
    </row>
    <row r="266" spans="1:34" ht="24" customHeight="1" x14ac:dyDescent="0.6">
      <c r="A266" s="114"/>
      <c r="B266" s="114"/>
      <c r="C266" s="114"/>
      <c r="D266" s="114"/>
      <c r="E266" s="114"/>
      <c r="F266" s="115"/>
      <c r="G266" s="138"/>
      <c r="H266" s="114"/>
      <c r="I266" s="114"/>
      <c r="J266" s="114"/>
      <c r="K266" s="114"/>
      <c r="L266" s="114"/>
      <c r="M266" s="114"/>
      <c r="N266" s="114"/>
      <c r="O266" s="114"/>
      <c r="P266" s="114"/>
      <c r="Q266" s="114"/>
      <c r="R266" s="114"/>
      <c r="S266" s="114"/>
      <c r="T266" s="116"/>
      <c r="U266" s="116"/>
      <c r="V266" s="116"/>
      <c r="W266" s="209"/>
      <c r="X266" s="114"/>
      <c r="Y266" s="114"/>
      <c r="Z266" s="114"/>
      <c r="AA266" s="114"/>
      <c r="AB266" s="114"/>
      <c r="AC266" s="114"/>
      <c r="AD266" s="114"/>
      <c r="AE266" s="114"/>
      <c r="AF266" s="114"/>
      <c r="AG266" s="114"/>
      <c r="AH266" s="114"/>
    </row>
    <row r="267" spans="1:34" ht="24" customHeight="1" x14ac:dyDescent="0.6">
      <c r="A267" s="114"/>
      <c r="B267" s="114"/>
      <c r="C267" s="114"/>
      <c r="D267" s="114"/>
      <c r="E267" s="114"/>
      <c r="F267" s="115"/>
      <c r="G267" s="138"/>
      <c r="H267" s="114"/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6"/>
      <c r="U267" s="116"/>
      <c r="V267" s="116"/>
      <c r="W267" s="209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</row>
    <row r="268" spans="1:34" ht="24" customHeight="1" x14ac:dyDescent="0.6">
      <c r="A268" s="114"/>
      <c r="B268" s="114"/>
      <c r="C268" s="114"/>
      <c r="D268" s="114"/>
      <c r="E268" s="114"/>
      <c r="F268" s="115"/>
      <c r="G268" s="138"/>
      <c r="H268" s="114"/>
      <c r="I268" s="114"/>
      <c r="J268" s="114"/>
      <c r="K268" s="114"/>
      <c r="L268" s="114"/>
      <c r="M268" s="114"/>
      <c r="N268" s="114"/>
      <c r="O268" s="114"/>
      <c r="P268" s="114"/>
      <c r="Q268" s="114"/>
      <c r="R268" s="114"/>
      <c r="S268" s="114"/>
      <c r="T268" s="116"/>
      <c r="U268" s="116"/>
      <c r="V268" s="116"/>
      <c r="W268" s="209"/>
      <c r="X268" s="114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</row>
    <row r="269" spans="1:34" ht="24" customHeight="1" x14ac:dyDescent="0.6">
      <c r="A269" s="114"/>
      <c r="B269" s="114"/>
      <c r="C269" s="114"/>
      <c r="D269" s="114"/>
      <c r="E269" s="114"/>
      <c r="F269" s="115"/>
      <c r="G269" s="138"/>
      <c r="H269" s="114"/>
      <c r="I269" s="114"/>
      <c r="J269" s="114"/>
      <c r="K269" s="114"/>
      <c r="L269" s="114"/>
      <c r="M269" s="114"/>
      <c r="N269" s="114"/>
      <c r="O269" s="114"/>
      <c r="P269" s="114"/>
      <c r="Q269" s="114"/>
      <c r="R269" s="114"/>
      <c r="S269" s="114"/>
      <c r="T269" s="116"/>
      <c r="U269" s="116"/>
      <c r="V269" s="116"/>
      <c r="W269" s="209"/>
      <c r="X269" s="114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</row>
    <row r="270" spans="1:34" ht="24" customHeight="1" x14ac:dyDescent="0.6">
      <c r="A270" s="114"/>
      <c r="B270" s="114"/>
      <c r="C270" s="114"/>
      <c r="D270" s="114"/>
      <c r="E270" s="114"/>
      <c r="F270" s="115"/>
      <c r="G270" s="138"/>
      <c r="H270" s="114"/>
      <c r="I270" s="114"/>
      <c r="J270" s="114"/>
      <c r="K270" s="114"/>
      <c r="L270" s="114"/>
      <c r="M270" s="114"/>
      <c r="N270" s="114"/>
      <c r="O270" s="114"/>
      <c r="P270" s="114"/>
      <c r="Q270" s="114"/>
      <c r="R270" s="114"/>
      <c r="S270" s="114"/>
      <c r="T270" s="116"/>
      <c r="U270" s="116"/>
      <c r="V270" s="116"/>
      <c r="W270" s="209"/>
      <c r="X270" s="114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</row>
    <row r="271" spans="1:34" ht="24" customHeight="1" x14ac:dyDescent="0.6">
      <c r="A271" s="114"/>
      <c r="B271" s="114"/>
      <c r="C271" s="114"/>
      <c r="D271" s="114"/>
      <c r="E271" s="114"/>
      <c r="F271" s="115"/>
      <c r="G271" s="138"/>
      <c r="H271" s="114"/>
      <c r="I271" s="114"/>
      <c r="J271" s="114"/>
      <c r="K271" s="114"/>
      <c r="L271" s="114"/>
      <c r="M271" s="114"/>
      <c r="N271" s="114"/>
      <c r="O271" s="114"/>
      <c r="P271" s="114"/>
      <c r="Q271" s="114"/>
      <c r="R271" s="114"/>
      <c r="S271" s="114"/>
      <c r="T271" s="116"/>
      <c r="U271" s="116"/>
      <c r="V271" s="116"/>
      <c r="W271" s="209"/>
      <c r="X271" s="114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</row>
    <row r="272" spans="1:34" ht="24" customHeight="1" x14ac:dyDescent="0.6">
      <c r="A272" s="114"/>
      <c r="B272" s="114"/>
      <c r="C272" s="114"/>
      <c r="D272" s="114"/>
      <c r="E272" s="114"/>
      <c r="F272" s="115"/>
      <c r="G272" s="138"/>
      <c r="H272" s="114"/>
      <c r="I272" s="114"/>
      <c r="J272" s="114"/>
      <c r="K272" s="114"/>
      <c r="L272" s="114"/>
      <c r="M272" s="114"/>
      <c r="N272" s="114"/>
      <c r="O272" s="114"/>
      <c r="P272" s="114"/>
      <c r="Q272" s="114"/>
      <c r="R272" s="114"/>
      <c r="S272" s="114"/>
      <c r="T272" s="116"/>
      <c r="U272" s="116"/>
      <c r="V272" s="116"/>
      <c r="W272" s="209"/>
      <c r="X272" s="114"/>
      <c r="Y272" s="114"/>
      <c r="Z272" s="114"/>
      <c r="AA272" s="114"/>
      <c r="AB272" s="114"/>
      <c r="AC272" s="114"/>
      <c r="AD272" s="114"/>
      <c r="AE272" s="114"/>
      <c r="AF272" s="114"/>
      <c r="AG272" s="114"/>
      <c r="AH272" s="114"/>
    </row>
    <row r="273" spans="1:34" ht="24" customHeight="1" x14ac:dyDescent="0.6">
      <c r="A273" s="114"/>
      <c r="B273" s="114"/>
      <c r="C273" s="114"/>
      <c r="D273" s="114"/>
      <c r="E273" s="114"/>
      <c r="F273" s="115"/>
      <c r="G273" s="138"/>
      <c r="H273" s="114"/>
      <c r="I273" s="114"/>
      <c r="J273" s="114"/>
      <c r="K273" s="114"/>
      <c r="L273" s="114"/>
      <c r="M273" s="114"/>
      <c r="N273" s="114"/>
      <c r="O273" s="114"/>
      <c r="P273" s="114"/>
      <c r="Q273" s="114"/>
      <c r="R273" s="114"/>
      <c r="S273" s="114"/>
      <c r="T273" s="116"/>
      <c r="U273" s="116"/>
      <c r="V273" s="116"/>
      <c r="W273" s="209"/>
      <c r="X273" s="114"/>
      <c r="Y273" s="114"/>
      <c r="Z273" s="114"/>
      <c r="AA273" s="114"/>
      <c r="AB273" s="114"/>
      <c r="AC273" s="114"/>
      <c r="AD273" s="114"/>
      <c r="AE273" s="114"/>
      <c r="AF273" s="114"/>
      <c r="AG273" s="114"/>
      <c r="AH273" s="114"/>
    </row>
    <row r="274" spans="1:34" ht="24" customHeight="1" x14ac:dyDescent="0.6">
      <c r="A274" s="114"/>
      <c r="B274" s="114"/>
      <c r="C274" s="114"/>
      <c r="D274" s="114"/>
      <c r="E274" s="114"/>
      <c r="F274" s="115"/>
      <c r="G274" s="138"/>
      <c r="H274" s="114"/>
      <c r="I274" s="114"/>
      <c r="J274" s="114"/>
      <c r="K274" s="114"/>
      <c r="L274" s="114"/>
      <c r="M274" s="114"/>
      <c r="N274" s="114"/>
      <c r="O274" s="114"/>
      <c r="P274" s="114"/>
      <c r="Q274" s="114"/>
      <c r="R274" s="114"/>
      <c r="S274" s="114"/>
      <c r="T274" s="116"/>
      <c r="U274" s="116"/>
      <c r="V274" s="116"/>
      <c r="W274" s="209"/>
      <c r="X274" s="114"/>
      <c r="Y274" s="114"/>
      <c r="Z274" s="114"/>
      <c r="AA274" s="114"/>
      <c r="AB274" s="114"/>
      <c r="AC274" s="114"/>
      <c r="AD274" s="114"/>
      <c r="AE274" s="114"/>
      <c r="AF274" s="114"/>
      <c r="AG274" s="114"/>
      <c r="AH274" s="114"/>
    </row>
    <row r="275" spans="1:34" ht="24" customHeight="1" x14ac:dyDescent="0.6">
      <c r="A275" s="114"/>
      <c r="B275" s="114"/>
      <c r="C275" s="114"/>
      <c r="D275" s="114"/>
      <c r="E275" s="114"/>
      <c r="F275" s="115"/>
      <c r="G275" s="138"/>
      <c r="H275" s="114"/>
      <c r="I275" s="114"/>
      <c r="J275" s="114"/>
      <c r="K275" s="114"/>
      <c r="L275" s="114"/>
      <c r="M275" s="114"/>
      <c r="N275" s="114"/>
      <c r="O275" s="114"/>
      <c r="P275" s="114"/>
      <c r="Q275" s="114"/>
      <c r="R275" s="114"/>
      <c r="S275" s="114"/>
      <c r="T275" s="116"/>
      <c r="U275" s="116"/>
      <c r="V275" s="116"/>
      <c r="W275" s="209"/>
      <c r="X275" s="114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</row>
    <row r="276" spans="1:34" ht="24" customHeight="1" x14ac:dyDescent="0.6">
      <c r="A276" s="114"/>
      <c r="B276" s="114"/>
      <c r="C276" s="114"/>
      <c r="D276" s="114"/>
      <c r="E276" s="114"/>
      <c r="F276" s="115"/>
      <c r="G276" s="138"/>
      <c r="H276" s="114"/>
      <c r="I276" s="114"/>
      <c r="J276" s="114"/>
      <c r="K276" s="114"/>
      <c r="L276" s="114"/>
      <c r="M276" s="114"/>
      <c r="N276" s="114"/>
      <c r="O276" s="114"/>
      <c r="P276" s="114"/>
      <c r="Q276" s="114"/>
      <c r="R276" s="114"/>
      <c r="S276" s="114"/>
      <c r="T276" s="116"/>
      <c r="U276" s="116"/>
      <c r="V276" s="116"/>
      <c r="W276" s="209"/>
      <c r="X276" s="114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</row>
    <row r="277" spans="1:34" ht="24" customHeight="1" x14ac:dyDescent="0.6">
      <c r="A277" s="114"/>
      <c r="B277" s="114"/>
      <c r="C277" s="114"/>
      <c r="D277" s="114"/>
      <c r="E277" s="114"/>
      <c r="F277" s="115"/>
      <c r="G277" s="138"/>
      <c r="H277" s="114"/>
      <c r="I277" s="114"/>
      <c r="J277" s="114"/>
      <c r="K277" s="114"/>
      <c r="L277" s="114"/>
      <c r="M277" s="114"/>
      <c r="N277" s="114"/>
      <c r="O277" s="114"/>
      <c r="P277" s="114"/>
      <c r="Q277" s="114"/>
      <c r="R277" s="114"/>
      <c r="S277" s="114"/>
      <c r="T277" s="116"/>
      <c r="U277" s="116"/>
      <c r="V277" s="116"/>
      <c r="W277" s="209"/>
      <c r="X277" s="114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</row>
    <row r="278" spans="1:34" ht="24" customHeight="1" x14ac:dyDescent="0.6">
      <c r="A278" s="114"/>
      <c r="B278" s="114"/>
      <c r="C278" s="114"/>
      <c r="D278" s="114"/>
      <c r="E278" s="114"/>
      <c r="F278" s="115"/>
      <c r="G278" s="138"/>
      <c r="H278" s="114"/>
      <c r="I278" s="114"/>
      <c r="J278" s="114"/>
      <c r="K278" s="114"/>
      <c r="L278" s="114"/>
      <c r="M278" s="114"/>
      <c r="N278" s="114"/>
      <c r="O278" s="114"/>
      <c r="P278" s="114"/>
      <c r="Q278" s="114"/>
      <c r="R278" s="114"/>
      <c r="S278" s="114"/>
      <c r="T278" s="116"/>
      <c r="U278" s="116"/>
      <c r="V278" s="116"/>
      <c r="W278" s="209"/>
      <c r="X278" s="114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</row>
    <row r="279" spans="1:34" ht="24" customHeight="1" x14ac:dyDescent="0.6">
      <c r="A279" s="114"/>
      <c r="B279" s="114"/>
      <c r="C279" s="114"/>
      <c r="D279" s="114"/>
      <c r="E279" s="114"/>
      <c r="F279" s="115"/>
      <c r="G279" s="138"/>
      <c r="H279" s="114"/>
      <c r="I279" s="114"/>
      <c r="J279" s="114"/>
      <c r="K279" s="114"/>
      <c r="L279" s="114"/>
      <c r="M279" s="114"/>
      <c r="N279" s="114"/>
      <c r="O279" s="114"/>
      <c r="P279" s="114"/>
      <c r="Q279" s="114"/>
      <c r="R279" s="114"/>
      <c r="S279" s="114"/>
      <c r="T279" s="116"/>
      <c r="U279" s="116"/>
      <c r="V279" s="116"/>
      <c r="W279" s="209"/>
      <c r="X279" s="114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</row>
    <row r="280" spans="1:34" ht="24" customHeight="1" x14ac:dyDescent="0.6">
      <c r="A280" s="114"/>
      <c r="B280" s="114"/>
      <c r="C280" s="114"/>
      <c r="D280" s="114"/>
      <c r="E280" s="114"/>
      <c r="F280" s="115"/>
      <c r="G280" s="138"/>
      <c r="H280" s="114"/>
      <c r="I280" s="114"/>
      <c r="J280" s="114"/>
      <c r="K280" s="114"/>
      <c r="L280" s="114"/>
      <c r="M280" s="114"/>
      <c r="N280" s="114"/>
      <c r="O280" s="114"/>
      <c r="P280" s="114"/>
      <c r="Q280" s="114"/>
      <c r="R280" s="114"/>
      <c r="S280" s="114"/>
      <c r="T280" s="116"/>
      <c r="U280" s="116"/>
      <c r="V280" s="116"/>
      <c r="W280" s="209"/>
      <c r="X280" s="114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</row>
    <row r="281" spans="1:34" ht="24" customHeight="1" x14ac:dyDescent="0.6">
      <c r="A281" s="114"/>
      <c r="B281" s="114"/>
      <c r="C281" s="114"/>
      <c r="D281" s="114"/>
      <c r="E281" s="114"/>
      <c r="F281" s="115"/>
      <c r="G281" s="138"/>
      <c r="H281" s="114"/>
      <c r="I281" s="114"/>
      <c r="J281" s="114"/>
      <c r="K281" s="114"/>
      <c r="L281" s="114"/>
      <c r="M281" s="114"/>
      <c r="N281" s="114"/>
      <c r="O281" s="114"/>
      <c r="P281" s="114"/>
      <c r="Q281" s="114"/>
      <c r="R281" s="114"/>
      <c r="S281" s="114"/>
      <c r="T281" s="116"/>
      <c r="U281" s="116"/>
      <c r="V281" s="116"/>
      <c r="W281" s="209"/>
      <c r="X281" s="114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</row>
    <row r="282" spans="1:34" ht="24" customHeight="1" x14ac:dyDescent="0.6">
      <c r="A282" s="114"/>
      <c r="B282" s="114"/>
      <c r="C282" s="114"/>
      <c r="D282" s="114"/>
      <c r="E282" s="114"/>
      <c r="F282" s="115"/>
      <c r="G282" s="138"/>
      <c r="H282" s="114"/>
      <c r="I282" s="114"/>
      <c r="J282" s="114"/>
      <c r="K282" s="114"/>
      <c r="L282" s="114"/>
      <c r="M282" s="114"/>
      <c r="N282" s="114"/>
      <c r="O282" s="114"/>
      <c r="P282" s="114"/>
      <c r="Q282" s="114"/>
      <c r="R282" s="114"/>
      <c r="S282" s="114"/>
      <c r="T282" s="116"/>
      <c r="U282" s="116"/>
      <c r="V282" s="116"/>
      <c r="W282" s="209"/>
      <c r="X282" s="114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</row>
    <row r="283" spans="1:34" ht="24" customHeight="1" x14ac:dyDescent="0.6">
      <c r="A283" s="114"/>
      <c r="B283" s="114"/>
      <c r="C283" s="114"/>
      <c r="D283" s="114"/>
      <c r="E283" s="114"/>
      <c r="F283" s="115"/>
      <c r="G283" s="138"/>
      <c r="H283" s="114"/>
      <c r="I283" s="114"/>
      <c r="J283" s="114"/>
      <c r="K283" s="114"/>
      <c r="L283" s="114"/>
      <c r="M283" s="114"/>
      <c r="N283" s="114"/>
      <c r="O283" s="114"/>
      <c r="P283" s="114"/>
      <c r="Q283" s="114"/>
      <c r="R283" s="114"/>
      <c r="S283" s="114"/>
      <c r="T283" s="116"/>
      <c r="U283" s="116"/>
      <c r="V283" s="116"/>
      <c r="W283" s="209"/>
      <c r="X283" s="114"/>
      <c r="Y283" s="114"/>
      <c r="Z283" s="114"/>
      <c r="AA283" s="114"/>
      <c r="AB283" s="114"/>
      <c r="AC283" s="114"/>
      <c r="AD283" s="114"/>
      <c r="AE283" s="114"/>
      <c r="AF283" s="114"/>
      <c r="AG283" s="114"/>
      <c r="AH283" s="114"/>
    </row>
    <row r="284" spans="1:34" ht="24" customHeight="1" x14ac:dyDescent="0.6">
      <c r="A284" s="114"/>
      <c r="B284" s="114"/>
      <c r="C284" s="114"/>
      <c r="D284" s="114"/>
      <c r="E284" s="114"/>
      <c r="F284" s="115"/>
      <c r="G284" s="138"/>
      <c r="H284" s="114"/>
      <c r="I284" s="114"/>
      <c r="J284" s="114"/>
      <c r="K284" s="114"/>
      <c r="L284" s="114"/>
      <c r="M284" s="114"/>
      <c r="N284" s="114"/>
      <c r="O284" s="114"/>
      <c r="P284" s="114"/>
      <c r="Q284" s="114"/>
      <c r="R284" s="114"/>
      <c r="S284" s="114"/>
      <c r="T284" s="116"/>
      <c r="U284" s="116"/>
      <c r="V284" s="116"/>
      <c r="W284" s="209"/>
      <c r="X284" s="114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</row>
    <row r="285" spans="1:34" ht="24" customHeight="1" x14ac:dyDescent="0.6">
      <c r="A285" s="114"/>
      <c r="B285" s="114"/>
      <c r="C285" s="114"/>
      <c r="D285" s="114"/>
      <c r="E285" s="114"/>
      <c r="F285" s="115"/>
      <c r="G285" s="138"/>
      <c r="H285" s="114"/>
      <c r="I285" s="114"/>
      <c r="J285" s="114"/>
      <c r="K285" s="114"/>
      <c r="L285" s="114"/>
      <c r="M285" s="114"/>
      <c r="N285" s="114"/>
      <c r="O285" s="114"/>
      <c r="P285" s="114"/>
      <c r="Q285" s="114"/>
      <c r="R285" s="114"/>
      <c r="S285" s="114"/>
      <c r="T285" s="116"/>
      <c r="U285" s="116"/>
      <c r="V285" s="116"/>
      <c r="W285" s="209"/>
      <c r="X285" s="114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</row>
    <row r="286" spans="1:34" ht="24" customHeight="1" x14ac:dyDescent="0.6">
      <c r="A286" s="114"/>
      <c r="B286" s="114"/>
      <c r="C286" s="114"/>
      <c r="D286" s="114"/>
      <c r="E286" s="114"/>
      <c r="F286" s="115"/>
      <c r="G286" s="138"/>
      <c r="H286" s="114"/>
      <c r="I286" s="114"/>
      <c r="J286" s="114"/>
      <c r="K286" s="114"/>
      <c r="L286" s="114"/>
      <c r="M286" s="114"/>
      <c r="N286" s="114"/>
      <c r="O286" s="114"/>
      <c r="P286" s="114"/>
      <c r="Q286" s="114"/>
      <c r="R286" s="114"/>
      <c r="S286" s="114"/>
      <c r="T286" s="116"/>
      <c r="U286" s="116"/>
      <c r="V286" s="116"/>
      <c r="W286" s="209"/>
      <c r="X286" s="114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</row>
    <row r="287" spans="1:34" ht="24" customHeight="1" x14ac:dyDescent="0.6">
      <c r="A287" s="114"/>
      <c r="B287" s="114"/>
      <c r="C287" s="114"/>
      <c r="D287" s="114"/>
      <c r="E287" s="114"/>
      <c r="F287" s="115"/>
      <c r="G287" s="138"/>
      <c r="H287" s="114"/>
      <c r="I287" s="114"/>
      <c r="J287" s="114"/>
      <c r="K287" s="114"/>
      <c r="L287" s="114"/>
      <c r="M287" s="114"/>
      <c r="N287" s="114"/>
      <c r="O287" s="114"/>
      <c r="P287" s="114"/>
      <c r="Q287" s="114"/>
      <c r="R287" s="114"/>
      <c r="S287" s="114"/>
      <c r="T287" s="116"/>
      <c r="U287" s="116"/>
      <c r="V287" s="116"/>
      <c r="W287" s="209"/>
      <c r="X287" s="114"/>
      <c r="Y287" s="114"/>
      <c r="Z287" s="114"/>
      <c r="AA287" s="114"/>
      <c r="AB287" s="114"/>
      <c r="AC287" s="114"/>
      <c r="AD287" s="114"/>
      <c r="AE287" s="114"/>
      <c r="AF287" s="114"/>
      <c r="AG287" s="114"/>
      <c r="AH287" s="114"/>
    </row>
    <row r="288" spans="1:34" ht="24" customHeight="1" x14ac:dyDescent="0.6">
      <c r="A288" s="114"/>
      <c r="B288" s="114"/>
      <c r="C288" s="114"/>
      <c r="D288" s="114"/>
      <c r="E288" s="114"/>
      <c r="F288" s="115"/>
      <c r="G288" s="138"/>
      <c r="H288" s="114"/>
      <c r="I288" s="114"/>
      <c r="J288" s="114"/>
      <c r="K288" s="114"/>
      <c r="L288" s="114"/>
      <c r="M288" s="114"/>
      <c r="N288" s="114"/>
      <c r="O288" s="114"/>
      <c r="P288" s="114"/>
      <c r="Q288" s="114"/>
      <c r="R288" s="114"/>
      <c r="S288" s="114"/>
      <c r="T288" s="116"/>
      <c r="U288" s="116"/>
      <c r="V288" s="116"/>
      <c r="W288" s="209"/>
      <c r="X288" s="114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</row>
    <row r="289" spans="1:34" ht="24" customHeight="1" x14ac:dyDescent="0.6">
      <c r="A289" s="114"/>
      <c r="B289" s="114"/>
      <c r="C289" s="114"/>
      <c r="D289" s="114"/>
      <c r="E289" s="114"/>
      <c r="F289" s="115"/>
      <c r="G289" s="138"/>
      <c r="H289" s="114"/>
      <c r="I289" s="114"/>
      <c r="J289" s="114"/>
      <c r="K289" s="114"/>
      <c r="L289" s="114"/>
      <c r="M289" s="114"/>
      <c r="N289" s="114"/>
      <c r="O289" s="114"/>
      <c r="P289" s="114"/>
      <c r="Q289" s="114"/>
      <c r="R289" s="114"/>
      <c r="S289" s="114"/>
      <c r="T289" s="116"/>
      <c r="U289" s="116"/>
      <c r="V289" s="116"/>
      <c r="W289" s="209"/>
      <c r="X289" s="114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</row>
    <row r="290" spans="1:34" ht="24" customHeight="1" x14ac:dyDescent="0.6">
      <c r="A290" s="114"/>
      <c r="B290" s="114"/>
      <c r="C290" s="114"/>
      <c r="D290" s="114"/>
      <c r="E290" s="114"/>
      <c r="F290" s="115"/>
      <c r="G290" s="138"/>
      <c r="H290" s="114"/>
      <c r="I290" s="114"/>
      <c r="J290" s="114"/>
      <c r="K290" s="114"/>
      <c r="L290" s="114"/>
      <c r="M290" s="114"/>
      <c r="N290" s="114"/>
      <c r="O290" s="114"/>
      <c r="P290" s="114"/>
      <c r="Q290" s="114"/>
      <c r="R290" s="114"/>
      <c r="S290" s="114"/>
      <c r="T290" s="116"/>
      <c r="U290" s="116"/>
      <c r="V290" s="116"/>
      <c r="W290" s="209"/>
      <c r="X290" s="114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</row>
    <row r="291" spans="1:34" ht="24" customHeight="1" x14ac:dyDescent="0.6">
      <c r="A291" s="114"/>
      <c r="B291" s="114"/>
      <c r="C291" s="114"/>
      <c r="D291" s="114"/>
      <c r="E291" s="114"/>
      <c r="F291" s="115"/>
      <c r="G291" s="138"/>
      <c r="H291" s="114"/>
      <c r="I291" s="114"/>
      <c r="J291" s="114"/>
      <c r="K291" s="114"/>
      <c r="L291" s="114"/>
      <c r="M291" s="114"/>
      <c r="N291" s="114"/>
      <c r="O291" s="114"/>
      <c r="P291" s="114"/>
      <c r="Q291" s="114"/>
      <c r="R291" s="114"/>
      <c r="S291" s="114"/>
      <c r="T291" s="116"/>
      <c r="U291" s="116"/>
      <c r="V291" s="116"/>
      <c r="W291" s="209"/>
      <c r="X291" s="114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</row>
    <row r="292" spans="1:34" ht="24" customHeight="1" x14ac:dyDescent="0.6">
      <c r="A292" s="114"/>
      <c r="B292" s="114"/>
      <c r="C292" s="114"/>
      <c r="D292" s="114"/>
      <c r="E292" s="114"/>
      <c r="F292" s="115"/>
      <c r="G292" s="138"/>
      <c r="H292" s="114"/>
      <c r="I292" s="114"/>
      <c r="J292" s="114"/>
      <c r="K292" s="114"/>
      <c r="L292" s="114"/>
      <c r="M292" s="114"/>
      <c r="N292" s="114"/>
      <c r="O292" s="114"/>
      <c r="P292" s="114"/>
      <c r="Q292" s="114"/>
      <c r="R292" s="114"/>
      <c r="S292" s="114"/>
      <c r="T292" s="116"/>
      <c r="U292" s="116"/>
      <c r="V292" s="116"/>
      <c r="W292" s="209"/>
      <c r="X292" s="114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</row>
    <row r="293" spans="1:34" ht="24" customHeight="1" x14ac:dyDescent="0.6">
      <c r="A293" s="114"/>
      <c r="B293" s="114"/>
      <c r="C293" s="114"/>
      <c r="D293" s="114"/>
      <c r="E293" s="114"/>
      <c r="F293" s="115"/>
      <c r="G293" s="138"/>
      <c r="H293" s="114"/>
      <c r="I293" s="114"/>
      <c r="J293" s="114"/>
      <c r="K293" s="114"/>
      <c r="L293" s="114"/>
      <c r="M293" s="114"/>
      <c r="N293" s="114"/>
      <c r="O293" s="114"/>
      <c r="P293" s="114"/>
      <c r="Q293" s="114"/>
      <c r="R293" s="114"/>
      <c r="S293" s="114"/>
      <c r="T293" s="116"/>
      <c r="U293" s="116"/>
      <c r="V293" s="116"/>
      <c r="W293" s="209"/>
      <c r="X293" s="114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</row>
    <row r="294" spans="1:34" ht="24" customHeight="1" x14ac:dyDescent="0.6">
      <c r="A294" s="114"/>
      <c r="B294" s="114"/>
      <c r="C294" s="114"/>
      <c r="D294" s="114"/>
      <c r="E294" s="114"/>
      <c r="F294" s="115"/>
      <c r="G294" s="138"/>
      <c r="H294" s="114"/>
      <c r="I294" s="114"/>
      <c r="J294" s="114"/>
      <c r="K294" s="114"/>
      <c r="L294" s="114"/>
      <c r="M294" s="114"/>
      <c r="N294" s="114"/>
      <c r="O294" s="114"/>
      <c r="P294" s="114"/>
      <c r="Q294" s="114"/>
      <c r="R294" s="114"/>
      <c r="S294" s="114"/>
      <c r="T294" s="116"/>
      <c r="U294" s="116"/>
      <c r="V294" s="116"/>
      <c r="W294" s="209"/>
      <c r="X294" s="114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</row>
    <row r="295" spans="1:34" ht="24" customHeight="1" x14ac:dyDescent="0.6">
      <c r="A295" s="114"/>
      <c r="B295" s="114"/>
      <c r="C295" s="114"/>
      <c r="D295" s="114"/>
      <c r="E295" s="114"/>
      <c r="F295" s="115"/>
      <c r="G295" s="138"/>
      <c r="H295" s="114"/>
      <c r="I295" s="114"/>
      <c r="J295" s="114"/>
      <c r="K295" s="114"/>
      <c r="L295" s="114"/>
      <c r="M295" s="114"/>
      <c r="N295" s="114"/>
      <c r="O295" s="114"/>
      <c r="P295" s="114"/>
      <c r="Q295" s="114"/>
      <c r="R295" s="114"/>
      <c r="S295" s="114"/>
      <c r="T295" s="116"/>
      <c r="U295" s="116"/>
      <c r="V295" s="116"/>
      <c r="W295" s="209"/>
      <c r="X295" s="114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</row>
    <row r="296" spans="1:34" ht="24" customHeight="1" x14ac:dyDescent="0.6">
      <c r="A296" s="114"/>
      <c r="B296" s="114"/>
      <c r="C296" s="114"/>
      <c r="D296" s="114"/>
      <c r="E296" s="114"/>
      <c r="F296" s="115"/>
      <c r="G296" s="138"/>
      <c r="H296" s="114"/>
      <c r="I296" s="114"/>
      <c r="J296" s="114"/>
      <c r="K296" s="114"/>
      <c r="L296" s="114"/>
      <c r="M296" s="114"/>
      <c r="N296" s="114"/>
      <c r="O296" s="114"/>
      <c r="P296" s="114"/>
      <c r="Q296" s="114"/>
      <c r="R296" s="114"/>
      <c r="S296" s="114"/>
      <c r="T296" s="116"/>
      <c r="U296" s="116"/>
      <c r="V296" s="116"/>
      <c r="W296" s="209"/>
      <c r="X296" s="114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</row>
    <row r="297" spans="1:34" ht="24" customHeight="1" x14ac:dyDescent="0.6">
      <c r="A297" s="114"/>
      <c r="B297" s="114"/>
      <c r="C297" s="114"/>
      <c r="D297" s="114"/>
      <c r="E297" s="114"/>
      <c r="F297" s="115"/>
      <c r="G297" s="138"/>
      <c r="H297" s="114"/>
      <c r="I297" s="114"/>
      <c r="J297" s="114"/>
      <c r="K297" s="114"/>
      <c r="L297" s="114"/>
      <c r="M297" s="114"/>
      <c r="N297" s="114"/>
      <c r="O297" s="114"/>
      <c r="P297" s="114"/>
      <c r="Q297" s="114"/>
      <c r="R297" s="114"/>
      <c r="S297" s="114"/>
      <c r="T297" s="116"/>
      <c r="U297" s="116"/>
      <c r="V297" s="116"/>
      <c r="W297" s="209"/>
      <c r="X297" s="114"/>
      <c r="Y297" s="114"/>
      <c r="Z297" s="114"/>
      <c r="AA297" s="114"/>
      <c r="AB297" s="114"/>
      <c r="AC297" s="114"/>
      <c r="AD297" s="114"/>
      <c r="AE297" s="114"/>
      <c r="AF297" s="114"/>
      <c r="AG297" s="114"/>
      <c r="AH297" s="114"/>
    </row>
    <row r="298" spans="1:34" ht="24" customHeight="1" x14ac:dyDescent="0.6">
      <c r="A298" s="114"/>
      <c r="B298" s="114"/>
      <c r="C298" s="114"/>
      <c r="D298" s="114"/>
      <c r="E298" s="114"/>
      <c r="F298" s="115"/>
      <c r="G298" s="138"/>
      <c r="H298" s="114"/>
      <c r="I298" s="114"/>
      <c r="J298" s="114"/>
      <c r="K298" s="114"/>
      <c r="L298" s="114"/>
      <c r="M298" s="114"/>
      <c r="N298" s="114"/>
      <c r="O298" s="114"/>
      <c r="P298" s="114"/>
      <c r="Q298" s="114"/>
      <c r="R298" s="114"/>
      <c r="S298" s="114"/>
      <c r="T298" s="116"/>
      <c r="U298" s="116"/>
      <c r="V298" s="116"/>
      <c r="W298" s="209"/>
      <c r="X298" s="114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</row>
    <row r="299" spans="1:34" ht="24" customHeight="1" x14ac:dyDescent="0.6">
      <c r="A299" s="114"/>
      <c r="B299" s="114"/>
      <c r="C299" s="114"/>
      <c r="D299" s="114"/>
      <c r="E299" s="114"/>
      <c r="F299" s="115"/>
      <c r="G299" s="138"/>
      <c r="H299" s="114"/>
      <c r="I299" s="114"/>
      <c r="J299" s="114"/>
      <c r="K299" s="114"/>
      <c r="L299" s="114"/>
      <c r="M299" s="114"/>
      <c r="N299" s="114"/>
      <c r="O299" s="114"/>
      <c r="P299" s="114"/>
      <c r="Q299" s="114"/>
      <c r="R299" s="114"/>
      <c r="S299" s="114"/>
      <c r="T299" s="116"/>
      <c r="U299" s="116"/>
      <c r="V299" s="116"/>
      <c r="W299" s="209"/>
      <c r="X299" s="114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</row>
    <row r="300" spans="1:34" ht="24" customHeight="1" x14ac:dyDescent="0.6">
      <c r="A300" s="114"/>
      <c r="B300" s="114"/>
      <c r="C300" s="114"/>
      <c r="D300" s="114"/>
      <c r="E300" s="114"/>
      <c r="F300" s="115"/>
      <c r="G300" s="138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6"/>
      <c r="U300" s="116"/>
      <c r="V300" s="116"/>
      <c r="W300" s="209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</row>
    <row r="301" spans="1:34" ht="24" customHeight="1" x14ac:dyDescent="0.6">
      <c r="A301" s="114"/>
      <c r="B301" s="114"/>
      <c r="C301" s="114"/>
      <c r="D301" s="114"/>
      <c r="E301" s="114"/>
      <c r="F301" s="115"/>
      <c r="G301" s="138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6"/>
      <c r="U301" s="116"/>
      <c r="V301" s="116"/>
      <c r="W301" s="209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</row>
    <row r="302" spans="1:34" ht="24" customHeight="1" x14ac:dyDescent="0.6">
      <c r="A302" s="114"/>
      <c r="B302" s="114"/>
      <c r="C302" s="114"/>
      <c r="D302" s="114"/>
      <c r="E302" s="114"/>
      <c r="F302" s="115"/>
      <c r="G302" s="138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6"/>
      <c r="U302" s="116"/>
      <c r="V302" s="116"/>
      <c r="W302" s="209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</row>
    <row r="303" spans="1:34" ht="24" customHeight="1" x14ac:dyDescent="0.6">
      <c r="A303" s="114"/>
      <c r="B303" s="114"/>
      <c r="C303" s="114"/>
      <c r="D303" s="114"/>
      <c r="E303" s="114"/>
      <c r="F303" s="115"/>
      <c r="G303" s="138"/>
      <c r="H303" s="114"/>
      <c r="I303" s="114"/>
      <c r="J303" s="114"/>
      <c r="K303" s="114"/>
      <c r="L303" s="114"/>
      <c r="M303" s="114"/>
      <c r="N303" s="114"/>
      <c r="O303" s="114"/>
      <c r="P303" s="114"/>
      <c r="Q303" s="114"/>
      <c r="R303" s="114"/>
      <c r="S303" s="114"/>
      <c r="T303" s="116"/>
      <c r="U303" s="116"/>
      <c r="V303" s="116"/>
      <c r="W303" s="209"/>
      <c r="X303" s="114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</row>
    <row r="304" spans="1:34" ht="24" customHeight="1" x14ac:dyDescent="0.6">
      <c r="A304" s="114"/>
      <c r="B304" s="114"/>
      <c r="C304" s="114"/>
      <c r="D304" s="114"/>
      <c r="E304" s="114"/>
      <c r="F304" s="115"/>
      <c r="G304" s="138"/>
      <c r="H304" s="114"/>
      <c r="I304" s="114"/>
      <c r="J304" s="114"/>
      <c r="K304" s="114"/>
      <c r="L304" s="114"/>
      <c r="M304" s="114"/>
      <c r="N304" s="114"/>
      <c r="O304" s="114"/>
      <c r="P304" s="114"/>
      <c r="Q304" s="114"/>
      <c r="R304" s="114"/>
      <c r="S304" s="114"/>
      <c r="T304" s="116"/>
      <c r="U304" s="116"/>
      <c r="V304" s="116"/>
      <c r="W304" s="209"/>
      <c r="X304" s="114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</row>
    <row r="305" spans="1:34" ht="24" customHeight="1" x14ac:dyDescent="0.6">
      <c r="A305" s="114"/>
      <c r="B305" s="114"/>
      <c r="C305" s="114"/>
      <c r="D305" s="114"/>
      <c r="E305" s="114"/>
      <c r="F305" s="115"/>
      <c r="G305" s="138"/>
      <c r="H305" s="114"/>
      <c r="I305" s="114"/>
      <c r="J305" s="114"/>
      <c r="K305" s="114"/>
      <c r="L305" s="114"/>
      <c r="M305" s="114"/>
      <c r="N305" s="114"/>
      <c r="O305" s="114"/>
      <c r="P305" s="114"/>
      <c r="Q305" s="114"/>
      <c r="R305" s="114"/>
      <c r="S305" s="114"/>
      <c r="T305" s="116"/>
      <c r="U305" s="116"/>
      <c r="V305" s="116"/>
      <c r="W305" s="209"/>
      <c r="X305" s="114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</row>
    <row r="306" spans="1:34" ht="24" customHeight="1" x14ac:dyDescent="0.6">
      <c r="A306" s="114"/>
      <c r="B306" s="114"/>
      <c r="C306" s="114"/>
      <c r="D306" s="114"/>
      <c r="E306" s="114"/>
      <c r="F306" s="115"/>
      <c r="G306" s="138"/>
      <c r="H306" s="114"/>
      <c r="I306" s="114"/>
      <c r="J306" s="114"/>
      <c r="K306" s="114"/>
      <c r="L306" s="114"/>
      <c r="M306" s="114"/>
      <c r="N306" s="114"/>
      <c r="O306" s="114"/>
      <c r="P306" s="114"/>
      <c r="Q306" s="114"/>
      <c r="R306" s="114"/>
      <c r="S306" s="114"/>
      <c r="T306" s="116"/>
      <c r="U306" s="116"/>
      <c r="V306" s="116"/>
      <c r="W306" s="209"/>
      <c r="X306" s="114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</row>
    <row r="307" spans="1:34" ht="24" customHeight="1" x14ac:dyDescent="0.6">
      <c r="A307" s="114"/>
      <c r="B307" s="114"/>
      <c r="C307" s="114"/>
      <c r="D307" s="114"/>
      <c r="E307" s="114"/>
      <c r="F307" s="115"/>
      <c r="G307" s="138"/>
      <c r="H307" s="114"/>
      <c r="I307" s="114"/>
      <c r="J307" s="114"/>
      <c r="K307" s="114"/>
      <c r="L307" s="114"/>
      <c r="M307" s="114"/>
      <c r="N307" s="114"/>
      <c r="O307" s="114"/>
      <c r="P307" s="114"/>
      <c r="Q307" s="114"/>
      <c r="R307" s="114"/>
      <c r="S307" s="114"/>
      <c r="T307" s="116"/>
      <c r="U307" s="116"/>
      <c r="V307" s="116"/>
      <c r="W307" s="209"/>
      <c r="X307" s="114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</row>
    <row r="308" spans="1:34" ht="24" customHeight="1" x14ac:dyDescent="0.6">
      <c r="A308" s="114"/>
      <c r="B308" s="114"/>
      <c r="C308" s="114"/>
      <c r="D308" s="114"/>
      <c r="E308" s="114"/>
      <c r="F308" s="115"/>
      <c r="G308" s="138"/>
      <c r="H308" s="114"/>
      <c r="I308" s="114"/>
      <c r="J308" s="114"/>
      <c r="K308" s="114"/>
      <c r="L308" s="114"/>
      <c r="M308" s="114"/>
      <c r="N308" s="114"/>
      <c r="O308" s="114"/>
      <c r="P308" s="114"/>
      <c r="Q308" s="114"/>
      <c r="R308" s="114"/>
      <c r="S308" s="114"/>
      <c r="T308" s="116"/>
      <c r="U308" s="116"/>
      <c r="V308" s="116"/>
      <c r="W308" s="209"/>
      <c r="X308" s="114"/>
      <c r="Y308" s="114"/>
      <c r="Z308" s="114"/>
      <c r="AA308" s="114"/>
      <c r="AB308" s="114"/>
      <c r="AC308" s="114"/>
      <c r="AD308" s="114"/>
      <c r="AE308" s="114"/>
      <c r="AF308" s="114"/>
      <c r="AG308" s="114"/>
      <c r="AH308" s="114"/>
    </row>
    <row r="309" spans="1:34" ht="24" customHeight="1" x14ac:dyDescent="0.6">
      <c r="A309" s="114"/>
      <c r="B309" s="114"/>
      <c r="C309" s="114"/>
      <c r="D309" s="114"/>
      <c r="E309" s="114"/>
      <c r="F309" s="115"/>
      <c r="G309" s="138"/>
      <c r="H309" s="114"/>
      <c r="I309" s="114"/>
      <c r="J309" s="114"/>
      <c r="K309" s="114"/>
      <c r="L309" s="114"/>
      <c r="M309" s="114"/>
      <c r="N309" s="114"/>
      <c r="O309" s="114"/>
      <c r="P309" s="114"/>
      <c r="Q309" s="114"/>
      <c r="R309" s="114"/>
      <c r="S309" s="114"/>
      <c r="T309" s="116"/>
      <c r="U309" s="116"/>
      <c r="V309" s="116"/>
      <c r="W309" s="209"/>
      <c r="X309" s="114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/>
    </row>
    <row r="310" spans="1:34" ht="24" customHeight="1" x14ac:dyDescent="0.6">
      <c r="A310" s="114"/>
      <c r="B310" s="114"/>
      <c r="C310" s="114"/>
      <c r="D310" s="114"/>
      <c r="E310" s="114"/>
      <c r="F310" s="115"/>
      <c r="G310" s="138"/>
      <c r="H310" s="114"/>
      <c r="I310" s="114"/>
      <c r="J310" s="114"/>
      <c r="K310" s="114"/>
      <c r="L310" s="114"/>
      <c r="M310" s="114"/>
      <c r="N310" s="114"/>
      <c r="O310" s="114"/>
      <c r="P310" s="114"/>
      <c r="Q310" s="114"/>
      <c r="R310" s="114"/>
      <c r="S310" s="114"/>
      <c r="T310" s="116"/>
      <c r="U310" s="116"/>
      <c r="V310" s="116"/>
      <c r="W310" s="209"/>
      <c r="X310" s="114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</row>
    <row r="311" spans="1:34" ht="24" customHeight="1" x14ac:dyDescent="0.6">
      <c r="A311" s="114"/>
      <c r="B311" s="114"/>
      <c r="C311" s="114"/>
      <c r="D311" s="114"/>
      <c r="E311" s="114"/>
      <c r="F311" s="115"/>
      <c r="G311" s="138"/>
      <c r="H311" s="114"/>
      <c r="I311" s="114"/>
      <c r="J311" s="114"/>
      <c r="K311" s="114"/>
      <c r="L311" s="114"/>
      <c r="M311" s="114"/>
      <c r="N311" s="114"/>
      <c r="O311" s="114"/>
      <c r="P311" s="114"/>
      <c r="Q311" s="114"/>
      <c r="R311" s="114"/>
      <c r="S311" s="114"/>
      <c r="T311" s="116"/>
      <c r="U311" s="116"/>
      <c r="V311" s="116"/>
      <c r="W311" s="209"/>
      <c r="X311" s="114"/>
      <c r="Y311" s="114"/>
      <c r="Z311" s="114"/>
      <c r="AA311" s="114"/>
      <c r="AB311" s="114"/>
      <c r="AC311" s="114"/>
      <c r="AD311" s="114"/>
      <c r="AE311" s="114"/>
      <c r="AF311" s="114"/>
      <c r="AG311" s="114"/>
      <c r="AH311" s="114"/>
    </row>
    <row r="312" spans="1:34" ht="24" customHeight="1" x14ac:dyDescent="0.6">
      <c r="A312" s="114"/>
      <c r="B312" s="114"/>
      <c r="C312" s="114"/>
      <c r="D312" s="114"/>
      <c r="E312" s="114"/>
      <c r="F312" s="115"/>
      <c r="G312" s="138"/>
      <c r="H312" s="114"/>
      <c r="I312" s="114"/>
      <c r="J312" s="114"/>
      <c r="K312" s="114"/>
      <c r="L312" s="114"/>
      <c r="M312" s="114"/>
      <c r="N312" s="114"/>
      <c r="O312" s="114"/>
      <c r="P312" s="114"/>
      <c r="Q312" s="114"/>
      <c r="R312" s="114"/>
      <c r="S312" s="114"/>
      <c r="T312" s="116"/>
      <c r="U312" s="116"/>
      <c r="V312" s="116"/>
      <c r="W312" s="209"/>
      <c r="X312" s="114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</row>
    <row r="313" spans="1:34" ht="24" customHeight="1" x14ac:dyDescent="0.6">
      <c r="A313" s="114"/>
      <c r="B313" s="114"/>
      <c r="C313" s="114"/>
      <c r="D313" s="114"/>
      <c r="E313" s="114"/>
      <c r="F313" s="115"/>
      <c r="G313" s="138"/>
      <c r="H313" s="114"/>
      <c r="I313" s="114"/>
      <c r="J313" s="114"/>
      <c r="K313" s="114"/>
      <c r="L313" s="114"/>
      <c r="M313" s="114"/>
      <c r="N313" s="114"/>
      <c r="O313" s="114"/>
      <c r="P313" s="114"/>
      <c r="Q313" s="114"/>
      <c r="R313" s="114"/>
      <c r="S313" s="114"/>
      <c r="T313" s="116"/>
      <c r="U313" s="116"/>
      <c r="V313" s="116"/>
      <c r="W313" s="209"/>
      <c r="X313" s="114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</row>
    <row r="314" spans="1:34" ht="24" customHeight="1" x14ac:dyDescent="0.6">
      <c r="A314" s="114"/>
      <c r="B314" s="114"/>
      <c r="C314" s="114"/>
      <c r="D314" s="114"/>
      <c r="E314" s="114"/>
      <c r="F314" s="115"/>
      <c r="G314" s="138"/>
      <c r="H314" s="114"/>
      <c r="I314" s="114"/>
      <c r="J314" s="114"/>
      <c r="K314" s="114"/>
      <c r="L314" s="114"/>
      <c r="M314" s="114"/>
      <c r="N314" s="114"/>
      <c r="O314" s="114"/>
      <c r="P314" s="114"/>
      <c r="Q314" s="114"/>
      <c r="R314" s="114"/>
      <c r="S314" s="114"/>
      <c r="T314" s="116"/>
      <c r="U314" s="116"/>
      <c r="V314" s="116"/>
      <c r="W314" s="209"/>
      <c r="X314" s="114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</row>
    <row r="315" spans="1:34" ht="24" customHeight="1" x14ac:dyDescent="0.6">
      <c r="A315" s="114"/>
      <c r="B315" s="114"/>
      <c r="C315" s="114"/>
      <c r="D315" s="114"/>
      <c r="E315" s="114"/>
      <c r="F315" s="115"/>
      <c r="G315" s="138"/>
      <c r="H315" s="114"/>
      <c r="I315" s="114"/>
      <c r="J315" s="114"/>
      <c r="K315" s="114"/>
      <c r="L315" s="114"/>
      <c r="M315" s="114"/>
      <c r="N315" s="114"/>
      <c r="O315" s="114"/>
      <c r="P315" s="114"/>
      <c r="Q315" s="114"/>
      <c r="R315" s="114"/>
      <c r="S315" s="114"/>
      <c r="T315" s="116"/>
      <c r="U315" s="116"/>
      <c r="V315" s="116"/>
      <c r="W315" s="209"/>
      <c r="X315" s="114"/>
      <c r="Y315" s="114"/>
      <c r="Z315" s="114"/>
      <c r="AA315" s="114"/>
      <c r="AB315" s="114"/>
      <c r="AC315" s="114"/>
      <c r="AD315" s="114"/>
      <c r="AE315" s="114"/>
      <c r="AF315" s="114"/>
      <c r="AG315" s="114"/>
      <c r="AH315" s="114"/>
    </row>
    <row r="316" spans="1:34" ht="24" customHeight="1" x14ac:dyDescent="0.6">
      <c r="A316" s="114"/>
      <c r="B316" s="114"/>
      <c r="C316" s="114"/>
      <c r="D316" s="114"/>
      <c r="E316" s="114"/>
      <c r="F316" s="115"/>
      <c r="G316" s="138"/>
      <c r="H316" s="114"/>
      <c r="I316" s="114"/>
      <c r="J316" s="114"/>
      <c r="K316" s="114"/>
      <c r="L316" s="114"/>
      <c r="M316" s="114"/>
      <c r="N316" s="114"/>
      <c r="O316" s="114"/>
      <c r="P316" s="114"/>
      <c r="Q316" s="114"/>
      <c r="R316" s="114"/>
      <c r="S316" s="114"/>
      <c r="T316" s="116"/>
      <c r="U316" s="116"/>
      <c r="V316" s="116"/>
      <c r="W316" s="209"/>
      <c r="X316" s="114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</row>
    <row r="317" spans="1:34" ht="24" customHeight="1" x14ac:dyDescent="0.6">
      <c r="A317" s="114"/>
      <c r="B317" s="114"/>
      <c r="C317" s="114"/>
      <c r="D317" s="114"/>
      <c r="E317" s="114"/>
      <c r="F317" s="115"/>
      <c r="G317" s="138"/>
      <c r="H317" s="114"/>
      <c r="I317" s="114"/>
      <c r="J317" s="114"/>
      <c r="K317" s="114"/>
      <c r="L317" s="114"/>
      <c r="M317" s="114"/>
      <c r="N317" s="114"/>
      <c r="O317" s="114"/>
      <c r="P317" s="114"/>
      <c r="Q317" s="114"/>
      <c r="R317" s="114"/>
      <c r="S317" s="114"/>
      <c r="T317" s="116"/>
      <c r="U317" s="116"/>
      <c r="V317" s="116"/>
      <c r="W317" s="209"/>
      <c r="X317" s="114"/>
      <c r="Y317" s="114"/>
      <c r="Z317" s="114"/>
      <c r="AA317" s="114"/>
      <c r="AB317" s="114"/>
      <c r="AC317" s="114"/>
      <c r="AD317" s="114"/>
      <c r="AE317" s="114"/>
      <c r="AF317" s="114"/>
      <c r="AG317" s="114"/>
      <c r="AH317" s="114"/>
    </row>
    <row r="318" spans="1:34" ht="24" customHeight="1" x14ac:dyDescent="0.6">
      <c r="A318" s="114"/>
      <c r="B318" s="114"/>
      <c r="C318" s="114"/>
      <c r="D318" s="114"/>
      <c r="E318" s="114"/>
      <c r="F318" s="115"/>
      <c r="G318" s="138"/>
      <c r="H318" s="114"/>
      <c r="I318" s="114"/>
      <c r="J318" s="114"/>
      <c r="K318" s="114"/>
      <c r="L318" s="114"/>
      <c r="M318" s="114"/>
      <c r="N318" s="114"/>
      <c r="O318" s="114"/>
      <c r="P318" s="114"/>
      <c r="Q318" s="114"/>
      <c r="R318" s="114"/>
      <c r="S318" s="114"/>
      <c r="T318" s="116"/>
      <c r="U318" s="116"/>
      <c r="V318" s="116"/>
      <c r="W318" s="209"/>
      <c r="X318" s="114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</row>
    <row r="319" spans="1:34" ht="24" customHeight="1" x14ac:dyDescent="0.6">
      <c r="A319" s="114"/>
      <c r="B319" s="114"/>
      <c r="C319" s="114"/>
      <c r="D319" s="114"/>
      <c r="E319" s="114"/>
      <c r="F319" s="115"/>
      <c r="G319" s="138"/>
      <c r="H319" s="114"/>
      <c r="I319" s="114"/>
      <c r="J319" s="114"/>
      <c r="K319" s="114"/>
      <c r="L319" s="114"/>
      <c r="M319" s="114"/>
      <c r="N319" s="114"/>
      <c r="O319" s="114"/>
      <c r="P319" s="114"/>
      <c r="Q319" s="114"/>
      <c r="R319" s="114"/>
      <c r="S319" s="114"/>
      <c r="T319" s="116"/>
      <c r="U319" s="116"/>
      <c r="V319" s="116"/>
      <c r="W319" s="209"/>
      <c r="X319" s="114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</row>
    <row r="320" spans="1:34" ht="24" customHeight="1" x14ac:dyDescent="0.6">
      <c r="A320" s="114"/>
      <c r="B320" s="114"/>
      <c r="C320" s="114"/>
      <c r="D320" s="114"/>
      <c r="E320" s="114"/>
      <c r="F320" s="115"/>
      <c r="G320" s="138"/>
      <c r="H320" s="114"/>
      <c r="I320" s="114"/>
      <c r="J320" s="114"/>
      <c r="K320" s="114"/>
      <c r="L320" s="114"/>
      <c r="M320" s="114"/>
      <c r="N320" s="114"/>
      <c r="O320" s="114"/>
      <c r="P320" s="114"/>
      <c r="Q320" s="114"/>
      <c r="R320" s="114"/>
      <c r="S320" s="114"/>
      <c r="T320" s="116"/>
      <c r="U320" s="116"/>
      <c r="V320" s="116"/>
      <c r="W320" s="209"/>
      <c r="X320" s="114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</row>
    <row r="321" spans="1:34" ht="24" customHeight="1" x14ac:dyDescent="0.6">
      <c r="A321" s="114"/>
      <c r="B321" s="114"/>
      <c r="C321" s="114"/>
      <c r="D321" s="114"/>
      <c r="E321" s="114"/>
      <c r="F321" s="115"/>
      <c r="G321" s="138"/>
      <c r="H321" s="114"/>
      <c r="I321" s="114"/>
      <c r="J321" s="114"/>
      <c r="K321" s="114"/>
      <c r="L321" s="114"/>
      <c r="M321" s="114"/>
      <c r="N321" s="114"/>
      <c r="O321" s="114"/>
      <c r="P321" s="114"/>
      <c r="Q321" s="114"/>
      <c r="R321" s="114"/>
      <c r="S321" s="114"/>
      <c r="T321" s="116"/>
      <c r="U321" s="116"/>
      <c r="V321" s="116"/>
      <c r="W321" s="209"/>
      <c r="X321" s="114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</row>
    <row r="322" spans="1:34" ht="24" customHeight="1" x14ac:dyDescent="0.6">
      <c r="A322" s="114"/>
      <c r="B322" s="114"/>
      <c r="C322" s="114"/>
      <c r="D322" s="114"/>
      <c r="E322" s="114"/>
      <c r="F322" s="115"/>
      <c r="G322" s="138"/>
      <c r="H322" s="114"/>
      <c r="I322" s="114"/>
      <c r="J322" s="114"/>
      <c r="K322" s="114"/>
      <c r="L322" s="114"/>
      <c r="M322" s="114"/>
      <c r="N322" s="114"/>
      <c r="O322" s="114"/>
      <c r="P322" s="114"/>
      <c r="Q322" s="114"/>
      <c r="R322" s="114"/>
      <c r="S322" s="114"/>
      <c r="T322" s="116"/>
      <c r="U322" s="116"/>
      <c r="V322" s="116"/>
      <c r="W322" s="209"/>
      <c r="X322" s="114"/>
      <c r="Y322" s="114"/>
      <c r="Z322" s="114"/>
      <c r="AA322" s="114"/>
      <c r="AB322" s="114"/>
      <c r="AC322" s="114"/>
      <c r="AD322" s="114"/>
      <c r="AE322" s="114"/>
      <c r="AF322" s="114"/>
      <c r="AG322" s="114"/>
      <c r="AH322" s="114"/>
    </row>
    <row r="323" spans="1:34" ht="24" customHeight="1" x14ac:dyDescent="0.6">
      <c r="A323" s="114"/>
      <c r="B323" s="114"/>
      <c r="C323" s="114"/>
      <c r="D323" s="114"/>
      <c r="E323" s="114"/>
      <c r="F323" s="115"/>
      <c r="G323" s="138"/>
      <c r="H323" s="114"/>
      <c r="I323" s="114"/>
      <c r="J323" s="114"/>
      <c r="K323" s="114"/>
      <c r="L323" s="114"/>
      <c r="M323" s="114"/>
      <c r="N323" s="114"/>
      <c r="O323" s="114"/>
      <c r="P323" s="114"/>
      <c r="Q323" s="114"/>
      <c r="R323" s="114"/>
      <c r="S323" s="114"/>
      <c r="T323" s="116"/>
      <c r="U323" s="116"/>
      <c r="V323" s="116"/>
      <c r="W323" s="209"/>
      <c r="X323" s="114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</row>
    <row r="324" spans="1:34" ht="24" customHeight="1" x14ac:dyDescent="0.6">
      <c r="A324" s="114"/>
      <c r="B324" s="114"/>
      <c r="C324" s="114"/>
      <c r="D324" s="114"/>
      <c r="E324" s="114"/>
      <c r="F324" s="115"/>
      <c r="G324" s="138"/>
      <c r="H324" s="114"/>
      <c r="I324" s="114"/>
      <c r="J324" s="114"/>
      <c r="K324" s="114"/>
      <c r="L324" s="114"/>
      <c r="M324" s="114"/>
      <c r="N324" s="114"/>
      <c r="O324" s="114"/>
      <c r="P324" s="114"/>
      <c r="Q324" s="114"/>
      <c r="R324" s="114"/>
      <c r="S324" s="114"/>
      <c r="T324" s="116"/>
      <c r="U324" s="116"/>
      <c r="V324" s="116"/>
      <c r="W324" s="209"/>
      <c r="X324" s="114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</row>
    <row r="325" spans="1:34" ht="24" customHeight="1" x14ac:dyDescent="0.6">
      <c r="A325" s="114"/>
      <c r="B325" s="114"/>
      <c r="C325" s="114"/>
      <c r="D325" s="114"/>
      <c r="E325" s="114"/>
      <c r="F325" s="115"/>
      <c r="G325" s="138"/>
      <c r="H325" s="114"/>
      <c r="I325" s="114"/>
      <c r="J325" s="114"/>
      <c r="K325" s="114"/>
      <c r="L325" s="114"/>
      <c r="M325" s="114"/>
      <c r="N325" s="114"/>
      <c r="O325" s="114"/>
      <c r="P325" s="114"/>
      <c r="Q325" s="114"/>
      <c r="R325" s="114"/>
      <c r="S325" s="114"/>
      <c r="T325" s="116"/>
      <c r="U325" s="116"/>
      <c r="V325" s="116"/>
      <c r="W325" s="209"/>
      <c r="X325" s="114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</row>
    <row r="326" spans="1:34" ht="24" customHeight="1" x14ac:dyDescent="0.6">
      <c r="A326" s="114"/>
      <c r="B326" s="114"/>
      <c r="C326" s="114"/>
      <c r="D326" s="114"/>
      <c r="E326" s="114"/>
      <c r="F326" s="115"/>
      <c r="G326" s="138"/>
      <c r="H326" s="114"/>
      <c r="I326" s="114"/>
      <c r="J326" s="114"/>
      <c r="K326" s="114"/>
      <c r="L326" s="114"/>
      <c r="M326" s="114"/>
      <c r="N326" s="114"/>
      <c r="O326" s="114"/>
      <c r="P326" s="114"/>
      <c r="Q326" s="114"/>
      <c r="R326" s="114"/>
      <c r="S326" s="114"/>
      <c r="T326" s="116"/>
      <c r="U326" s="116"/>
      <c r="V326" s="116"/>
      <c r="W326" s="209"/>
      <c r="X326" s="114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</row>
    <row r="327" spans="1:34" ht="24" customHeight="1" x14ac:dyDescent="0.6">
      <c r="A327" s="114"/>
      <c r="B327" s="114"/>
      <c r="C327" s="114"/>
      <c r="D327" s="114"/>
      <c r="E327" s="114"/>
      <c r="F327" s="115"/>
      <c r="G327" s="138"/>
      <c r="H327" s="114"/>
      <c r="I327" s="114"/>
      <c r="J327" s="114"/>
      <c r="K327" s="114"/>
      <c r="L327" s="114"/>
      <c r="M327" s="114"/>
      <c r="N327" s="114"/>
      <c r="O327" s="114"/>
      <c r="P327" s="114"/>
      <c r="Q327" s="114"/>
      <c r="R327" s="114"/>
      <c r="S327" s="114"/>
      <c r="T327" s="116"/>
      <c r="U327" s="116"/>
      <c r="V327" s="116"/>
      <c r="W327" s="209"/>
      <c r="X327" s="114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</row>
    <row r="328" spans="1:34" ht="24" customHeight="1" x14ac:dyDescent="0.6">
      <c r="A328" s="114"/>
      <c r="B328" s="114"/>
      <c r="C328" s="114"/>
      <c r="D328" s="114"/>
      <c r="E328" s="114"/>
      <c r="F328" s="115"/>
      <c r="G328" s="138"/>
      <c r="H328" s="114"/>
      <c r="I328" s="114"/>
      <c r="J328" s="114"/>
      <c r="K328" s="114"/>
      <c r="L328" s="114"/>
      <c r="M328" s="114"/>
      <c r="N328" s="114"/>
      <c r="O328" s="114"/>
      <c r="P328" s="114"/>
      <c r="Q328" s="114"/>
      <c r="R328" s="114"/>
      <c r="S328" s="114"/>
      <c r="T328" s="116"/>
      <c r="U328" s="116"/>
      <c r="V328" s="116"/>
      <c r="W328" s="209"/>
      <c r="X328" s="114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</row>
    <row r="329" spans="1:34" ht="24" customHeight="1" x14ac:dyDescent="0.6">
      <c r="A329" s="114"/>
      <c r="B329" s="114"/>
      <c r="C329" s="114"/>
      <c r="D329" s="114"/>
      <c r="E329" s="114"/>
      <c r="F329" s="115"/>
      <c r="G329" s="138"/>
      <c r="H329" s="114"/>
      <c r="I329" s="114"/>
      <c r="J329" s="114"/>
      <c r="K329" s="114"/>
      <c r="L329" s="114"/>
      <c r="M329" s="114"/>
      <c r="N329" s="114"/>
      <c r="O329" s="114"/>
      <c r="P329" s="114"/>
      <c r="Q329" s="114"/>
      <c r="R329" s="114"/>
      <c r="S329" s="114"/>
      <c r="T329" s="116"/>
      <c r="U329" s="116"/>
      <c r="V329" s="116"/>
      <c r="W329" s="209"/>
      <c r="X329" s="114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</row>
    <row r="330" spans="1:34" ht="24" customHeight="1" x14ac:dyDescent="0.6">
      <c r="A330" s="114"/>
      <c r="B330" s="114"/>
      <c r="C330" s="114"/>
      <c r="D330" s="114"/>
      <c r="E330" s="114"/>
      <c r="F330" s="115"/>
      <c r="G330" s="138"/>
      <c r="H330" s="114"/>
      <c r="I330" s="114"/>
      <c r="J330" s="114"/>
      <c r="K330" s="114"/>
      <c r="L330" s="114"/>
      <c r="M330" s="114"/>
      <c r="N330" s="114"/>
      <c r="O330" s="114"/>
      <c r="P330" s="114"/>
      <c r="Q330" s="114"/>
      <c r="R330" s="114"/>
      <c r="S330" s="114"/>
      <c r="T330" s="116"/>
      <c r="U330" s="116"/>
      <c r="V330" s="116"/>
      <c r="W330" s="209"/>
      <c r="X330" s="114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</row>
    <row r="331" spans="1:34" ht="24" customHeight="1" x14ac:dyDescent="0.6">
      <c r="A331" s="114"/>
      <c r="B331" s="114"/>
      <c r="C331" s="114"/>
      <c r="D331" s="114"/>
      <c r="E331" s="114"/>
      <c r="F331" s="115"/>
      <c r="G331" s="138"/>
      <c r="H331" s="114"/>
      <c r="I331" s="114"/>
      <c r="J331" s="114"/>
      <c r="K331" s="114"/>
      <c r="L331" s="114"/>
      <c r="M331" s="114"/>
      <c r="N331" s="114"/>
      <c r="O331" s="114"/>
      <c r="P331" s="114"/>
      <c r="Q331" s="114"/>
      <c r="R331" s="114"/>
      <c r="S331" s="114"/>
      <c r="T331" s="116"/>
      <c r="U331" s="116"/>
      <c r="V331" s="116"/>
      <c r="W331" s="209"/>
      <c r="X331" s="114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</row>
    <row r="332" spans="1:34" ht="24" customHeight="1" x14ac:dyDescent="0.6">
      <c r="A332" s="114"/>
      <c r="B332" s="114"/>
      <c r="C332" s="114"/>
      <c r="D332" s="114"/>
      <c r="E332" s="114"/>
      <c r="F332" s="115"/>
      <c r="G332" s="138"/>
      <c r="H332" s="114"/>
      <c r="I332" s="114"/>
      <c r="J332" s="114"/>
      <c r="K332" s="114"/>
      <c r="L332" s="114"/>
      <c r="M332" s="114"/>
      <c r="N332" s="114"/>
      <c r="O332" s="114"/>
      <c r="P332" s="114"/>
      <c r="Q332" s="114"/>
      <c r="R332" s="114"/>
      <c r="S332" s="114"/>
      <c r="T332" s="116"/>
      <c r="U332" s="116"/>
      <c r="V332" s="116"/>
      <c r="W332" s="209"/>
      <c r="X332" s="114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</row>
    <row r="333" spans="1:34" ht="24" customHeight="1" x14ac:dyDescent="0.6">
      <c r="A333" s="114"/>
      <c r="B333" s="114"/>
      <c r="C333" s="114"/>
      <c r="D333" s="114"/>
      <c r="E333" s="114"/>
      <c r="F333" s="115"/>
      <c r="G333" s="138"/>
      <c r="H333" s="114"/>
      <c r="I333" s="114"/>
      <c r="J333" s="114"/>
      <c r="K333" s="114"/>
      <c r="L333" s="114"/>
      <c r="M333" s="114"/>
      <c r="N333" s="114"/>
      <c r="O333" s="114"/>
      <c r="P333" s="114"/>
      <c r="Q333" s="114"/>
      <c r="R333" s="114"/>
      <c r="S333" s="114"/>
      <c r="T333" s="116"/>
      <c r="U333" s="116"/>
      <c r="V333" s="116"/>
      <c r="W333" s="209"/>
      <c r="X333" s="114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</row>
    <row r="334" spans="1:34" ht="24" customHeight="1" x14ac:dyDescent="0.6">
      <c r="A334" s="114"/>
      <c r="B334" s="114"/>
      <c r="C334" s="114"/>
      <c r="D334" s="114"/>
      <c r="E334" s="114"/>
      <c r="F334" s="115"/>
      <c r="G334" s="138"/>
      <c r="H334" s="114"/>
      <c r="I334" s="114"/>
      <c r="J334" s="114"/>
      <c r="K334" s="114"/>
      <c r="L334" s="114"/>
      <c r="M334" s="114"/>
      <c r="N334" s="114"/>
      <c r="O334" s="114"/>
      <c r="P334" s="114"/>
      <c r="Q334" s="114"/>
      <c r="R334" s="114"/>
      <c r="S334" s="114"/>
      <c r="T334" s="116"/>
      <c r="U334" s="116"/>
      <c r="V334" s="116"/>
      <c r="W334" s="209"/>
      <c r="X334" s="114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</row>
    <row r="335" spans="1:34" ht="24" customHeight="1" x14ac:dyDescent="0.6">
      <c r="A335" s="114"/>
      <c r="B335" s="114"/>
      <c r="C335" s="114"/>
      <c r="D335" s="114"/>
      <c r="E335" s="114"/>
      <c r="F335" s="115"/>
      <c r="G335" s="138"/>
      <c r="H335" s="114"/>
      <c r="I335" s="114"/>
      <c r="J335" s="114"/>
      <c r="K335" s="114"/>
      <c r="L335" s="114"/>
      <c r="M335" s="114"/>
      <c r="N335" s="114"/>
      <c r="O335" s="114"/>
      <c r="P335" s="114"/>
      <c r="Q335" s="114"/>
      <c r="R335" s="114"/>
      <c r="S335" s="114"/>
      <c r="T335" s="116"/>
      <c r="U335" s="116"/>
      <c r="V335" s="116"/>
      <c r="W335" s="209"/>
      <c r="X335" s="114"/>
      <c r="Y335" s="114"/>
      <c r="Z335" s="114"/>
      <c r="AA335" s="114"/>
      <c r="AB335" s="114"/>
      <c r="AC335" s="114"/>
      <c r="AD335" s="114"/>
      <c r="AE335" s="114"/>
      <c r="AF335" s="114"/>
      <c r="AG335" s="114"/>
      <c r="AH335" s="114"/>
    </row>
    <row r="336" spans="1:34" ht="24" customHeight="1" x14ac:dyDescent="0.6">
      <c r="A336" s="114"/>
      <c r="B336" s="114"/>
      <c r="C336" s="114"/>
      <c r="D336" s="114"/>
      <c r="E336" s="114"/>
      <c r="F336" s="115"/>
      <c r="G336" s="138"/>
      <c r="H336" s="114"/>
      <c r="I336" s="114"/>
      <c r="J336" s="114"/>
      <c r="K336" s="114"/>
      <c r="L336" s="114"/>
      <c r="M336" s="114"/>
      <c r="N336" s="114"/>
      <c r="O336" s="114"/>
      <c r="P336" s="114"/>
      <c r="Q336" s="114"/>
      <c r="R336" s="114"/>
      <c r="S336" s="114"/>
      <c r="T336" s="116"/>
      <c r="U336" s="116"/>
      <c r="V336" s="116"/>
      <c r="W336" s="209"/>
      <c r="X336" s="114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/>
    </row>
    <row r="337" spans="1:34" ht="24" customHeight="1" x14ac:dyDescent="0.6">
      <c r="A337" s="114"/>
      <c r="B337" s="114"/>
      <c r="C337" s="114"/>
      <c r="D337" s="114"/>
      <c r="E337" s="114"/>
      <c r="F337" s="115"/>
      <c r="G337" s="138"/>
      <c r="H337" s="114"/>
      <c r="I337" s="114"/>
      <c r="J337" s="114"/>
      <c r="K337" s="114"/>
      <c r="L337" s="114"/>
      <c r="M337" s="114"/>
      <c r="N337" s="114"/>
      <c r="O337" s="114"/>
      <c r="P337" s="114"/>
      <c r="Q337" s="114"/>
      <c r="R337" s="114"/>
      <c r="S337" s="114"/>
      <c r="T337" s="116"/>
      <c r="U337" s="116"/>
      <c r="V337" s="116"/>
      <c r="W337" s="209"/>
      <c r="X337" s="114"/>
      <c r="Y337" s="114"/>
      <c r="Z337" s="114"/>
      <c r="AA337" s="114"/>
      <c r="AB337" s="114"/>
      <c r="AC337" s="114"/>
      <c r="AD337" s="114"/>
      <c r="AE337" s="114"/>
      <c r="AF337" s="114"/>
      <c r="AG337" s="114"/>
      <c r="AH337" s="114"/>
    </row>
    <row r="338" spans="1:34" ht="24" customHeight="1" x14ac:dyDescent="0.6">
      <c r="A338" s="114"/>
      <c r="B338" s="114"/>
      <c r="C338" s="114"/>
      <c r="D338" s="114"/>
      <c r="E338" s="114"/>
      <c r="F338" s="115"/>
      <c r="G338" s="138"/>
      <c r="H338" s="114"/>
      <c r="I338" s="114"/>
      <c r="J338" s="114"/>
      <c r="K338" s="114"/>
      <c r="L338" s="114"/>
      <c r="M338" s="114"/>
      <c r="N338" s="114"/>
      <c r="O338" s="114"/>
      <c r="P338" s="114"/>
      <c r="Q338" s="114"/>
      <c r="R338" s="114"/>
      <c r="S338" s="114"/>
      <c r="T338" s="116"/>
      <c r="U338" s="116"/>
      <c r="V338" s="116"/>
      <c r="W338" s="209"/>
      <c r="X338" s="114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</row>
    <row r="339" spans="1:34" ht="24" customHeight="1" x14ac:dyDescent="0.6">
      <c r="A339" s="114"/>
      <c r="B339" s="114"/>
      <c r="C339" s="114"/>
      <c r="D339" s="114"/>
      <c r="E339" s="114"/>
      <c r="F339" s="115"/>
      <c r="G339" s="138"/>
      <c r="H339" s="114"/>
      <c r="I339" s="114"/>
      <c r="J339" s="114"/>
      <c r="K339" s="114"/>
      <c r="L339" s="114"/>
      <c r="M339" s="114"/>
      <c r="N339" s="114"/>
      <c r="O339" s="114"/>
      <c r="P339" s="114"/>
      <c r="Q339" s="114"/>
      <c r="R339" s="114"/>
      <c r="S339" s="114"/>
      <c r="T339" s="116"/>
      <c r="U339" s="116"/>
      <c r="V339" s="116"/>
      <c r="W339" s="209"/>
      <c r="X339" s="114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</row>
    <row r="340" spans="1:34" ht="24" customHeight="1" x14ac:dyDescent="0.6">
      <c r="A340" s="114"/>
      <c r="B340" s="114"/>
      <c r="C340" s="114"/>
      <c r="D340" s="114"/>
      <c r="E340" s="114"/>
      <c r="F340" s="115"/>
      <c r="G340" s="138"/>
      <c r="H340" s="114"/>
      <c r="I340" s="114"/>
      <c r="J340" s="114"/>
      <c r="K340" s="114"/>
      <c r="L340" s="114"/>
      <c r="M340" s="114"/>
      <c r="N340" s="114"/>
      <c r="O340" s="114"/>
      <c r="P340" s="114"/>
      <c r="Q340" s="114"/>
      <c r="R340" s="114"/>
      <c r="S340" s="114"/>
      <c r="T340" s="116"/>
      <c r="U340" s="116"/>
      <c r="V340" s="116"/>
      <c r="W340" s="209"/>
      <c r="X340" s="114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</row>
    <row r="341" spans="1:34" ht="24" customHeight="1" x14ac:dyDescent="0.6">
      <c r="A341" s="114"/>
      <c r="B341" s="114"/>
      <c r="C341" s="114"/>
      <c r="D341" s="114"/>
      <c r="E341" s="114"/>
      <c r="F341" s="115"/>
      <c r="G341" s="138"/>
      <c r="H341" s="114"/>
      <c r="I341" s="114"/>
      <c r="J341" s="114"/>
      <c r="K341" s="114"/>
      <c r="L341" s="114"/>
      <c r="M341" s="114"/>
      <c r="N341" s="114"/>
      <c r="O341" s="114"/>
      <c r="P341" s="114"/>
      <c r="Q341" s="114"/>
      <c r="R341" s="114"/>
      <c r="S341" s="114"/>
      <c r="T341" s="116"/>
      <c r="U341" s="116"/>
      <c r="V341" s="116"/>
      <c r="W341" s="209"/>
      <c r="X341" s="114"/>
      <c r="Y341" s="114"/>
      <c r="Z341" s="114"/>
      <c r="AA341" s="114"/>
      <c r="AB341" s="114"/>
      <c r="AC341" s="114"/>
      <c r="AD341" s="114"/>
      <c r="AE341" s="114"/>
      <c r="AF341" s="114"/>
      <c r="AG341" s="114"/>
      <c r="AH341" s="114"/>
    </row>
    <row r="342" spans="1:34" ht="24" customHeight="1" x14ac:dyDescent="0.6">
      <c r="A342" s="114"/>
      <c r="B342" s="114"/>
      <c r="C342" s="114"/>
      <c r="D342" s="114"/>
      <c r="E342" s="114"/>
      <c r="F342" s="115"/>
      <c r="G342" s="138"/>
      <c r="H342" s="114"/>
      <c r="I342" s="114"/>
      <c r="J342" s="114"/>
      <c r="K342" s="114"/>
      <c r="L342" s="114"/>
      <c r="M342" s="114"/>
      <c r="N342" s="114"/>
      <c r="O342" s="114"/>
      <c r="P342" s="114"/>
      <c r="Q342" s="114"/>
      <c r="R342" s="114"/>
      <c r="S342" s="114"/>
      <c r="T342" s="116"/>
      <c r="U342" s="116"/>
      <c r="V342" s="116"/>
      <c r="W342" s="209"/>
      <c r="X342" s="114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</row>
    <row r="343" spans="1:34" ht="24" customHeight="1" x14ac:dyDescent="0.6">
      <c r="A343" s="114"/>
      <c r="B343" s="114"/>
      <c r="C343" s="114"/>
      <c r="D343" s="114"/>
      <c r="E343" s="114"/>
      <c r="F343" s="115"/>
      <c r="G343" s="138"/>
      <c r="H343" s="114"/>
      <c r="I343" s="114"/>
      <c r="J343" s="114"/>
      <c r="K343" s="114"/>
      <c r="L343" s="114"/>
      <c r="M343" s="114"/>
      <c r="N343" s="114"/>
      <c r="O343" s="114"/>
      <c r="P343" s="114"/>
      <c r="Q343" s="114"/>
      <c r="R343" s="114"/>
      <c r="S343" s="114"/>
      <c r="T343" s="116"/>
      <c r="U343" s="116"/>
      <c r="V343" s="116"/>
      <c r="W343" s="209"/>
      <c r="X343" s="114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</row>
    <row r="344" spans="1:34" ht="24" customHeight="1" x14ac:dyDescent="0.6">
      <c r="A344" s="114"/>
      <c r="B344" s="114"/>
      <c r="C344" s="114"/>
      <c r="D344" s="114"/>
      <c r="E344" s="114"/>
      <c r="F344" s="115"/>
      <c r="G344" s="138"/>
      <c r="H344" s="114"/>
      <c r="I344" s="114"/>
      <c r="J344" s="114"/>
      <c r="K344" s="114"/>
      <c r="L344" s="114"/>
      <c r="M344" s="114"/>
      <c r="N344" s="114"/>
      <c r="O344" s="114"/>
      <c r="P344" s="114"/>
      <c r="Q344" s="114"/>
      <c r="R344" s="114"/>
      <c r="S344" s="114"/>
      <c r="T344" s="116"/>
      <c r="U344" s="116"/>
      <c r="V344" s="116"/>
      <c r="W344" s="209"/>
      <c r="X344" s="114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</row>
    <row r="345" spans="1:34" ht="24" customHeight="1" x14ac:dyDescent="0.6">
      <c r="A345" s="114"/>
      <c r="B345" s="114"/>
      <c r="C345" s="114"/>
      <c r="D345" s="114"/>
      <c r="E345" s="114"/>
      <c r="F345" s="115"/>
      <c r="G345" s="138"/>
      <c r="H345" s="114"/>
      <c r="I345" s="114"/>
      <c r="J345" s="114"/>
      <c r="K345" s="114"/>
      <c r="L345" s="114"/>
      <c r="M345" s="114"/>
      <c r="N345" s="114"/>
      <c r="O345" s="114"/>
      <c r="P345" s="114"/>
      <c r="Q345" s="114"/>
      <c r="R345" s="114"/>
      <c r="S345" s="114"/>
      <c r="T345" s="116"/>
      <c r="U345" s="116"/>
      <c r="V345" s="116"/>
      <c r="W345" s="209"/>
      <c r="X345" s="114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</row>
    <row r="346" spans="1:34" ht="24" customHeight="1" x14ac:dyDescent="0.6">
      <c r="A346" s="114"/>
      <c r="B346" s="114"/>
      <c r="C346" s="114"/>
      <c r="D346" s="114"/>
      <c r="E346" s="114"/>
      <c r="F346" s="115"/>
      <c r="G346" s="138"/>
      <c r="H346" s="114"/>
      <c r="I346" s="114"/>
      <c r="J346" s="114"/>
      <c r="K346" s="114"/>
      <c r="L346" s="114"/>
      <c r="M346" s="114"/>
      <c r="N346" s="114"/>
      <c r="O346" s="114"/>
      <c r="P346" s="114"/>
      <c r="Q346" s="114"/>
      <c r="R346" s="114"/>
      <c r="S346" s="114"/>
      <c r="T346" s="116"/>
      <c r="U346" s="116"/>
      <c r="V346" s="116"/>
      <c r="W346" s="209"/>
      <c r="X346" s="114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</row>
    <row r="347" spans="1:34" ht="24" customHeight="1" x14ac:dyDescent="0.6">
      <c r="A347" s="114"/>
      <c r="B347" s="114"/>
      <c r="C347" s="114"/>
      <c r="D347" s="114"/>
      <c r="E347" s="114"/>
      <c r="F347" s="115"/>
      <c r="G347" s="138"/>
      <c r="H347" s="114"/>
      <c r="I347" s="114"/>
      <c r="J347" s="114"/>
      <c r="K347" s="114"/>
      <c r="L347" s="114"/>
      <c r="M347" s="114"/>
      <c r="N347" s="114"/>
      <c r="O347" s="114"/>
      <c r="P347" s="114"/>
      <c r="Q347" s="114"/>
      <c r="R347" s="114"/>
      <c r="S347" s="114"/>
      <c r="T347" s="116"/>
      <c r="U347" s="116"/>
      <c r="V347" s="116"/>
      <c r="W347" s="209"/>
      <c r="X347" s="114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</row>
    <row r="348" spans="1:34" ht="24" customHeight="1" x14ac:dyDescent="0.6">
      <c r="A348" s="114"/>
      <c r="B348" s="114"/>
      <c r="C348" s="114"/>
      <c r="D348" s="114"/>
      <c r="E348" s="114"/>
      <c r="F348" s="115"/>
      <c r="G348" s="138"/>
      <c r="H348" s="114"/>
      <c r="I348" s="114"/>
      <c r="J348" s="114"/>
      <c r="K348" s="114"/>
      <c r="L348" s="114"/>
      <c r="M348" s="114"/>
      <c r="N348" s="114"/>
      <c r="O348" s="114"/>
      <c r="P348" s="114"/>
      <c r="Q348" s="114"/>
      <c r="R348" s="114"/>
      <c r="S348" s="114"/>
      <c r="T348" s="116"/>
      <c r="U348" s="116"/>
      <c r="V348" s="116"/>
      <c r="W348" s="209"/>
      <c r="X348" s="114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</row>
    <row r="349" spans="1:34" ht="24" customHeight="1" x14ac:dyDescent="0.6">
      <c r="A349" s="114"/>
      <c r="B349" s="114"/>
      <c r="C349" s="114"/>
      <c r="D349" s="114"/>
      <c r="E349" s="114"/>
      <c r="F349" s="115"/>
      <c r="G349" s="138"/>
      <c r="H349" s="114"/>
      <c r="I349" s="114"/>
      <c r="J349" s="114"/>
      <c r="K349" s="114"/>
      <c r="L349" s="114"/>
      <c r="M349" s="114"/>
      <c r="N349" s="114"/>
      <c r="O349" s="114"/>
      <c r="P349" s="114"/>
      <c r="Q349" s="114"/>
      <c r="R349" s="114"/>
      <c r="S349" s="114"/>
      <c r="T349" s="116"/>
      <c r="U349" s="116"/>
      <c r="V349" s="116"/>
      <c r="W349" s="209"/>
      <c r="X349" s="114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</row>
    <row r="350" spans="1:34" ht="24" customHeight="1" x14ac:dyDescent="0.6">
      <c r="A350" s="114"/>
      <c r="B350" s="114"/>
      <c r="C350" s="114"/>
      <c r="D350" s="114"/>
      <c r="E350" s="114"/>
      <c r="F350" s="115"/>
      <c r="G350" s="138"/>
      <c r="H350" s="114"/>
      <c r="I350" s="114"/>
      <c r="J350" s="114"/>
      <c r="K350" s="114"/>
      <c r="L350" s="114"/>
      <c r="M350" s="114"/>
      <c r="N350" s="114"/>
      <c r="O350" s="114"/>
      <c r="P350" s="114"/>
      <c r="Q350" s="114"/>
      <c r="R350" s="114"/>
      <c r="S350" s="114"/>
      <c r="T350" s="116"/>
      <c r="U350" s="116"/>
      <c r="V350" s="116"/>
      <c r="W350" s="209"/>
      <c r="X350" s="114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</row>
    <row r="351" spans="1:34" ht="24" customHeight="1" x14ac:dyDescent="0.6">
      <c r="A351" s="114"/>
      <c r="B351" s="114"/>
      <c r="C351" s="114"/>
      <c r="D351" s="114"/>
      <c r="E351" s="114"/>
      <c r="F351" s="115"/>
      <c r="G351" s="138"/>
      <c r="H351" s="114"/>
      <c r="I351" s="114"/>
      <c r="J351" s="114"/>
      <c r="K351" s="114"/>
      <c r="L351" s="114"/>
      <c r="M351" s="114"/>
      <c r="N351" s="114"/>
      <c r="O351" s="114"/>
      <c r="P351" s="114"/>
      <c r="Q351" s="114"/>
      <c r="R351" s="114"/>
      <c r="S351" s="114"/>
      <c r="T351" s="116"/>
      <c r="U351" s="116"/>
      <c r="V351" s="116"/>
      <c r="W351" s="209"/>
      <c r="X351" s="114"/>
      <c r="Y351" s="114"/>
      <c r="Z351" s="114"/>
      <c r="AA351" s="114"/>
      <c r="AB351" s="114"/>
      <c r="AC351" s="114"/>
      <c r="AD351" s="114"/>
      <c r="AE351" s="114"/>
      <c r="AF351" s="114"/>
      <c r="AG351" s="114"/>
      <c r="AH351" s="114"/>
    </row>
    <row r="352" spans="1:34" ht="24" customHeight="1" x14ac:dyDescent="0.6">
      <c r="A352" s="114"/>
      <c r="B352" s="114"/>
      <c r="C352" s="114"/>
      <c r="D352" s="114"/>
      <c r="E352" s="114"/>
      <c r="F352" s="115"/>
      <c r="G352" s="138"/>
      <c r="H352" s="114"/>
      <c r="I352" s="114"/>
      <c r="J352" s="114"/>
      <c r="K352" s="114"/>
      <c r="L352" s="114"/>
      <c r="M352" s="114"/>
      <c r="N352" s="114"/>
      <c r="O352" s="114"/>
      <c r="P352" s="114"/>
      <c r="Q352" s="114"/>
      <c r="R352" s="114"/>
      <c r="S352" s="114"/>
      <c r="T352" s="116"/>
      <c r="U352" s="116"/>
      <c r="V352" s="116"/>
      <c r="W352" s="209"/>
      <c r="X352" s="114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</row>
    <row r="353" spans="1:34" ht="24" customHeight="1" x14ac:dyDescent="0.6">
      <c r="A353" s="114"/>
      <c r="B353" s="114"/>
      <c r="C353" s="114"/>
      <c r="D353" s="114"/>
      <c r="E353" s="114"/>
      <c r="F353" s="115"/>
      <c r="G353" s="138"/>
      <c r="H353" s="114"/>
      <c r="I353" s="114"/>
      <c r="J353" s="114"/>
      <c r="K353" s="114"/>
      <c r="L353" s="114"/>
      <c r="M353" s="114"/>
      <c r="N353" s="114"/>
      <c r="O353" s="114"/>
      <c r="P353" s="114"/>
      <c r="Q353" s="114"/>
      <c r="R353" s="114"/>
      <c r="S353" s="114"/>
      <c r="T353" s="116"/>
      <c r="U353" s="116"/>
      <c r="V353" s="116"/>
      <c r="W353" s="209"/>
      <c r="X353" s="114"/>
      <c r="Y353" s="114"/>
      <c r="Z353" s="114"/>
      <c r="AA353" s="114"/>
      <c r="AB353" s="114"/>
      <c r="AC353" s="114"/>
      <c r="AD353" s="114"/>
      <c r="AE353" s="114"/>
      <c r="AF353" s="114"/>
      <c r="AG353" s="114"/>
      <c r="AH353" s="114"/>
    </row>
    <row r="354" spans="1:34" ht="24" customHeight="1" x14ac:dyDescent="0.6">
      <c r="A354" s="114"/>
      <c r="B354" s="114"/>
      <c r="C354" s="114"/>
      <c r="D354" s="114"/>
      <c r="E354" s="114"/>
      <c r="F354" s="115"/>
      <c r="G354" s="138"/>
      <c r="H354" s="114"/>
      <c r="I354" s="114"/>
      <c r="J354" s="114"/>
      <c r="K354" s="114"/>
      <c r="L354" s="114"/>
      <c r="M354" s="114"/>
      <c r="N354" s="114"/>
      <c r="O354" s="114"/>
      <c r="P354" s="114"/>
      <c r="Q354" s="114"/>
      <c r="R354" s="114"/>
      <c r="S354" s="114"/>
      <c r="T354" s="116"/>
      <c r="U354" s="116"/>
      <c r="V354" s="116"/>
      <c r="W354" s="209"/>
      <c r="X354" s="114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</row>
    <row r="355" spans="1:34" ht="24" customHeight="1" x14ac:dyDescent="0.6">
      <c r="A355" s="114"/>
      <c r="B355" s="114"/>
      <c r="C355" s="114"/>
      <c r="D355" s="114"/>
      <c r="E355" s="114"/>
      <c r="F355" s="115"/>
      <c r="G355" s="138"/>
      <c r="H355" s="114"/>
      <c r="I355" s="114"/>
      <c r="J355" s="114"/>
      <c r="K355" s="114"/>
      <c r="L355" s="114"/>
      <c r="M355" s="114"/>
      <c r="N355" s="114"/>
      <c r="O355" s="114"/>
      <c r="P355" s="114"/>
      <c r="Q355" s="114"/>
      <c r="R355" s="114"/>
      <c r="S355" s="114"/>
      <c r="T355" s="116"/>
      <c r="U355" s="116"/>
      <c r="V355" s="116"/>
      <c r="W355" s="209"/>
      <c r="X355" s="114"/>
      <c r="Y355" s="114"/>
      <c r="Z355" s="114"/>
      <c r="AA355" s="114"/>
      <c r="AB355" s="114"/>
      <c r="AC355" s="114"/>
      <c r="AD355" s="114"/>
      <c r="AE355" s="114"/>
      <c r="AF355" s="114"/>
      <c r="AG355" s="114"/>
      <c r="AH355" s="114"/>
    </row>
    <row r="356" spans="1:34" ht="24" customHeight="1" x14ac:dyDescent="0.6">
      <c r="A356" s="114"/>
      <c r="B356" s="114"/>
      <c r="C356" s="114"/>
      <c r="D356" s="114"/>
      <c r="E356" s="114"/>
      <c r="F356" s="115"/>
      <c r="G356" s="138"/>
      <c r="H356" s="114"/>
      <c r="I356" s="114"/>
      <c r="J356" s="114"/>
      <c r="K356" s="114"/>
      <c r="L356" s="114"/>
      <c r="M356" s="114"/>
      <c r="N356" s="114"/>
      <c r="O356" s="114"/>
      <c r="P356" s="114"/>
      <c r="Q356" s="114"/>
      <c r="R356" s="114"/>
      <c r="S356" s="114"/>
      <c r="T356" s="116"/>
      <c r="U356" s="116"/>
      <c r="V356" s="116"/>
      <c r="W356" s="209"/>
      <c r="X356" s="114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</row>
    <row r="357" spans="1:34" ht="24" customHeight="1" x14ac:dyDescent="0.6">
      <c r="A357" s="114"/>
      <c r="B357" s="114"/>
      <c r="C357" s="114"/>
      <c r="D357" s="114"/>
      <c r="E357" s="114"/>
      <c r="F357" s="115"/>
      <c r="G357" s="138"/>
      <c r="H357" s="114"/>
      <c r="I357" s="114"/>
      <c r="J357" s="114"/>
      <c r="K357" s="114"/>
      <c r="L357" s="114"/>
      <c r="M357" s="114"/>
      <c r="N357" s="114"/>
      <c r="O357" s="114"/>
      <c r="P357" s="114"/>
      <c r="Q357" s="114"/>
      <c r="R357" s="114"/>
      <c r="S357" s="114"/>
      <c r="T357" s="116"/>
      <c r="U357" s="116"/>
      <c r="V357" s="116"/>
      <c r="W357" s="209"/>
      <c r="X357" s="114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</row>
    <row r="358" spans="1:34" ht="24" customHeight="1" x14ac:dyDescent="0.6">
      <c r="A358" s="114"/>
      <c r="B358" s="114"/>
      <c r="C358" s="114"/>
      <c r="D358" s="114"/>
      <c r="E358" s="114"/>
      <c r="F358" s="115"/>
      <c r="G358" s="138"/>
      <c r="H358" s="114"/>
      <c r="I358" s="114"/>
      <c r="J358" s="114"/>
      <c r="K358" s="114"/>
      <c r="L358" s="114"/>
      <c r="M358" s="114"/>
      <c r="N358" s="114"/>
      <c r="O358" s="114"/>
      <c r="P358" s="114"/>
      <c r="Q358" s="114"/>
      <c r="R358" s="114"/>
      <c r="S358" s="114"/>
      <c r="T358" s="116"/>
      <c r="U358" s="116"/>
      <c r="V358" s="116"/>
      <c r="W358" s="209"/>
      <c r="X358" s="114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</row>
    <row r="359" spans="1:34" ht="24" customHeight="1" x14ac:dyDescent="0.6">
      <c r="A359" s="114"/>
      <c r="B359" s="114"/>
      <c r="C359" s="114"/>
      <c r="D359" s="114"/>
      <c r="E359" s="114"/>
      <c r="F359" s="115"/>
      <c r="G359" s="138"/>
      <c r="H359" s="114"/>
      <c r="I359" s="114"/>
      <c r="J359" s="114"/>
      <c r="K359" s="114"/>
      <c r="L359" s="114"/>
      <c r="M359" s="114"/>
      <c r="N359" s="114"/>
      <c r="O359" s="114"/>
      <c r="P359" s="114"/>
      <c r="Q359" s="114"/>
      <c r="R359" s="114"/>
      <c r="S359" s="114"/>
      <c r="T359" s="116"/>
      <c r="U359" s="116"/>
      <c r="V359" s="116"/>
      <c r="W359" s="209"/>
      <c r="X359" s="114"/>
      <c r="Y359" s="114"/>
      <c r="Z359" s="114"/>
      <c r="AA359" s="114"/>
      <c r="AB359" s="114"/>
      <c r="AC359" s="114"/>
      <c r="AD359" s="114"/>
      <c r="AE359" s="114"/>
      <c r="AF359" s="114"/>
      <c r="AG359" s="114"/>
      <c r="AH359" s="114"/>
    </row>
    <row r="360" spans="1:34" ht="24" customHeight="1" x14ac:dyDescent="0.6">
      <c r="A360" s="114"/>
      <c r="B360" s="114"/>
      <c r="C360" s="114"/>
      <c r="D360" s="114"/>
      <c r="E360" s="114"/>
      <c r="F360" s="115"/>
      <c r="G360" s="138"/>
      <c r="H360" s="114"/>
      <c r="I360" s="114"/>
      <c r="J360" s="114"/>
      <c r="K360" s="114"/>
      <c r="L360" s="114"/>
      <c r="M360" s="114"/>
      <c r="N360" s="114"/>
      <c r="O360" s="114"/>
      <c r="P360" s="114"/>
      <c r="Q360" s="114"/>
      <c r="R360" s="114"/>
      <c r="S360" s="114"/>
      <c r="T360" s="116"/>
      <c r="U360" s="116"/>
      <c r="V360" s="116"/>
      <c r="W360" s="209"/>
      <c r="X360" s="114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</row>
    <row r="361" spans="1:34" ht="24" customHeight="1" x14ac:dyDescent="0.6">
      <c r="A361" s="114"/>
      <c r="B361" s="114"/>
      <c r="C361" s="114"/>
      <c r="D361" s="114"/>
      <c r="E361" s="114"/>
      <c r="F361" s="115"/>
      <c r="G361" s="138"/>
      <c r="H361" s="114"/>
      <c r="I361" s="114"/>
      <c r="J361" s="114"/>
      <c r="K361" s="114"/>
      <c r="L361" s="114"/>
      <c r="M361" s="114"/>
      <c r="N361" s="114"/>
      <c r="O361" s="114"/>
      <c r="P361" s="114"/>
      <c r="Q361" s="114"/>
      <c r="R361" s="114"/>
      <c r="S361" s="114"/>
      <c r="T361" s="116"/>
      <c r="U361" s="116"/>
      <c r="V361" s="116"/>
      <c r="W361" s="209"/>
      <c r="X361" s="114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</row>
    <row r="362" spans="1:34" ht="24" customHeight="1" x14ac:dyDescent="0.6">
      <c r="A362" s="114"/>
      <c r="B362" s="114"/>
      <c r="C362" s="114"/>
      <c r="D362" s="114"/>
      <c r="E362" s="114"/>
      <c r="F362" s="115"/>
      <c r="G362" s="138"/>
      <c r="H362" s="114"/>
      <c r="I362" s="114"/>
      <c r="J362" s="114"/>
      <c r="K362" s="114"/>
      <c r="L362" s="114"/>
      <c r="M362" s="114"/>
      <c r="N362" s="114"/>
      <c r="O362" s="114"/>
      <c r="P362" s="114"/>
      <c r="Q362" s="114"/>
      <c r="R362" s="114"/>
      <c r="S362" s="114"/>
      <c r="T362" s="116"/>
      <c r="U362" s="116"/>
      <c r="V362" s="116"/>
      <c r="W362" s="209"/>
      <c r="X362" s="114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</row>
    <row r="363" spans="1:34" ht="24" customHeight="1" x14ac:dyDescent="0.6">
      <c r="A363" s="114"/>
      <c r="B363" s="114"/>
      <c r="C363" s="114"/>
      <c r="D363" s="114"/>
      <c r="E363" s="114"/>
      <c r="F363" s="115"/>
      <c r="G363" s="138"/>
      <c r="H363" s="114"/>
      <c r="I363" s="114"/>
      <c r="J363" s="114"/>
      <c r="K363" s="114"/>
      <c r="L363" s="114"/>
      <c r="M363" s="114"/>
      <c r="N363" s="114"/>
      <c r="O363" s="114"/>
      <c r="P363" s="114"/>
      <c r="Q363" s="114"/>
      <c r="R363" s="114"/>
      <c r="S363" s="114"/>
      <c r="T363" s="116"/>
      <c r="U363" s="116"/>
      <c r="V363" s="116"/>
      <c r="W363" s="209"/>
      <c r="X363" s="114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</row>
    <row r="364" spans="1:34" ht="24" customHeight="1" x14ac:dyDescent="0.6">
      <c r="A364" s="114"/>
      <c r="B364" s="114"/>
      <c r="C364" s="114"/>
      <c r="D364" s="114"/>
      <c r="E364" s="114"/>
      <c r="F364" s="115"/>
      <c r="G364" s="138"/>
      <c r="H364" s="114"/>
      <c r="I364" s="114"/>
      <c r="J364" s="114"/>
      <c r="K364" s="114"/>
      <c r="L364" s="114"/>
      <c r="M364" s="114"/>
      <c r="N364" s="114"/>
      <c r="O364" s="114"/>
      <c r="P364" s="114"/>
      <c r="Q364" s="114"/>
      <c r="R364" s="114"/>
      <c r="S364" s="114"/>
      <c r="T364" s="116"/>
      <c r="U364" s="116"/>
      <c r="V364" s="116"/>
      <c r="W364" s="209"/>
      <c r="X364" s="114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</row>
    <row r="365" spans="1:34" ht="24" customHeight="1" x14ac:dyDescent="0.6">
      <c r="A365" s="114"/>
      <c r="B365" s="114"/>
      <c r="C365" s="114"/>
      <c r="D365" s="114"/>
      <c r="E365" s="114"/>
      <c r="F365" s="115"/>
      <c r="G365" s="138"/>
      <c r="H365" s="114"/>
      <c r="I365" s="114"/>
      <c r="J365" s="114"/>
      <c r="K365" s="114"/>
      <c r="L365" s="114"/>
      <c r="M365" s="114"/>
      <c r="N365" s="114"/>
      <c r="O365" s="114"/>
      <c r="P365" s="114"/>
      <c r="Q365" s="114"/>
      <c r="R365" s="114"/>
      <c r="S365" s="114"/>
      <c r="T365" s="116"/>
      <c r="U365" s="116"/>
      <c r="V365" s="116"/>
      <c r="W365" s="209"/>
      <c r="X365" s="114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</row>
    <row r="366" spans="1:34" ht="24" customHeight="1" x14ac:dyDescent="0.6">
      <c r="A366" s="114"/>
      <c r="B366" s="114"/>
      <c r="C366" s="114"/>
      <c r="D366" s="114"/>
      <c r="E366" s="114"/>
      <c r="F366" s="115"/>
      <c r="G366" s="138"/>
      <c r="H366" s="114"/>
      <c r="I366" s="114"/>
      <c r="J366" s="114"/>
      <c r="K366" s="114"/>
      <c r="L366" s="114"/>
      <c r="M366" s="114"/>
      <c r="N366" s="114"/>
      <c r="O366" s="114"/>
      <c r="P366" s="114"/>
      <c r="Q366" s="114"/>
      <c r="R366" s="114"/>
      <c r="S366" s="114"/>
      <c r="T366" s="116"/>
      <c r="U366" s="116"/>
      <c r="V366" s="116"/>
      <c r="W366" s="209"/>
      <c r="X366" s="114"/>
      <c r="Y366" s="114"/>
      <c r="Z366" s="114"/>
      <c r="AA366" s="114"/>
      <c r="AB366" s="114"/>
      <c r="AC366" s="114"/>
      <c r="AD366" s="114"/>
      <c r="AE366" s="114"/>
      <c r="AF366" s="114"/>
      <c r="AG366" s="114"/>
      <c r="AH366" s="114"/>
    </row>
    <row r="367" spans="1:34" ht="24" customHeight="1" x14ac:dyDescent="0.6">
      <c r="A367" s="114"/>
      <c r="B367" s="114"/>
      <c r="C367" s="114"/>
      <c r="D367" s="114"/>
      <c r="E367" s="114"/>
      <c r="F367" s="115"/>
      <c r="G367" s="138"/>
      <c r="H367" s="114"/>
      <c r="I367" s="114"/>
      <c r="J367" s="114"/>
      <c r="K367" s="114"/>
      <c r="L367" s="114"/>
      <c r="M367" s="114"/>
      <c r="N367" s="114"/>
      <c r="O367" s="114"/>
      <c r="P367" s="114"/>
      <c r="Q367" s="114"/>
      <c r="R367" s="114"/>
      <c r="S367" s="114"/>
      <c r="T367" s="116"/>
      <c r="U367" s="116"/>
      <c r="V367" s="116"/>
      <c r="W367" s="209"/>
      <c r="X367" s="114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</row>
    <row r="368" spans="1:34" ht="24" customHeight="1" x14ac:dyDescent="0.6">
      <c r="A368" s="114"/>
      <c r="B368" s="114"/>
      <c r="C368" s="114"/>
      <c r="D368" s="114"/>
      <c r="E368" s="114"/>
      <c r="F368" s="115"/>
      <c r="G368" s="138"/>
      <c r="H368" s="114"/>
      <c r="I368" s="114"/>
      <c r="J368" s="114"/>
      <c r="K368" s="114"/>
      <c r="L368" s="114"/>
      <c r="M368" s="114"/>
      <c r="N368" s="114"/>
      <c r="O368" s="114"/>
      <c r="P368" s="114"/>
      <c r="Q368" s="114"/>
      <c r="R368" s="114"/>
      <c r="S368" s="114"/>
      <c r="T368" s="116"/>
      <c r="U368" s="116"/>
      <c r="V368" s="116"/>
      <c r="W368" s="209"/>
      <c r="X368" s="114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</row>
    <row r="369" spans="1:34" ht="24" customHeight="1" x14ac:dyDescent="0.6">
      <c r="A369" s="114"/>
      <c r="B369" s="114"/>
      <c r="C369" s="114"/>
      <c r="D369" s="114"/>
      <c r="E369" s="114"/>
      <c r="F369" s="115"/>
      <c r="G369" s="138"/>
      <c r="H369" s="114"/>
      <c r="I369" s="114"/>
      <c r="J369" s="114"/>
      <c r="K369" s="114"/>
      <c r="L369" s="114"/>
      <c r="M369" s="114"/>
      <c r="N369" s="114"/>
      <c r="O369" s="114"/>
      <c r="P369" s="114"/>
      <c r="Q369" s="114"/>
      <c r="R369" s="114"/>
      <c r="S369" s="114"/>
      <c r="T369" s="116"/>
      <c r="U369" s="116"/>
      <c r="V369" s="116"/>
      <c r="W369" s="209"/>
      <c r="X369" s="114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</row>
    <row r="370" spans="1:34" ht="24" customHeight="1" x14ac:dyDescent="0.6">
      <c r="A370" s="114"/>
      <c r="B370" s="114"/>
      <c r="C370" s="114"/>
      <c r="D370" s="114"/>
      <c r="E370" s="114"/>
      <c r="F370" s="115"/>
      <c r="G370" s="138"/>
      <c r="H370" s="114"/>
      <c r="I370" s="114"/>
      <c r="J370" s="114"/>
      <c r="K370" s="114"/>
      <c r="L370" s="114"/>
      <c r="M370" s="114"/>
      <c r="N370" s="114"/>
      <c r="O370" s="114"/>
      <c r="P370" s="114"/>
      <c r="Q370" s="114"/>
      <c r="R370" s="114"/>
      <c r="S370" s="114"/>
      <c r="T370" s="116"/>
      <c r="U370" s="116"/>
      <c r="V370" s="116"/>
      <c r="W370" s="209"/>
      <c r="X370" s="114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</row>
    <row r="371" spans="1:34" ht="24" customHeight="1" x14ac:dyDescent="0.6">
      <c r="A371" s="114"/>
      <c r="B371" s="114"/>
      <c r="C371" s="114"/>
      <c r="D371" s="114"/>
      <c r="E371" s="114"/>
      <c r="F371" s="115"/>
      <c r="G371" s="138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6"/>
      <c r="U371" s="116"/>
      <c r="V371" s="116"/>
      <c r="W371" s="209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</row>
    <row r="372" spans="1:34" ht="24" customHeight="1" x14ac:dyDescent="0.6">
      <c r="A372" s="114"/>
      <c r="B372" s="114"/>
      <c r="C372" s="114"/>
      <c r="D372" s="114"/>
      <c r="E372" s="114"/>
      <c r="F372" s="115"/>
      <c r="G372" s="138"/>
      <c r="H372" s="114"/>
      <c r="I372" s="114"/>
      <c r="J372" s="114"/>
      <c r="K372" s="114"/>
      <c r="L372" s="114"/>
      <c r="M372" s="114"/>
      <c r="N372" s="114"/>
      <c r="O372" s="114"/>
      <c r="P372" s="114"/>
      <c r="Q372" s="114"/>
      <c r="R372" s="114"/>
      <c r="S372" s="114"/>
      <c r="T372" s="116"/>
      <c r="U372" s="116"/>
      <c r="V372" s="116"/>
      <c r="W372" s="209"/>
      <c r="X372" s="114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</row>
    <row r="373" spans="1:34" ht="24" customHeight="1" x14ac:dyDescent="0.6">
      <c r="A373" s="114"/>
      <c r="B373" s="114"/>
      <c r="C373" s="114"/>
      <c r="D373" s="114"/>
      <c r="E373" s="114"/>
      <c r="F373" s="115"/>
      <c r="G373" s="138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6"/>
      <c r="U373" s="116"/>
      <c r="V373" s="116"/>
      <c r="W373" s="209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</row>
    <row r="374" spans="1:34" ht="24" customHeight="1" x14ac:dyDescent="0.6">
      <c r="A374" s="114"/>
      <c r="B374" s="114"/>
      <c r="C374" s="114"/>
      <c r="D374" s="114"/>
      <c r="E374" s="114"/>
      <c r="F374" s="115"/>
      <c r="G374" s="138"/>
      <c r="H374" s="114"/>
      <c r="I374" s="114"/>
      <c r="J374" s="114"/>
      <c r="K374" s="114"/>
      <c r="L374" s="114"/>
      <c r="M374" s="114"/>
      <c r="N374" s="114"/>
      <c r="O374" s="114"/>
      <c r="P374" s="114"/>
      <c r="Q374" s="114"/>
      <c r="R374" s="114"/>
      <c r="S374" s="114"/>
      <c r="T374" s="116"/>
      <c r="U374" s="116"/>
      <c r="V374" s="116"/>
      <c r="W374" s="209"/>
      <c r="X374" s="114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/>
    </row>
    <row r="375" spans="1:34" ht="24" customHeight="1" x14ac:dyDescent="0.6">
      <c r="A375" s="114"/>
      <c r="B375" s="114"/>
      <c r="C375" s="114"/>
      <c r="D375" s="114"/>
      <c r="E375" s="114"/>
      <c r="F375" s="115"/>
      <c r="G375" s="138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6"/>
      <c r="U375" s="116"/>
      <c r="V375" s="116"/>
      <c r="W375" s="209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</row>
    <row r="376" spans="1:34" ht="24" customHeight="1" x14ac:dyDescent="0.6">
      <c r="A376" s="114"/>
      <c r="B376" s="114"/>
      <c r="C376" s="114"/>
      <c r="D376" s="114"/>
      <c r="E376" s="114"/>
      <c r="F376" s="115"/>
      <c r="G376" s="138"/>
      <c r="H376" s="114"/>
      <c r="I376" s="114"/>
      <c r="J376" s="114"/>
      <c r="K376" s="114"/>
      <c r="L376" s="114"/>
      <c r="M376" s="114"/>
      <c r="N376" s="114"/>
      <c r="O376" s="114"/>
      <c r="P376" s="114"/>
      <c r="Q376" s="114"/>
      <c r="R376" s="114"/>
      <c r="S376" s="114"/>
      <c r="T376" s="116"/>
      <c r="U376" s="116"/>
      <c r="V376" s="116"/>
      <c r="W376" s="209"/>
      <c r="X376" s="114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/>
    </row>
    <row r="377" spans="1:34" ht="24" customHeight="1" x14ac:dyDescent="0.6">
      <c r="A377" s="114"/>
      <c r="B377" s="114"/>
      <c r="C377" s="114"/>
      <c r="D377" s="114"/>
      <c r="E377" s="114"/>
      <c r="F377" s="115"/>
      <c r="G377" s="138"/>
      <c r="H377" s="114"/>
      <c r="I377" s="114"/>
      <c r="J377" s="114"/>
      <c r="K377" s="114"/>
      <c r="L377" s="114"/>
      <c r="M377" s="114"/>
      <c r="N377" s="114"/>
      <c r="O377" s="114"/>
      <c r="P377" s="114"/>
      <c r="Q377" s="114"/>
      <c r="R377" s="114"/>
      <c r="S377" s="114"/>
      <c r="T377" s="116"/>
      <c r="U377" s="116"/>
      <c r="V377" s="116"/>
      <c r="W377" s="209"/>
      <c r="X377" s="114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</row>
    <row r="378" spans="1:34" ht="24" customHeight="1" x14ac:dyDescent="0.6">
      <c r="A378" s="114"/>
      <c r="B378" s="114"/>
      <c r="C378" s="114"/>
      <c r="D378" s="114"/>
      <c r="E378" s="114"/>
      <c r="F378" s="115"/>
      <c r="G378" s="138"/>
      <c r="H378" s="114"/>
      <c r="I378" s="114"/>
      <c r="J378" s="114"/>
      <c r="K378" s="114"/>
      <c r="L378" s="114"/>
      <c r="M378" s="114"/>
      <c r="N378" s="114"/>
      <c r="O378" s="114"/>
      <c r="P378" s="114"/>
      <c r="Q378" s="114"/>
      <c r="R378" s="114"/>
      <c r="S378" s="114"/>
      <c r="T378" s="116"/>
      <c r="U378" s="116"/>
      <c r="V378" s="116"/>
      <c r="W378" s="209"/>
      <c r="X378" s="114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</row>
    <row r="379" spans="1:34" ht="24" customHeight="1" x14ac:dyDescent="0.6">
      <c r="A379" s="114"/>
      <c r="B379" s="114"/>
      <c r="C379" s="114"/>
      <c r="D379" s="114"/>
      <c r="E379" s="114"/>
      <c r="F379" s="115"/>
      <c r="G379" s="138"/>
      <c r="H379" s="114"/>
      <c r="I379" s="114"/>
      <c r="J379" s="114"/>
      <c r="K379" s="114"/>
      <c r="L379" s="114"/>
      <c r="M379" s="114"/>
      <c r="N379" s="114"/>
      <c r="O379" s="114"/>
      <c r="P379" s="114"/>
      <c r="Q379" s="114"/>
      <c r="R379" s="114"/>
      <c r="S379" s="114"/>
      <c r="T379" s="116"/>
      <c r="U379" s="116"/>
      <c r="V379" s="116"/>
      <c r="W379" s="209"/>
      <c r="X379" s="114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</row>
    <row r="380" spans="1:34" ht="24" customHeight="1" x14ac:dyDescent="0.6">
      <c r="A380" s="114"/>
      <c r="B380" s="114"/>
      <c r="C380" s="114"/>
      <c r="D380" s="114"/>
      <c r="E380" s="114"/>
      <c r="F380" s="115"/>
      <c r="G380" s="138"/>
      <c r="H380" s="114"/>
      <c r="I380" s="114"/>
      <c r="J380" s="114"/>
      <c r="K380" s="114"/>
      <c r="L380" s="114"/>
      <c r="M380" s="114"/>
      <c r="N380" s="114"/>
      <c r="O380" s="114"/>
      <c r="P380" s="114"/>
      <c r="Q380" s="114"/>
      <c r="R380" s="114"/>
      <c r="S380" s="114"/>
      <c r="T380" s="116"/>
      <c r="U380" s="116"/>
      <c r="V380" s="116"/>
      <c r="W380" s="209"/>
      <c r="X380" s="114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</row>
    <row r="381" spans="1:34" ht="24" customHeight="1" x14ac:dyDescent="0.6">
      <c r="A381" s="114"/>
      <c r="B381" s="114"/>
      <c r="C381" s="114"/>
      <c r="D381" s="114"/>
      <c r="E381" s="114"/>
      <c r="F381" s="115"/>
      <c r="G381" s="138"/>
      <c r="H381" s="114"/>
      <c r="I381" s="114"/>
      <c r="J381" s="114"/>
      <c r="K381" s="114"/>
      <c r="L381" s="114"/>
      <c r="M381" s="114"/>
      <c r="N381" s="114"/>
      <c r="O381" s="114"/>
      <c r="P381" s="114"/>
      <c r="Q381" s="114"/>
      <c r="R381" s="114"/>
      <c r="S381" s="114"/>
      <c r="T381" s="116"/>
      <c r="U381" s="116"/>
      <c r="V381" s="116"/>
      <c r="W381" s="209"/>
      <c r="X381" s="114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</row>
    <row r="382" spans="1:34" ht="24" customHeight="1" x14ac:dyDescent="0.6">
      <c r="A382" s="114"/>
      <c r="B382" s="114"/>
      <c r="C382" s="114"/>
      <c r="D382" s="114"/>
      <c r="E382" s="114"/>
      <c r="F382" s="115"/>
      <c r="G382" s="138"/>
      <c r="H382" s="114"/>
      <c r="I382" s="114"/>
      <c r="J382" s="114"/>
      <c r="K382" s="114"/>
      <c r="L382" s="114"/>
      <c r="M382" s="114"/>
      <c r="N382" s="114"/>
      <c r="O382" s="114"/>
      <c r="P382" s="114"/>
      <c r="Q382" s="114"/>
      <c r="R382" s="114"/>
      <c r="S382" s="114"/>
      <c r="T382" s="116"/>
      <c r="U382" s="116"/>
      <c r="V382" s="116"/>
      <c r="W382" s="209"/>
      <c r="X382" s="114"/>
      <c r="Y382" s="114"/>
      <c r="Z382" s="114"/>
      <c r="AA382" s="114"/>
      <c r="AB382" s="114"/>
      <c r="AC382" s="114"/>
      <c r="AD382" s="114"/>
      <c r="AE382" s="114"/>
      <c r="AF382" s="114"/>
      <c r="AG382" s="114"/>
      <c r="AH382" s="114"/>
    </row>
    <row r="383" spans="1:34" ht="24" customHeight="1" x14ac:dyDescent="0.6">
      <c r="A383" s="114"/>
      <c r="B383" s="114"/>
      <c r="C383" s="114"/>
      <c r="D383" s="114"/>
      <c r="E383" s="114"/>
      <c r="F383" s="115"/>
      <c r="G383" s="138"/>
      <c r="H383" s="114"/>
      <c r="I383" s="114"/>
      <c r="J383" s="114"/>
      <c r="K383" s="114"/>
      <c r="L383" s="114"/>
      <c r="M383" s="114"/>
      <c r="N383" s="114"/>
      <c r="O383" s="114"/>
      <c r="P383" s="114"/>
      <c r="Q383" s="114"/>
      <c r="R383" s="114"/>
      <c r="S383" s="114"/>
      <c r="T383" s="116"/>
      <c r="U383" s="116"/>
      <c r="V383" s="116"/>
      <c r="W383" s="209"/>
      <c r="X383" s="114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</row>
    <row r="384" spans="1:34" ht="24" customHeight="1" x14ac:dyDescent="0.6">
      <c r="A384" s="114"/>
      <c r="B384" s="114"/>
      <c r="C384" s="114"/>
      <c r="D384" s="114"/>
      <c r="E384" s="114"/>
      <c r="F384" s="115"/>
      <c r="G384" s="138"/>
      <c r="H384" s="114"/>
      <c r="I384" s="114"/>
      <c r="J384" s="114"/>
      <c r="K384" s="114"/>
      <c r="L384" s="114"/>
      <c r="M384" s="114"/>
      <c r="N384" s="114"/>
      <c r="O384" s="114"/>
      <c r="P384" s="114"/>
      <c r="Q384" s="114"/>
      <c r="R384" s="114"/>
      <c r="S384" s="114"/>
      <c r="T384" s="116"/>
      <c r="U384" s="116"/>
      <c r="V384" s="116"/>
      <c r="W384" s="209"/>
      <c r="X384" s="114"/>
      <c r="Y384" s="114"/>
      <c r="Z384" s="114"/>
      <c r="AA384" s="114"/>
      <c r="AB384" s="114"/>
      <c r="AC384" s="114"/>
      <c r="AD384" s="114"/>
      <c r="AE384" s="114"/>
      <c r="AF384" s="114"/>
      <c r="AG384" s="114"/>
      <c r="AH384" s="114"/>
    </row>
    <row r="385" spans="1:34" ht="24" customHeight="1" x14ac:dyDescent="0.6">
      <c r="A385" s="114"/>
      <c r="B385" s="114"/>
      <c r="C385" s="114"/>
      <c r="D385" s="114"/>
      <c r="E385" s="114"/>
      <c r="F385" s="115"/>
      <c r="G385" s="138"/>
      <c r="H385" s="114"/>
      <c r="I385" s="114"/>
      <c r="J385" s="114"/>
      <c r="K385" s="114"/>
      <c r="L385" s="114"/>
      <c r="M385" s="114"/>
      <c r="N385" s="114"/>
      <c r="O385" s="114"/>
      <c r="P385" s="114"/>
      <c r="Q385" s="114"/>
      <c r="R385" s="114"/>
      <c r="S385" s="114"/>
      <c r="T385" s="116"/>
      <c r="U385" s="116"/>
      <c r="V385" s="116"/>
      <c r="W385" s="209"/>
      <c r="X385" s="114"/>
      <c r="Y385" s="114"/>
      <c r="Z385" s="114"/>
      <c r="AA385" s="114"/>
      <c r="AB385" s="114"/>
      <c r="AC385" s="114"/>
      <c r="AD385" s="114"/>
      <c r="AE385" s="114"/>
      <c r="AF385" s="114"/>
      <c r="AG385" s="114"/>
      <c r="AH385" s="114"/>
    </row>
    <row r="386" spans="1:34" ht="24" customHeight="1" x14ac:dyDescent="0.6">
      <c r="A386" s="114"/>
      <c r="B386" s="114"/>
      <c r="C386" s="114"/>
      <c r="D386" s="114"/>
      <c r="E386" s="114"/>
      <c r="F386" s="115"/>
      <c r="G386" s="138"/>
      <c r="H386" s="114"/>
      <c r="I386" s="114"/>
      <c r="J386" s="114"/>
      <c r="K386" s="114"/>
      <c r="L386" s="114"/>
      <c r="M386" s="114"/>
      <c r="N386" s="114"/>
      <c r="O386" s="114"/>
      <c r="P386" s="114"/>
      <c r="Q386" s="114"/>
      <c r="R386" s="114"/>
      <c r="S386" s="114"/>
      <c r="T386" s="116"/>
      <c r="U386" s="116"/>
      <c r="V386" s="116"/>
      <c r="W386" s="209"/>
      <c r="X386" s="114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</row>
    <row r="387" spans="1:34" ht="24" customHeight="1" x14ac:dyDescent="0.6">
      <c r="A387" s="114"/>
      <c r="B387" s="114"/>
      <c r="C387" s="114"/>
      <c r="D387" s="114"/>
      <c r="E387" s="114"/>
      <c r="F387" s="115"/>
      <c r="G387" s="138"/>
      <c r="H387" s="114"/>
      <c r="I387" s="114"/>
      <c r="J387" s="114"/>
      <c r="K387" s="114"/>
      <c r="L387" s="114"/>
      <c r="M387" s="114"/>
      <c r="N387" s="114"/>
      <c r="O387" s="114"/>
      <c r="P387" s="114"/>
      <c r="Q387" s="114"/>
      <c r="R387" s="114"/>
      <c r="S387" s="114"/>
      <c r="T387" s="116"/>
      <c r="U387" s="116"/>
      <c r="V387" s="116"/>
      <c r="W387" s="209"/>
      <c r="X387" s="114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</row>
    <row r="388" spans="1:34" ht="24" customHeight="1" x14ac:dyDescent="0.6">
      <c r="A388" s="114"/>
      <c r="B388" s="114"/>
      <c r="C388" s="114"/>
      <c r="D388" s="114"/>
      <c r="E388" s="114"/>
      <c r="F388" s="115"/>
      <c r="G388" s="138"/>
      <c r="H388" s="114"/>
      <c r="I388" s="114"/>
      <c r="J388" s="114"/>
      <c r="K388" s="114"/>
      <c r="L388" s="114"/>
      <c r="M388" s="114"/>
      <c r="N388" s="114"/>
      <c r="O388" s="114"/>
      <c r="P388" s="114"/>
      <c r="Q388" s="114"/>
      <c r="R388" s="114"/>
      <c r="S388" s="114"/>
      <c r="T388" s="116"/>
      <c r="U388" s="116"/>
      <c r="V388" s="116"/>
      <c r="W388" s="209"/>
      <c r="X388" s="114"/>
      <c r="Y388" s="114"/>
      <c r="Z388" s="114"/>
      <c r="AA388" s="114"/>
      <c r="AB388" s="114"/>
      <c r="AC388" s="114"/>
      <c r="AD388" s="114"/>
      <c r="AE388" s="114"/>
      <c r="AF388" s="114"/>
      <c r="AG388" s="114"/>
      <c r="AH388" s="114"/>
    </row>
    <row r="389" spans="1:34" ht="24" customHeight="1" x14ac:dyDescent="0.6">
      <c r="A389" s="114"/>
      <c r="B389" s="114"/>
      <c r="C389" s="114"/>
      <c r="D389" s="114"/>
      <c r="E389" s="114"/>
      <c r="F389" s="115"/>
      <c r="G389" s="138"/>
      <c r="H389" s="114"/>
      <c r="I389" s="114"/>
      <c r="J389" s="114"/>
      <c r="K389" s="114"/>
      <c r="L389" s="114"/>
      <c r="M389" s="114"/>
      <c r="N389" s="114"/>
      <c r="O389" s="114"/>
      <c r="P389" s="114"/>
      <c r="Q389" s="114"/>
      <c r="R389" s="114"/>
      <c r="S389" s="114"/>
      <c r="T389" s="116"/>
      <c r="U389" s="116"/>
      <c r="V389" s="116"/>
      <c r="W389" s="209"/>
      <c r="X389" s="114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</row>
    <row r="390" spans="1:34" ht="24" customHeight="1" x14ac:dyDescent="0.6">
      <c r="A390" s="114"/>
      <c r="B390" s="114"/>
      <c r="C390" s="114"/>
      <c r="D390" s="114"/>
      <c r="E390" s="114"/>
      <c r="F390" s="115"/>
      <c r="G390" s="138"/>
      <c r="H390" s="114"/>
      <c r="I390" s="114"/>
      <c r="J390" s="114"/>
      <c r="K390" s="114"/>
      <c r="L390" s="114"/>
      <c r="M390" s="114"/>
      <c r="N390" s="114"/>
      <c r="O390" s="114"/>
      <c r="P390" s="114"/>
      <c r="Q390" s="114"/>
      <c r="R390" s="114"/>
      <c r="S390" s="114"/>
      <c r="T390" s="116"/>
      <c r="U390" s="116"/>
      <c r="V390" s="116"/>
      <c r="W390" s="209"/>
      <c r="X390" s="114"/>
      <c r="Y390" s="114"/>
      <c r="Z390" s="114"/>
      <c r="AA390" s="114"/>
      <c r="AB390" s="114"/>
      <c r="AC390" s="114"/>
      <c r="AD390" s="114"/>
      <c r="AE390" s="114"/>
      <c r="AF390" s="114"/>
      <c r="AG390" s="114"/>
      <c r="AH390" s="114"/>
    </row>
    <row r="391" spans="1:34" ht="24" customHeight="1" x14ac:dyDescent="0.6">
      <c r="A391" s="114"/>
      <c r="B391" s="114"/>
      <c r="C391" s="114"/>
      <c r="D391" s="114"/>
      <c r="E391" s="114"/>
      <c r="F391" s="115"/>
      <c r="G391" s="138"/>
      <c r="H391" s="114"/>
      <c r="I391" s="114"/>
      <c r="J391" s="114"/>
      <c r="K391" s="114"/>
      <c r="L391" s="114"/>
      <c r="M391" s="114"/>
      <c r="N391" s="114"/>
      <c r="O391" s="114"/>
      <c r="P391" s="114"/>
      <c r="Q391" s="114"/>
      <c r="R391" s="114"/>
      <c r="S391" s="114"/>
      <c r="T391" s="116"/>
      <c r="U391" s="116"/>
      <c r="V391" s="116"/>
      <c r="W391" s="209"/>
      <c r="X391" s="114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</row>
    <row r="392" spans="1:34" ht="24" customHeight="1" x14ac:dyDescent="0.6">
      <c r="A392" s="114"/>
      <c r="B392" s="114"/>
      <c r="C392" s="114"/>
      <c r="D392" s="114"/>
      <c r="E392" s="114"/>
      <c r="F392" s="115"/>
      <c r="G392" s="138"/>
      <c r="H392" s="114"/>
      <c r="I392" s="114"/>
      <c r="J392" s="114"/>
      <c r="K392" s="114"/>
      <c r="L392" s="114"/>
      <c r="M392" s="114"/>
      <c r="N392" s="114"/>
      <c r="O392" s="114"/>
      <c r="P392" s="114"/>
      <c r="Q392" s="114"/>
      <c r="R392" s="114"/>
      <c r="S392" s="114"/>
      <c r="T392" s="116"/>
      <c r="U392" s="116"/>
      <c r="V392" s="116"/>
      <c r="W392" s="209"/>
      <c r="X392" s="114"/>
      <c r="Y392" s="114"/>
      <c r="Z392" s="114"/>
      <c r="AA392" s="114"/>
      <c r="AB392" s="114"/>
      <c r="AC392" s="114"/>
      <c r="AD392" s="114"/>
      <c r="AE392" s="114"/>
      <c r="AF392" s="114"/>
      <c r="AG392" s="114"/>
      <c r="AH392" s="114"/>
    </row>
    <row r="393" spans="1:34" ht="24" customHeight="1" x14ac:dyDescent="0.6">
      <c r="A393" s="114"/>
      <c r="B393" s="114"/>
      <c r="C393" s="114"/>
      <c r="D393" s="114"/>
      <c r="E393" s="114"/>
      <c r="F393" s="115"/>
      <c r="G393" s="138"/>
      <c r="H393" s="114"/>
      <c r="I393" s="114"/>
      <c r="J393" s="114"/>
      <c r="K393" s="114"/>
      <c r="L393" s="114"/>
      <c r="M393" s="114"/>
      <c r="N393" s="114"/>
      <c r="O393" s="114"/>
      <c r="P393" s="114"/>
      <c r="Q393" s="114"/>
      <c r="R393" s="114"/>
      <c r="S393" s="114"/>
      <c r="T393" s="116"/>
      <c r="U393" s="116"/>
      <c r="V393" s="116"/>
      <c r="W393" s="209"/>
      <c r="X393" s="114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</row>
    <row r="394" spans="1:34" ht="24" customHeight="1" x14ac:dyDescent="0.6">
      <c r="A394" s="114"/>
      <c r="B394" s="114"/>
      <c r="C394" s="114"/>
      <c r="D394" s="114"/>
      <c r="E394" s="114"/>
      <c r="F394" s="115"/>
      <c r="G394" s="138"/>
      <c r="H394" s="114"/>
      <c r="I394" s="114"/>
      <c r="J394" s="114"/>
      <c r="K394" s="114"/>
      <c r="L394" s="114"/>
      <c r="M394" s="114"/>
      <c r="N394" s="114"/>
      <c r="O394" s="114"/>
      <c r="P394" s="114"/>
      <c r="Q394" s="114"/>
      <c r="R394" s="114"/>
      <c r="S394" s="114"/>
      <c r="T394" s="116"/>
      <c r="U394" s="116"/>
      <c r="V394" s="116"/>
      <c r="W394" s="209"/>
      <c r="X394" s="114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</row>
    <row r="395" spans="1:34" ht="24" customHeight="1" x14ac:dyDescent="0.6">
      <c r="A395" s="114"/>
      <c r="B395" s="114"/>
      <c r="C395" s="114"/>
      <c r="D395" s="114"/>
      <c r="E395" s="114"/>
      <c r="F395" s="115"/>
      <c r="G395" s="138"/>
      <c r="H395" s="114"/>
      <c r="I395" s="114"/>
      <c r="J395" s="114"/>
      <c r="K395" s="114"/>
      <c r="L395" s="114"/>
      <c r="M395" s="114"/>
      <c r="N395" s="114"/>
      <c r="O395" s="114"/>
      <c r="P395" s="114"/>
      <c r="Q395" s="114"/>
      <c r="R395" s="114"/>
      <c r="S395" s="114"/>
      <c r="T395" s="116"/>
      <c r="U395" s="116"/>
      <c r="V395" s="116"/>
      <c r="W395" s="209"/>
      <c r="X395" s="114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</row>
    <row r="396" spans="1:34" ht="24" customHeight="1" x14ac:dyDescent="0.6">
      <c r="A396" s="114"/>
      <c r="B396" s="114"/>
      <c r="C396" s="114"/>
      <c r="D396" s="114"/>
      <c r="E396" s="114"/>
      <c r="F396" s="115"/>
      <c r="G396" s="138"/>
      <c r="H396" s="114"/>
      <c r="I396" s="114"/>
      <c r="J396" s="114"/>
      <c r="K396" s="114"/>
      <c r="L396" s="114"/>
      <c r="M396" s="114"/>
      <c r="N396" s="114"/>
      <c r="O396" s="114"/>
      <c r="P396" s="114"/>
      <c r="Q396" s="114"/>
      <c r="R396" s="114"/>
      <c r="S396" s="114"/>
      <c r="T396" s="116"/>
      <c r="U396" s="116"/>
      <c r="V396" s="116"/>
      <c r="W396" s="209"/>
      <c r="X396" s="114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</row>
    <row r="397" spans="1:34" ht="24" customHeight="1" x14ac:dyDescent="0.6">
      <c r="A397" s="114"/>
      <c r="B397" s="114"/>
      <c r="C397" s="114"/>
      <c r="D397" s="114"/>
      <c r="E397" s="114"/>
      <c r="F397" s="115"/>
      <c r="G397" s="138"/>
      <c r="H397" s="114"/>
      <c r="I397" s="114"/>
      <c r="J397" s="114"/>
      <c r="K397" s="114"/>
      <c r="L397" s="114"/>
      <c r="M397" s="114"/>
      <c r="N397" s="114"/>
      <c r="O397" s="114"/>
      <c r="P397" s="114"/>
      <c r="Q397" s="114"/>
      <c r="R397" s="114"/>
      <c r="S397" s="114"/>
      <c r="T397" s="116"/>
      <c r="U397" s="116"/>
      <c r="V397" s="116"/>
      <c r="W397" s="209"/>
      <c r="X397" s="114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</row>
    <row r="398" spans="1:34" ht="24" customHeight="1" x14ac:dyDescent="0.6">
      <c r="A398" s="114"/>
      <c r="B398" s="114"/>
      <c r="C398" s="114"/>
      <c r="D398" s="114"/>
      <c r="E398" s="114"/>
      <c r="F398" s="115"/>
      <c r="G398" s="138"/>
      <c r="H398" s="114"/>
      <c r="I398" s="114"/>
      <c r="J398" s="114"/>
      <c r="K398" s="114"/>
      <c r="L398" s="114"/>
      <c r="M398" s="114"/>
      <c r="N398" s="114"/>
      <c r="O398" s="114"/>
      <c r="P398" s="114"/>
      <c r="Q398" s="114"/>
      <c r="R398" s="114"/>
      <c r="S398" s="114"/>
      <c r="T398" s="116"/>
      <c r="U398" s="116"/>
      <c r="V398" s="116"/>
      <c r="W398" s="209"/>
      <c r="X398" s="114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</row>
    <row r="399" spans="1:34" ht="24" customHeight="1" x14ac:dyDescent="0.6">
      <c r="A399" s="114"/>
      <c r="B399" s="114"/>
      <c r="C399" s="114"/>
      <c r="D399" s="114"/>
      <c r="E399" s="114"/>
      <c r="F399" s="115"/>
      <c r="G399" s="138"/>
      <c r="H399" s="114"/>
      <c r="I399" s="114"/>
      <c r="J399" s="114"/>
      <c r="K399" s="114"/>
      <c r="L399" s="114"/>
      <c r="M399" s="114"/>
      <c r="N399" s="114"/>
      <c r="O399" s="114"/>
      <c r="P399" s="114"/>
      <c r="Q399" s="114"/>
      <c r="R399" s="114"/>
      <c r="S399" s="114"/>
      <c r="T399" s="116"/>
      <c r="U399" s="116"/>
      <c r="V399" s="116"/>
      <c r="W399" s="209"/>
      <c r="X399" s="114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</row>
    <row r="400" spans="1:34" ht="24" customHeight="1" x14ac:dyDescent="0.6">
      <c r="A400" s="114"/>
      <c r="B400" s="114"/>
      <c r="C400" s="114"/>
      <c r="D400" s="114"/>
      <c r="E400" s="114"/>
      <c r="F400" s="115"/>
      <c r="G400" s="138"/>
      <c r="H400" s="114"/>
      <c r="I400" s="114"/>
      <c r="J400" s="114"/>
      <c r="K400" s="114"/>
      <c r="L400" s="114"/>
      <c r="M400" s="114"/>
      <c r="N400" s="114"/>
      <c r="O400" s="114"/>
      <c r="P400" s="114"/>
      <c r="Q400" s="114"/>
      <c r="R400" s="114"/>
      <c r="S400" s="114"/>
      <c r="T400" s="116"/>
      <c r="U400" s="116"/>
      <c r="V400" s="116"/>
      <c r="W400" s="209"/>
      <c r="X400" s="114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</row>
    <row r="401" spans="1:34" ht="24" customHeight="1" x14ac:dyDescent="0.6">
      <c r="A401" s="114"/>
      <c r="B401" s="114"/>
      <c r="C401" s="114"/>
      <c r="D401" s="114"/>
      <c r="E401" s="114"/>
      <c r="F401" s="115"/>
      <c r="G401" s="138"/>
      <c r="H401" s="114"/>
      <c r="I401" s="114"/>
      <c r="J401" s="114"/>
      <c r="K401" s="114"/>
      <c r="L401" s="114"/>
      <c r="M401" s="114"/>
      <c r="N401" s="114"/>
      <c r="O401" s="114"/>
      <c r="P401" s="114"/>
      <c r="Q401" s="114"/>
      <c r="R401" s="114"/>
      <c r="S401" s="114"/>
      <c r="T401" s="116"/>
      <c r="U401" s="116"/>
      <c r="V401" s="116"/>
      <c r="W401" s="209"/>
      <c r="X401" s="114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</row>
    <row r="402" spans="1:34" ht="24" customHeight="1" x14ac:dyDescent="0.6">
      <c r="A402" s="114"/>
      <c r="B402" s="114"/>
      <c r="C402" s="114"/>
      <c r="D402" s="114"/>
      <c r="E402" s="114"/>
      <c r="F402" s="115"/>
      <c r="G402" s="138"/>
      <c r="H402" s="114"/>
      <c r="I402" s="114"/>
      <c r="J402" s="114"/>
      <c r="K402" s="114"/>
      <c r="L402" s="114"/>
      <c r="M402" s="114"/>
      <c r="N402" s="114"/>
      <c r="O402" s="114"/>
      <c r="P402" s="114"/>
      <c r="Q402" s="114"/>
      <c r="R402" s="114"/>
      <c r="S402" s="114"/>
      <c r="T402" s="116"/>
      <c r="U402" s="116"/>
      <c r="V402" s="116"/>
      <c r="W402" s="209"/>
      <c r="X402" s="114"/>
      <c r="Y402" s="114"/>
      <c r="Z402" s="114"/>
      <c r="AA402" s="114"/>
      <c r="AB402" s="114"/>
      <c r="AC402" s="114"/>
      <c r="AD402" s="114"/>
      <c r="AE402" s="114"/>
      <c r="AF402" s="114"/>
      <c r="AG402" s="114"/>
      <c r="AH402" s="114"/>
    </row>
    <row r="403" spans="1:34" ht="24" customHeight="1" x14ac:dyDescent="0.6">
      <c r="A403" s="114"/>
      <c r="B403" s="114"/>
      <c r="C403" s="114"/>
      <c r="D403" s="114"/>
      <c r="E403" s="114"/>
      <c r="F403" s="115"/>
      <c r="G403" s="138"/>
      <c r="H403" s="114"/>
      <c r="I403" s="114"/>
      <c r="J403" s="114"/>
      <c r="K403" s="114"/>
      <c r="L403" s="114"/>
      <c r="M403" s="114"/>
      <c r="N403" s="114"/>
      <c r="O403" s="114"/>
      <c r="P403" s="114"/>
      <c r="Q403" s="114"/>
      <c r="R403" s="114"/>
      <c r="S403" s="114"/>
      <c r="T403" s="116"/>
      <c r="U403" s="116"/>
      <c r="V403" s="116"/>
      <c r="W403" s="209"/>
      <c r="X403" s="114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</row>
    <row r="404" spans="1:34" ht="24" customHeight="1" x14ac:dyDescent="0.6">
      <c r="A404" s="114"/>
      <c r="B404" s="114"/>
      <c r="C404" s="114"/>
      <c r="D404" s="114"/>
      <c r="E404" s="114"/>
      <c r="F404" s="115"/>
      <c r="G404" s="138"/>
      <c r="H404" s="114"/>
      <c r="I404" s="114"/>
      <c r="J404" s="114"/>
      <c r="K404" s="114"/>
      <c r="L404" s="114"/>
      <c r="M404" s="114"/>
      <c r="N404" s="114"/>
      <c r="O404" s="114"/>
      <c r="P404" s="114"/>
      <c r="Q404" s="114"/>
      <c r="R404" s="114"/>
      <c r="S404" s="114"/>
      <c r="T404" s="116"/>
      <c r="U404" s="116"/>
      <c r="V404" s="116"/>
      <c r="W404" s="209"/>
      <c r="X404" s="114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</row>
    <row r="405" spans="1:34" ht="24" customHeight="1" x14ac:dyDescent="0.6">
      <c r="A405" s="114"/>
      <c r="B405" s="114"/>
      <c r="C405" s="114"/>
      <c r="D405" s="114"/>
      <c r="E405" s="114"/>
      <c r="F405" s="115"/>
      <c r="G405" s="138"/>
      <c r="H405" s="114"/>
      <c r="I405" s="114"/>
      <c r="J405" s="114"/>
      <c r="K405" s="114"/>
      <c r="L405" s="114"/>
      <c r="M405" s="114"/>
      <c r="N405" s="114"/>
      <c r="O405" s="114"/>
      <c r="P405" s="114"/>
      <c r="Q405" s="114"/>
      <c r="R405" s="114"/>
      <c r="S405" s="114"/>
      <c r="T405" s="116"/>
      <c r="U405" s="116"/>
      <c r="V405" s="116"/>
      <c r="W405" s="209"/>
      <c r="X405" s="114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</row>
    <row r="406" spans="1:34" ht="24" customHeight="1" x14ac:dyDescent="0.6">
      <c r="A406" s="114"/>
      <c r="B406" s="114"/>
      <c r="C406" s="114"/>
      <c r="D406" s="114"/>
      <c r="E406" s="114"/>
      <c r="F406" s="115"/>
      <c r="G406" s="138"/>
      <c r="H406" s="114"/>
      <c r="I406" s="114"/>
      <c r="J406" s="114"/>
      <c r="K406" s="114"/>
      <c r="L406" s="114"/>
      <c r="M406" s="114"/>
      <c r="N406" s="114"/>
      <c r="O406" s="114"/>
      <c r="P406" s="114"/>
      <c r="Q406" s="114"/>
      <c r="R406" s="114"/>
      <c r="S406" s="114"/>
      <c r="T406" s="116"/>
      <c r="U406" s="116"/>
      <c r="V406" s="116"/>
      <c r="W406" s="209"/>
      <c r="X406" s="114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</row>
    <row r="407" spans="1:34" ht="24" customHeight="1" x14ac:dyDescent="0.6">
      <c r="A407" s="114"/>
      <c r="B407" s="114"/>
      <c r="C407" s="114"/>
      <c r="D407" s="114"/>
      <c r="E407" s="114"/>
      <c r="F407" s="115"/>
      <c r="G407" s="138"/>
      <c r="H407" s="114"/>
      <c r="I407" s="114"/>
      <c r="J407" s="114"/>
      <c r="K407" s="114"/>
      <c r="L407" s="114"/>
      <c r="M407" s="114"/>
      <c r="N407" s="114"/>
      <c r="O407" s="114"/>
      <c r="P407" s="114"/>
      <c r="Q407" s="114"/>
      <c r="R407" s="114"/>
      <c r="S407" s="114"/>
      <c r="T407" s="116"/>
      <c r="U407" s="116"/>
      <c r="V407" s="116"/>
      <c r="W407" s="209"/>
      <c r="X407" s="114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</row>
    <row r="408" spans="1:34" ht="24" customHeight="1" x14ac:dyDescent="0.6">
      <c r="A408" s="114"/>
      <c r="B408" s="114"/>
      <c r="C408" s="114"/>
      <c r="D408" s="114"/>
      <c r="E408" s="114"/>
      <c r="F408" s="115"/>
      <c r="G408" s="138"/>
      <c r="H408" s="114"/>
      <c r="I408" s="114"/>
      <c r="J408" s="114"/>
      <c r="K408" s="114"/>
      <c r="L408" s="114"/>
      <c r="M408" s="114"/>
      <c r="N408" s="114"/>
      <c r="O408" s="114"/>
      <c r="P408" s="114"/>
      <c r="Q408" s="114"/>
      <c r="R408" s="114"/>
      <c r="S408" s="114"/>
      <c r="T408" s="116"/>
      <c r="U408" s="116"/>
      <c r="V408" s="116"/>
      <c r="W408" s="209"/>
      <c r="X408" s="114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</row>
    <row r="409" spans="1:34" ht="24" customHeight="1" x14ac:dyDescent="0.6">
      <c r="A409" s="114"/>
      <c r="B409" s="114"/>
      <c r="C409" s="114"/>
      <c r="D409" s="114"/>
      <c r="E409" s="114"/>
      <c r="F409" s="115"/>
      <c r="G409" s="138"/>
      <c r="H409" s="114"/>
      <c r="I409" s="114"/>
      <c r="J409" s="114"/>
      <c r="K409" s="114"/>
      <c r="L409" s="114"/>
      <c r="M409" s="114"/>
      <c r="N409" s="114"/>
      <c r="O409" s="114"/>
      <c r="P409" s="114"/>
      <c r="Q409" s="114"/>
      <c r="R409" s="114"/>
      <c r="S409" s="114"/>
      <c r="T409" s="116"/>
      <c r="U409" s="116"/>
      <c r="V409" s="116"/>
      <c r="W409" s="209"/>
      <c r="X409" s="114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</row>
    <row r="410" spans="1:34" ht="24" customHeight="1" x14ac:dyDescent="0.6">
      <c r="A410" s="114"/>
      <c r="B410" s="114"/>
      <c r="C410" s="114"/>
      <c r="D410" s="114"/>
      <c r="E410" s="114"/>
      <c r="F410" s="115"/>
      <c r="G410" s="138"/>
      <c r="H410" s="114"/>
      <c r="I410" s="114"/>
      <c r="J410" s="114"/>
      <c r="K410" s="114"/>
      <c r="L410" s="114"/>
      <c r="M410" s="114"/>
      <c r="N410" s="114"/>
      <c r="O410" s="114"/>
      <c r="P410" s="114"/>
      <c r="Q410" s="114"/>
      <c r="R410" s="114"/>
      <c r="S410" s="114"/>
      <c r="T410" s="116"/>
      <c r="U410" s="116"/>
      <c r="V410" s="116"/>
      <c r="W410" s="209"/>
      <c r="X410" s="114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</row>
    <row r="411" spans="1:34" ht="24" customHeight="1" x14ac:dyDescent="0.6">
      <c r="A411" s="114"/>
      <c r="B411" s="114"/>
      <c r="C411" s="114"/>
      <c r="D411" s="114"/>
      <c r="E411" s="114"/>
      <c r="F411" s="115"/>
      <c r="G411" s="138"/>
      <c r="H411" s="114"/>
      <c r="I411" s="114"/>
      <c r="J411" s="114"/>
      <c r="K411" s="114"/>
      <c r="L411" s="114"/>
      <c r="M411" s="114"/>
      <c r="N411" s="114"/>
      <c r="O411" s="114"/>
      <c r="P411" s="114"/>
      <c r="Q411" s="114"/>
      <c r="R411" s="114"/>
      <c r="S411" s="114"/>
      <c r="T411" s="116"/>
      <c r="U411" s="116"/>
      <c r="V411" s="116"/>
      <c r="W411" s="209"/>
      <c r="X411" s="114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</row>
    <row r="412" spans="1:34" ht="24" customHeight="1" x14ac:dyDescent="0.6">
      <c r="A412" s="114"/>
      <c r="B412" s="114"/>
      <c r="C412" s="114"/>
      <c r="D412" s="114"/>
      <c r="E412" s="114"/>
      <c r="F412" s="115"/>
      <c r="G412" s="138"/>
      <c r="H412" s="114"/>
      <c r="I412" s="114"/>
      <c r="J412" s="114"/>
      <c r="K412" s="114"/>
      <c r="L412" s="114"/>
      <c r="M412" s="114"/>
      <c r="N412" s="114"/>
      <c r="O412" s="114"/>
      <c r="P412" s="114"/>
      <c r="Q412" s="114"/>
      <c r="R412" s="114"/>
      <c r="S412" s="114"/>
      <c r="T412" s="116"/>
      <c r="U412" s="116"/>
      <c r="V412" s="116"/>
      <c r="W412" s="209"/>
      <c r="X412" s="114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</row>
    <row r="413" spans="1:34" ht="24" customHeight="1" x14ac:dyDescent="0.6">
      <c r="A413" s="114"/>
      <c r="B413" s="114"/>
      <c r="C413" s="114"/>
      <c r="D413" s="114"/>
      <c r="E413" s="114"/>
      <c r="F413" s="115"/>
      <c r="G413" s="138"/>
      <c r="H413" s="114"/>
      <c r="I413" s="114"/>
      <c r="J413" s="114"/>
      <c r="K413" s="114"/>
      <c r="L413" s="114"/>
      <c r="M413" s="114"/>
      <c r="N413" s="114"/>
      <c r="O413" s="114"/>
      <c r="P413" s="114"/>
      <c r="Q413" s="114"/>
      <c r="R413" s="114"/>
      <c r="S413" s="114"/>
      <c r="T413" s="116"/>
      <c r="U413" s="116"/>
      <c r="V413" s="116"/>
      <c r="W413" s="209"/>
      <c r="X413" s="114"/>
      <c r="Y413" s="114"/>
      <c r="Z413" s="114"/>
      <c r="AA413" s="114"/>
      <c r="AB413" s="114"/>
      <c r="AC413" s="114"/>
      <c r="AD413" s="114"/>
      <c r="AE413" s="114"/>
      <c r="AF413" s="114"/>
      <c r="AG413" s="114"/>
      <c r="AH413" s="114"/>
    </row>
    <row r="414" spans="1:34" ht="24" customHeight="1" x14ac:dyDescent="0.6">
      <c r="A414" s="114"/>
      <c r="B414" s="114"/>
      <c r="C414" s="114"/>
      <c r="D414" s="114"/>
      <c r="E414" s="114"/>
      <c r="F414" s="115"/>
      <c r="G414" s="138"/>
      <c r="H414" s="114"/>
      <c r="I414" s="114"/>
      <c r="J414" s="114"/>
      <c r="K414" s="114"/>
      <c r="L414" s="114"/>
      <c r="M414" s="114"/>
      <c r="N414" s="114"/>
      <c r="O414" s="114"/>
      <c r="P414" s="114"/>
      <c r="Q414" s="114"/>
      <c r="R414" s="114"/>
      <c r="S414" s="114"/>
      <c r="T414" s="116"/>
      <c r="U414" s="116"/>
      <c r="V414" s="116"/>
      <c r="W414" s="209"/>
      <c r="X414" s="114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/>
    </row>
    <row r="415" spans="1:34" ht="24" customHeight="1" x14ac:dyDescent="0.6">
      <c r="A415" s="114"/>
      <c r="B415" s="114"/>
      <c r="C415" s="114"/>
      <c r="D415" s="114"/>
      <c r="E415" s="114"/>
      <c r="F415" s="115"/>
      <c r="G415" s="138"/>
      <c r="H415" s="114"/>
      <c r="I415" s="114"/>
      <c r="J415" s="114"/>
      <c r="K415" s="114"/>
      <c r="L415" s="114"/>
      <c r="M415" s="114"/>
      <c r="N415" s="114"/>
      <c r="O415" s="114"/>
      <c r="P415" s="114"/>
      <c r="Q415" s="114"/>
      <c r="R415" s="114"/>
      <c r="S415" s="114"/>
      <c r="T415" s="116"/>
      <c r="U415" s="116"/>
      <c r="V415" s="116"/>
      <c r="W415" s="209"/>
      <c r="X415" s="114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</row>
    <row r="416" spans="1:34" ht="24" customHeight="1" x14ac:dyDescent="0.6">
      <c r="A416" s="114"/>
      <c r="B416" s="114"/>
      <c r="C416" s="114"/>
      <c r="D416" s="114"/>
      <c r="E416" s="114"/>
      <c r="F416" s="115"/>
      <c r="G416" s="138"/>
      <c r="H416" s="114"/>
      <c r="I416" s="114"/>
      <c r="J416" s="114"/>
      <c r="K416" s="114"/>
      <c r="L416" s="114"/>
      <c r="M416" s="114"/>
      <c r="N416" s="114"/>
      <c r="O416" s="114"/>
      <c r="P416" s="114"/>
      <c r="Q416" s="114"/>
      <c r="R416" s="114"/>
      <c r="S416" s="114"/>
      <c r="T416" s="116"/>
      <c r="U416" s="116"/>
      <c r="V416" s="116"/>
      <c r="W416" s="209"/>
      <c r="X416" s="114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</row>
    <row r="417" spans="1:34" ht="24" customHeight="1" x14ac:dyDescent="0.6">
      <c r="A417" s="114"/>
      <c r="B417" s="114"/>
      <c r="C417" s="114"/>
      <c r="D417" s="114"/>
      <c r="E417" s="114"/>
      <c r="F417" s="115"/>
      <c r="G417" s="138"/>
      <c r="H417" s="114"/>
      <c r="I417" s="114"/>
      <c r="J417" s="114"/>
      <c r="K417" s="114"/>
      <c r="L417" s="114"/>
      <c r="M417" s="114"/>
      <c r="N417" s="114"/>
      <c r="O417" s="114"/>
      <c r="P417" s="114"/>
      <c r="Q417" s="114"/>
      <c r="R417" s="114"/>
      <c r="S417" s="114"/>
      <c r="T417" s="116"/>
      <c r="U417" s="116"/>
      <c r="V417" s="116"/>
      <c r="W417" s="209"/>
      <c r="X417" s="114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</row>
    <row r="418" spans="1:34" ht="24" customHeight="1" x14ac:dyDescent="0.6">
      <c r="A418" s="114"/>
      <c r="B418" s="114"/>
      <c r="C418" s="114"/>
      <c r="D418" s="114"/>
      <c r="E418" s="114"/>
      <c r="F418" s="115"/>
      <c r="G418" s="138"/>
      <c r="H418" s="114"/>
      <c r="I418" s="114"/>
      <c r="J418" s="114"/>
      <c r="K418" s="114"/>
      <c r="L418" s="114"/>
      <c r="M418" s="114"/>
      <c r="N418" s="114"/>
      <c r="O418" s="114"/>
      <c r="P418" s="114"/>
      <c r="Q418" s="114"/>
      <c r="R418" s="114"/>
      <c r="S418" s="114"/>
      <c r="T418" s="116"/>
      <c r="U418" s="116"/>
      <c r="V418" s="116"/>
      <c r="W418" s="209"/>
      <c r="X418" s="114"/>
      <c r="Y418" s="114"/>
      <c r="Z418" s="114"/>
      <c r="AA418" s="114"/>
      <c r="AB418" s="114"/>
      <c r="AC418" s="114"/>
      <c r="AD418" s="114"/>
      <c r="AE418" s="114"/>
      <c r="AF418" s="114"/>
      <c r="AG418" s="114"/>
      <c r="AH418" s="114"/>
    </row>
    <row r="419" spans="1:34" ht="24" customHeight="1" x14ac:dyDescent="0.6">
      <c r="A419" s="114"/>
      <c r="B419" s="114"/>
      <c r="C419" s="114"/>
      <c r="D419" s="114"/>
      <c r="E419" s="114"/>
      <c r="F419" s="115"/>
      <c r="G419" s="138"/>
      <c r="H419" s="114"/>
      <c r="I419" s="114"/>
      <c r="J419" s="114"/>
      <c r="K419" s="114"/>
      <c r="L419" s="114"/>
      <c r="M419" s="114"/>
      <c r="N419" s="114"/>
      <c r="O419" s="114"/>
      <c r="P419" s="114"/>
      <c r="Q419" s="114"/>
      <c r="R419" s="114"/>
      <c r="S419" s="114"/>
      <c r="T419" s="116"/>
      <c r="U419" s="116"/>
      <c r="V419" s="116"/>
      <c r="W419" s="209"/>
      <c r="X419" s="114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</row>
    <row r="420" spans="1:34" ht="24" customHeight="1" x14ac:dyDescent="0.6">
      <c r="A420" s="114"/>
      <c r="B420" s="114"/>
      <c r="C420" s="114"/>
      <c r="D420" s="114"/>
      <c r="E420" s="114"/>
      <c r="F420" s="115"/>
      <c r="G420" s="138"/>
      <c r="H420" s="114"/>
      <c r="I420" s="114"/>
      <c r="J420" s="114"/>
      <c r="K420" s="114"/>
      <c r="L420" s="114"/>
      <c r="M420" s="114"/>
      <c r="N420" s="114"/>
      <c r="O420" s="114"/>
      <c r="P420" s="114"/>
      <c r="Q420" s="114"/>
      <c r="R420" s="114"/>
      <c r="S420" s="114"/>
      <c r="T420" s="116"/>
      <c r="U420" s="116"/>
      <c r="V420" s="116"/>
      <c r="W420" s="209"/>
      <c r="X420" s="114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</row>
    <row r="421" spans="1:34" ht="24" customHeight="1" x14ac:dyDescent="0.6">
      <c r="A421" s="114"/>
      <c r="B421" s="114"/>
      <c r="C421" s="114"/>
      <c r="D421" s="114"/>
      <c r="E421" s="114"/>
      <c r="F421" s="115"/>
      <c r="G421" s="138"/>
      <c r="H421" s="114"/>
      <c r="I421" s="114"/>
      <c r="J421" s="114"/>
      <c r="K421" s="114"/>
      <c r="L421" s="114"/>
      <c r="M421" s="114"/>
      <c r="N421" s="114"/>
      <c r="O421" s="114"/>
      <c r="P421" s="114"/>
      <c r="Q421" s="114"/>
      <c r="R421" s="114"/>
      <c r="S421" s="114"/>
      <c r="T421" s="116"/>
      <c r="U421" s="116"/>
      <c r="V421" s="116"/>
      <c r="W421" s="209"/>
      <c r="X421" s="114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</row>
    <row r="422" spans="1:34" ht="24" customHeight="1" x14ac:dyDescent="0.6">
      <c r="A422" s="114"/>
      <c r="B422" s="114"/>
      <c r="C422" s="114"/>
      <c r="D422" s="114"/>
      <c r="E422" s="114"/>
      <c r="F422" s="115"/>
      <c r="G422" s="138"/>
      <c r="H422" s="114"/>
      <c r="I422" s="114"/>
      <c r="J422" s="114"/>
      <c r="K422" s="114"/>
      <c r="L422" s="114"/>
      <c r="M422" s="114"/>
      <c r="N422" s="114"/>
      <c r="O422" s="114"/>
      <c r="P422" s="114"/>
      <c r="Q422" s="114"/>
      <c r="R422" s="114"/>
      <c r="S422" s="114"/>
      <c r="T422" s="116"/>
      <c r="U422" s="116"/>
      <c r="V422" s="116"/>
      <c r="W422" s="209"/>
      <c r="X422" s="114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</row>
    <row r="423" spans="1:34" ht="24" customHeight="1" x14ac:dyDescent="0.6">
      <c r="A423" s="114"/>
      <c r="B423" s="114"/>
      <c r="C423" s="114"/>
      <c r="D423" s="114"/>
      <c r="E423" s="114"/>
      <c r="F423" s="115"/>
      <c r="G423" s="138"/>
      <c r="H423" s="114"/>
      <c r="I423" s="114"/>
      <c r="J423" s="114"/>
      <c r="K423" s="114"/>
      <c r="L423" s="114"/>
      <c r="M423" s="114"/>
      <c r="N423" s="114"/>
      <c r="O423" s="114"/>
      <c r="P423" s="114"/>
      <c r="Q423" s="114"/>
      <c r="R423" s="114"/>
      <c r="S423" s="114"/>
      <c r="T423" s="116"/>
      <c r="U423" s="116"/>
      <c r="V423" s="116"/>
      <c r="W423" s="209"/>
      <c r="X423" s="114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</row>
    <row r="424" spans="1:34" ht="24" customHeight="1" x14ac:dyDescent="0.6">
      <c r="A424" s="114"/>
      <c r="B424" s="114"/>
      <c r="C424" s="114"/>
      <c r="D424" s="114"/>
      <c r="E424" s="114"/>
      <c r="F424" s="115"/>
      <c r="G424" s="138"/>
      <c r="H424" s="114"/>
      <c r="I424" s="114"/>
      <c r="J424" s="114"/>
      <c r="K424" s="114"/>
      <c r="L424" s="114"/>
      <c r="M424" s="114"/>
      <c r="N424" s="114"/>
      <c r="O424" s="114"/>
      <c r="P424" s="114"/>
      <c r="Q424" s="114"/>
      <c r="R424" s="114"/>
      <c r="S424" s="114"/>
      <c r="T424" s="116"/>
      <c r="U424" s="116"/>
      <c r="V424" s="116"/>
      <c r="W424" s="209"/>
      <c r="X424" s="114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</row>
    <row r="425" spans="1:34" ht="24" customHeight="1" x14ac:dyDescent="0.6">
      <c r="A425" s="114"/>
      <c r="B425" s="114"/>
      <c r="C425" s="114"/>
      <c r="D425" s="114"/>
      <c r="E425" s="114"/>
      <c r="F425" s="115"/>
      <c r="G425" s="138"/>
      <c r="H425" s="114"/>
      <c r="I425" s="114"/>
      <c r="J425" s="114"/>
      <c r="K425" s="114"/>
      <c r="L425" s="114"/>
      <c r="M425" s="114"/>
      <c r="N425" s="114"/>
      <c r="O425" s="114"/>
      <c r="P425" s="114"/>
      <c r="Q425" s="114"/>
      <c r="R425" s="114"/>
      <c r="S425" s="114"/>
      <c r="T425" s="116"/>
      <c r="U425" s="116"/>
      <c r="V425" s="116"/>
      <c r="W425" s="209"/>
      <c r="X425" s="114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</row>
    <row r="426" spans="1:34" ht="24" customHeight="1" x14ac:dyDescent="0.6">
      <c r="A426" s="114"/>
      <c r="B426" s="114"/>
      <c r="C426" s="114"/>
      <c r="D426" s="114"/>
      <c r="E426" s="114"/>
      <c r="F426" s="115"/>
      <c r="G426" s="138"/>
      <c r="H426" s="114"/>
      <c r="I426" s="114"/>
      <c r="J426" s="114"/>
      <c r="K426" s="114"/>
      <c r="L426" s="114"/>
      <c r="M426" s="114"/>
      <c r="N426" s="114"/>
      <c r="O426" s="114"/>
      <c r="P426" s="114"/>
      <c r="Q426" s="114"/>
      <c r="R426" s="114"/>
      <c r="S426" s="114"/>
      <c r="T426" s="116"/>
      <c r="U426" s="116"/>
      <c r="V426" s="116"/>
      <c r="W426" s="209"/>
      <c r="X426" s="114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/>
    </row>
    <row r="427" spans="1:34" ht="24" customHeight="1" x14ac:dyDescent="0.6">
      <c r="A427" s="114"/>
      <c r="B427" s="114"/>
      <c r="C427" s="114"/>
      <c r="D427" s="114"/>
      <c r="E427" s="114"/>
      <c r="F427" s="115"/>
      <c r="G427" s="138"/>
      <c r="H427" s="114"/>
      <c r="I427" s="114"/>
      <c r="J427" s="114"/>
      <c r="K427" s="114"/>
      <c r="L427" s="114"/>
      <c r="M427" s="114"/>
      <c r="N427" s="114"/>
      <c r="O427" s="114"/>
      <c r="P427" s="114"/>
      <c r="Q427" s="114"/>
      <c r="R427" s="114"/>
      <c r="S427" s="114"/>
      <c r="T427" s="116"/>
      <c r="U427" s="116"/>
      <c r="V427" s="116"/>
      <c r="W427" s="209"/>
      <c r="X427" s="114"/>
      <c r="Y427" s="114"/>
      <c r="Z427" s="114"/>
      <c r="AA427" s="114"/>
      <c r="AB427" s="114"/>
      <c r="AC427" s="114"/>
      <c r="AD427" s="114"/>
      <c r="AE427" s="114"/>
      <c r="AF427" s="114"/>
      <c r="AG427" s="114"/>
      <c r="AH427" s="114"/>
    </row>
    <row r="428" spans="1:34" ht="24" customHeight="1" x14ac:dyDescent="0.6">
      <c r="A428" s="114"/>
      <c r="B428" s="114"/>
      <c r="C428" s="114"/>
      <c r="D428" s="114"/>
      <c r="E428" s="114"/>
      <c r="F428" s="115"/>
      <c r="G428" s="138"/>
      <c r="H428" s="114"/>
      <c r="I428" s="114"/>
      <c r="J428" s="114"/>
      <c r="K428" s="114"/>
      <c r="L428" s="114"/>
      <c r="M428" s="114"/>
      <c r="N428" s="114"/>
      <c r="O428" s="114"/>
      <c r="P428" s="114"/>
      <c r="Q428" s="114"/>
      <c r="R428" s="114"/>
      <c r="S428" s="114"/>
      <c r="T428" s="116"/>
      <c r="U428" s="116"/>
      <c r="V428" s="116"/>
      <c r="W428" s="209"/>
      <c r="X428" s="114"/>
      <c r="Y428" s="114"/>
      <c r="Z428" s="114"/>
      <c r="AA428" s="114"/>
      <c r="AB428" s="114"/>
      <c r="AC428" s="114"/>
      <c r="AD428" s="114"/>
      <c r="AE428" s="114"/>
      <c r="AF428" s="114"/>
      <c r="AG428" s="114"/>
      <c r="AH428" s="114"/>
    </row>
    <row r="429" spans="1:34" ht="24" customHeight="1" x14ac:dyDescent="0.6">
      <c r="A429" s="114"/>
      <c r="B429" s="114"/>
      <c r="C429" s="114"/>
      <c r="D429" s="114"/>
      <c r="E429" s="114"/>
      <c r="F429" s="115"/>
      <c r="G429" s="138"/>
      <c r="H429" s="114"/>
      <c r="I429" s="114"/>
      <c r="J429" s="114"/>
      <c r="K429" s="114"/>
      <c r="L429" s="114"/>
      <c r="M429" s="114"/>
      <c r="N429" s="114"/>
      <c r="O429" s="114"/>
      <c r="P429" s="114"/>
      <c r="Q429" s="114"/>
      <c r="R429" s="114"/>
      <c r="S429" s="114"/>
      <c r="T429" s="116"/>
      <c r="U429" s="116"/>
      <c r="V429" s="116"/>
      <c r="W429" s="209"/>
      <c r="X429" s="114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</row>
    <row r="430" spans="1:34" ht="24" customHeight="1" x14ac:dyDescent="0.6">
      <c r="A430" s="114"/>
      <c r="B430" s="114"/>
      <c r="C430" s="114"/>
      <c r="D430" s="114"/>
      <c r="E430" s="114"/>
      <c r="F430" s="115"/>
      <c r="G430" s="138"/>
      <c r="H430" s="114"/>
      <c r="I430" s="114"/>
      <c r="J430" s="114"/>
      <c r="K430" s="114"/>
      <c r="L430" s="114"/>
      <c r="M430" s="114"/>
      <c r="N430" s="114"/>
      <c r="O430" s="114"/>
      <c r="P430" s="114"/>
      <c r="Q430" s="114"/>
      <c r="R430" s="114"/>
      <c r="S430" s="114"/>
      <c r="T430" s="116"/>
      <c r="U430" s="116"/>
      <c r="V430" s="116"/>
      <c r="W430" s="209"/>
      <c r="X430" s="114"/>
      <c r="Y430" s="114"/>
      <c r="Z430" s="114"/>
      <c r="AA430" s="114"/>
      <c r="AB430" s="114"/>
      <c r="AC430" s="114"/>
      <c r="AD430" s="114"/>
      <c r="AE430" s="114"/>
      <c r="AF430" s="114"/>
      <c r="AG430" s="114"/>
      <c r="AH430" s="114"/>
    </row>
    <row r="431" spans="1:34" ht="24" customHeight="1" x14ac:dyDescent="0.6">
      <c r="A431" s="114"/>
      <c r="B431" s="114"/>
      <c r="C431" s="114"/>
      <c r="D431" s="114"/>
      <c r="E431" s="114"/>
      <c r="F431" s="115"/>
      <c r="G431" s="138"/>
      <c r="H431" s="114"/>
      <c r="I431" s="114"/>
      <c r="J431" s="114"/>
      <c r="K431" s="114"/>
      <c r="L431" s="114"/>
      <c r="M431" s="114"/>
      <c r="N431" s="114"/>
      <c r="O431" s="114"/>
      <c r="P431" s="114"/>
      <c r="Q431" s="114"/>
      <c r="R431" s="114"/>
      <c r="S431" s="114"/>
      <c r="T431" s="116"/>
      <c r="U431" s="116"/>
      <c r="V431" s="116"/>
      <c r="W431" s="209"/>
      <c r="X431" s="114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</row>
    <row r="432" spans="1:34" ht="24" customHeight="1" x14ac:dyDescent="0.6">
      <c r="A432" s="114"/>
      <c r="B432" s="114"/>
      <c r="C432" s="114"/>
      <c r="D432" s="114"/>
      <c r="E432" s="114"/>
      <c r="F432" s="115"/>
      <c r="G432" s="138"/>
      <c r="H432" s="114"/>
      <c r="I432" s="114"/>
      <c r="J432" s="114"/>
      <c r="K432" s="114"/>
      <c r="L432" s="114"/>
      <c r="M432" s="114"/>
      <c r="N432" s="114"/>
      <c r="O432" s="114"/>
      <c r="P432" s="114"/>
      <c r="Q432" s="114"/>
      <c r="R432" s="114"/>
      <c r="S432" s="114"/>
      <c r="T432" s="116"/>
      <c r="U432" s="116"/>
      <c r="V432" s="116"/>
      <c r="W432" s="209"/>
      <c r="X432" s="114"/>
      <c r="Y432" s="114"/>
      <c r="Z432" s="114"/>
      <c r="AA432" s="114"/>
      <c r="AB432" s="114"/>
      <c r="AC432" s="114"/>
      <c r="AD432" s="114"/>
      <c r="AE432" s="114"/>
      <c r="AF432" s="114"/>
      <c r="AG432" s="114"/>
      <c r="AH432" s="114"/>
    </row>
    <row r="433" spans="1:34" ht="24" customHeight="1" x14ac:dyDescent="0.6">
      <c r="A433" s="114"/>
      <c r="B433" s="114"/>
      <c r="C433" s="114"/>
      <c r="D433" s="114"/>
      <c r="E433" s="114"/>
      <c r="F433" s="115"/>
      <c r="G433" s="138"/>
      <c r="H433" s="114"/>
      <c r="I433" s="114"/>
      <c r="J433" s="114"/>
      <c r="K433" s="114"/>
      <c r="L433" s="114"/>
      <c r="M433" s="114"/>
      <c r="N433" s="114"/>
      <c r="O433" s="114"/>
      <c r="P433" s="114"/>
      <c r="Q433" s="114"/>
      <c r="R433" s="114"/>
      <c r="S433" s="114"/>
      <c r="T433" s="116"/>
      <c r="U433" s="116"/>
      <c r="V433" s="116"/>
      <c r="W433" s="209"/>
      <c r="X433" s="114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</row>
    <row r="434" spans="1:34" ht="24" customHeight="1" x14ac:dyDescent="0.6">
      <c r="A434" s="114"/>
      <c r="B434" s="114"/>
      <c r="C434" s="114"/>
      <c r="D434" s="114"/>
      <c r="E434" s="114"/>
      <c r="F434" s="115"/>
      <c r="G434" s="138"/>
      <c r="H434" s="114"/>
      <c r="I434" s="114"/>
      <c r="J434" s="114"/>
      <c r="K434" s="114"/>
      <c r="L434" s="114"/>
      <c r="M434" s="114"/>
      <c r="N434" s="114"/>
      <c r="O434" s="114"/>
      <c r="P434" s="114"/>
      <c r="Q434" s="114"/>
      <c r="R434" s="114"/>
      <c r="S434" s="114"/>
      <c r="T434" s="116"/>
      <c r="U434" s="116"/>
      <c r="V434" s="116"/>
      <c r="W434" s="209"/>
      <c r="X434" s="114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/>
    </row>
    <row r="435" spans="1:34" ht="24" customHeight="1" x14ac:dyDescent="0.6">
      <c r="A435" s="114"/>
      <c r="B435" s="114"/>
      <c r="C435" s="114"/>
      <c r="D435" s="114"/>
      <c r="E435" s="114"/>
      <c r="F435" s="115"/>
      <c r="G435" s="138"/>
      <c r="H435" s="114"/>
      <c r="I435" s="114"/>
      <c r="J435" s="114"/>
      <c r="K435" s="114"/>
      <c r="L435" s="114"/>
      <c r="M435" s="114"/>
      <c r="N435" s="114"/>
      <c r="O435" s="114"/>
      <c r="P435" s="114"/>
      <c r="Q435" s="114"/>
      <c r="R435" s="114"/>
      <c r="S435" s="114"/>
      <c r="T435" s="116"/>
      <c r="U435" s="116"/>
      <c r="V435" s="116"/>
      <c r="W435" s="209"/>
      <c r="X435" s="114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</row>
    <row r="436" spans="1:34" ht="24" customHeight="1" x14ac:dyDescent="0.6">
      <c r="A436" s="114"/>
      <c r="B436" s="114"/>
      <c r="C436" s="114"/>
      <c r="D436" s="114"/>
      <c r="E436" s="114"/>
      <c r="F436" s="115"/>
      <c r="G436" s="138"/>
      <c r="H436" s="114"/>
      <c r="I436" s="114"/>
      <c r="J436" s="114"/>
      <c r="K436" s="114"/>
      <c r="L436" s="114"/>
      <c r="M436" s="114"/>
      <c r="N436" s="114"/>
      <c r="O436" s="114"/>
      <c r="P436" s="114"/>
      <c r="Q436" s="114"/>
      <c r="R436" s="114"/>
      <c r="S436" s="114"/>
      <c r="T436" s="116"/>
      <c r="U436" s="116"/>
      <c r="V436" s="116"/>
      <c r="W436" s="209"/>
      <c r="X436" s="114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</row>
    <row r="437" spans="1:34" ht="24" customHeight="1" x14ac:dyDescent="0.6">
      <c r="A437" s="114"/>
      <c r="B437" s="114"/>
      <c r="C437" s="114"/>
      <c r="D437" s="114"/>
      <c r="E437" s="114"/>
      <c r="F437" s="115"/>
      <c r="G437" s="138"/>
      <c r="H437" s="114"/>
      <c r="I437" s="114"/>
      <c r="J437" s="114"/>
      <c r="K437" s="114"/>
      <c r="L437" s="114"/>
      <c r="M437" s="114"/>
      <c r="N437" s="114"/>
      <c r="O437" s="114"/>
      <c r="P437" s="114"/>
      <c r="Q437" s="114"/>
      <c r="R437" s="114"/>
      <c r="S437" s="114"/>
      <c r="T437" s="116"/>
      <c r="U437" s="116"/>
      <c r="V437" s="116"/>
      <c r="W437" s="209"/>
      <c r="X437" s="114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</row>
    <row r="438" spans="1:34" ht="24" customHeight="1" x14ac:dyDescent="0.6">
      <c r="A438" s="114"/>
      <c r="B438" s="114"/>
      <c r="C438" s="114"/>
      <c r="D438" s="114"/>
      <c r="E438" s="114"/>
      <c r="F438" s="115"/>
      <c r="G438" s="138"/>
      <c r="H438" s="114"/>
      <c r="I438" s="114"/>
      <c r="J438" s="114"/>
      <c r="K438" s="114"/>
      <c r="L438" s="114"/>
      <c r="M438" s="114"/>
      <c r="N438" s="114"/>
      <c r="O438" s="114"/>
      <c r="P438" s="114"/>
      <c r="Q438" s="114"/>
      <c r="R438" s="114"/>
      <c r="S438" s="114"/>
      <c r="T438" s="116"/>
      <c r="U438" s="116"/>
      <c r="V438" s="116"/>
      <c r="W438" s="209"/>
      <c r="X438" s="114"/>
      <c r="Y438" s="114"/>
      <c r="Z438" s="114"/>
      <c r="AA438" s="114"/>
      <c r="AB438" s="114"/>
      <c r="AC438" s="114"/>
      <c r="AD438" s="114"/>
      <c r="AE438" s="114"/>
      <c r="AF438" s="114"/>
      <c r="AG438" s="114"/>
      <c r="AH438" s="114"/>
    </row>
    <row r="439" spans="1:34" ht="24" customHeight="1" x14ac:dyDescent="0.6">
      <c r="A439" s="114"/>
      <c r="B439" s="114"/>
      <c r="C439" s="114"/>
      <c r="D439" s="114"/>
      <c r="E439" s="114"/>
      <c r="F439" s="115"/>
      <c r="G439" s="138"/>
      <c r="H439" s="114"/>
      <c r="I439" s="114"/>
      <c r="J439" s="114"/>
      <c r="K439" s="114"/>
      <c r="L439" s="114"/>
      <c r="M439" s="114"/>
      <c r="N439" s="114"/>
      <c r="O439" s="114"/>
      <c r="P439" s="114"/>
      <c r="Q439" s="114"/>
      <c r="R439" s="114"/>
      <c r="S439" s="114"/>
      <c r="T439" s="116"/>
      <c r="U439" s="116"/>
      <c r="V439" s="116"/>
      <c r="W439" s="209"/>
      <c r="X439" s="114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</row>
    <row r="440" spans="1:34" ht="24" customHeight="1" x14ac:dyDescent="0.6">
      <c r="A440" s="114"/>
      <c r="B440" s="114"/>
      <c r="C440" s="114"/>
      <c r="D440" s="114"/>
      <c r="E440" s="114"/>
      <c r="F440" s="115"/>
      <c r="G440" s="138"/>
      <c r="H440" s="114"/>
      <c r="I440" s="114"/>
      <c r="J440" s="114"/>
      <c r="K440" s="114"/>
      <c r="L440" s="114"/>
      <c r="M440" s="114"/>
      <c r="N440" s="114"/>
      <c r="O440" s="114"/>
      <c r="P440" s="114"/>
      <c r="Q440" s="114"/>
      <c r="R440" s="114"/>
      <c r="S440" s="114"/>
      <c r="T440" s="116"/>
      <c r="U440" s="116"/>
      <c r="V440" s="116"/>
      <c r="W440" s="209"/>
      <c r="X440" s="114"/>
      <c r="Y440" s="114"/>
      <c r="Z440" s="114"/>
      <c r="AA440" s="114"/>
      <c r="AB440" s="114"/>
      <c r="AC440" s="114"/>
      <c r="AD440" s="114"/>
      <c r="AE440" s="114"/>
      <c r="AF440" s="114"/>
      <c r="AG440" s="114"/>
      <c r="AH440" s="114"/>
    </row>
    <row r="441" spans="1:34" ht="24" customHeight="1" x14ac:dyDescent="0.6">
      <c r="A441" s="114"/>
      <c r="B441" s="114"/>
      <c r="C441" s="114"/>
      <c r="D441" s="114"/>
      <c r="E441" s="114"/>
      <c r="F441" s="115"/>
      <c r="G441" s="138"/>
      <c r="H441" s="114"/>
      <c r="I441" s="114"/>
      <c r="J441" s="114"/>
      <c r="K441" s="114"/>
      <c r="L441" s="114"/>
      <c r="M441" s="114"/>
      <c r="N441" s="114"/>
      <c r="O441" s="114"/>
      <c r="P441" s="114"/>
      <c r="Q441" s="114"/>
      <c r="R441" s="114"/>
      <c r="S441" s="114"/>
      <c r="T441" s="116"/>
      <c r="U441" s="116"/>
      <c r="V441" s="116"/>
      <c r="W441" s="209"/>
      <c r="X441" s="114"/>
      <c r="Y441" s="114"/>
      <c r="Z441" s="114"/>
      <c r="AA441" s="114"/>
      <c r="AB441" s="114"/>
      <c r="AC441" s="114"/>
      <c r="AD441" s="114"/>
      <c r="AE441" s="114"/>
      <c r="AF441" s="114"/>
      <c r="AG441" s="114"/>
      <c r="AH441" s="114"/>
    </row>
    <row r="442" spans="1:34" ht="24" customHeight="1" x14ac:dyDescent="0.6">
      <c r="A442" s="114"/>
      <c r="B442" s="114"/>
      <c r="C442" s="114"/>
      <c r="D442" s="114"/>
      <c r="E442" s="114"/>
      <c r="F442" s="115"/>
      <c r="G442" s="138"/>
      <c r="H442" s="114"/>
      <c r="I442" s="114"/>
      <c r="J442" s="114"/>
      <c r="K442" s="114"/>
      <c r="L442" s="114"/>
      <c r="M442" s="114"/>
      <c r="N442" s="114"/>
      <c r="O442" s="114"/>
      <c r="P442" s="114"/>
      <c r="Q442" s="114"/>
      <c r="R442" s="114"/>
      <c r="S442" s="114"/>
      <c r="T442" s="116"/>
      <c r="U442" s="116"/>
      <c r="V442" s="116"/>
      <c r="W442" s="209"/>
      <c r="X442" s="114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</row>
    <row r="443" spans="1:34" ht="24" customHeight="1" x14ac:dyDescent="0.6">
      <c r="A443" s="114"/>
      <c r="B443" s="114"/>
      <c r="C443" s="114"/>
      <c r="D443" s="114"/>
      <c r="E443" s="114"/>
      <c r="F443" s="115"/>
      <c r="G443" s="138"/>
      <c r="H443" s="114"/>
      <c r="I443" s="114"/>
      <c r="J443" s="114"/>
      <c r="K443" s="114"/>
      <c r="L443" s="114"/>
      <c r="M443" s="114"/>
      <c r="N443" s="114"/>
      <c r="O443" s="114"/>
      <c r="P443" s="114"/>
      <c r="Q443" s="114"/>
      <c r="R443" s="114"/>
      <c r="S443" s="114"/>
      <c r="T443" s="116"/>
      <c r="U443" s="116"/>
      <c r="V443" s="116"/>
      <c r="W443" s="209"/>
      <c r="X443" s="114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</row>
    <row r="444" spans="1:34" ht="24" customHeight="1" x14ac:dyDescent="0.6">
      <c r="A444" s="114"/>
      <c r="B444" s="114"/>
      <c r="C444" s="114"/>
      <c r="D444" s="114"/>
      <c r="E444" s="114"/>
      <c r="F444" s="115"/>
      <c r="G444" s="138"/>
      <c r="H444" s="114"/>
      <c r="I444" s="114"/>
      <c r="J444" s="114"/>
      <c r="K444" s="114"/>
      <c r="L444" s="114"/>
      <c r="M444" s="114"/>
      <c r="N444" s="114"/>
      <c r="O444" s="114"/>
      <c r="P444" s="114"/>
      <c r="Q444" s="114"/>
      <c r="R444" s="114"/>
      <c r="S444" s="114"/>
      <c r="T444" s="116"/>
      <c r="U444" s="116"/>
      <c r="V444" s="116"/>
      <c r="W444" s="209"/>
      <c r="X444" s="114"/>
      <c r="Y444" s="114"/>
      <c r="Z444" s="114"/>
      <c r="AA444" s="114"/>
      <c r="AB444" s="114"/>
      <c r="AC444" s="114"/>
      <c r="AD444" s="114"/>
      <c r="AE444" s="114"/>
      <c r="AF444" s="114"/>
      <c r="AG444" s="114"/>
      <c r="AH444" s="114"/>
    </row>
    <row r="445" spans="1:34" ht="24" customHeight="1" x14ac:dyDescent="0.6">
      <c r="A445" s="114"/>
      <c r="B445" s="114"/>
      <c r="C445" s="114"/>
      <c r="D445" s="114"/>
      <c r="E445" s="114"/>
      <c r="F445" s="115"/>
      <c r="G445" s="138"/>
      <c r="H445" s="114"/>
      <c r="I445" s="114"/>
      <c r="J445" s="114"/>
      <c r="K445" s="114"/>
      <c r="L445" s="114"/>
      <c r="M445" s="114"/>
      <c r="N445" s="114"/>
      <c r="O445" s="114"/>
      <c r="P445" s="114"/>
      <c r="Q445" s="114"/>
      <c r="R445" s="114"/>
      <c r="S445" s="114"/>
      <c r="T445" s="116"/>
      <c r="U445" s="116"/>
      <c r="V445" s="116"/>
      <c r="W445" s="209"/>
      <c r="X445" s="114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</row>
    <row r="446" spans="1:34" ht="24" customHeight="1" x14ac:dyDescent="0.6">
      <c r="A446" s="114"/>
      <c r="B446" s="114"/>
      <c r="C446" s="114"/>
      <c r="D446" s="114"/>
      <c r="E446" s="114"/>
      <c r="F446" s="115"/>
      <c r="G446" s="138"/>
      <c r="H446" s="114"/>
      <c r="I446" s="114"/>
      <c r="J446" s="114"/>
      <c r="K446" s="114"/>
      <c r="L446" s="114"/>
      <c r="M446" s="114"/>
      <c r="N446" s="114"/>
      <c r="O446" s="114"/>
      <c r="P446" s="114"/>
      <c r="Q446" s="114"/>
      <c r="R446" s="114"/>
      <c r="S446" s="114"/>
      <c r="T446" s="116"/>
      <c r="U446" s="116"/>
      <c r="V446" s="116"/>
      <c r="W446" s="209"/>
      <c r="X446" s="114"/>
      <c r="Y446" s="114"/>
      <c r="Z446" s="114"/>
      <c r="AA446" s="114"/>
      <c r="AB446" s="114"/>
      <c r="AC446" s="114"/>
      <c r="AD446" s="114"/>
      <c r="AE446" s="114"/>
      <c r="AF446" s="114"/>
      <c r="AG446" s="114"/>
      <c r="AH446" s="114"/>
    </row>
    <row r="447" spans="1:34" ht="24" customHeight="1" x14ac:dyDescent="0.6">
      <c r="A447" s="114"/>
      <c r="B447" s="114"/>
      <c r="C447" s="114"/>
      <c r="D447" s="114"/>
      <c r="E447" s="114"/>
      <c r="F447" s="115"/>
      <c r="G447" s="138"/>
      <c r="H447" s="114"/>
      <c r="I447" s="114"/>
      <c r="J447" s="114"/>
      <c r="K447" s="114"/>
      <c r="L447" s="114"/>
      <c r="M447" s="114"/>
      <c r="N447" s="114"/>
      <c r="O447" s="114"/>
      <c r="P447" s="114"/>
      <c r="Q447" s="114"/>
      <c r="R447" s="114"/>
      <c r="S447" s="114"/>
      <c r="T447" s="116"/>
      <c r="U447" s="116"/>
      <c r="V447" s="116"/>
      <c r="W447" s="209"/>
      <c r="X447" s="114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</row>
    <row r="448" spans="1:34" ht="24" customHeight="1" x14ac:dyDescent="0.6">
      <c r="A448" s="114"/>
      <c r="B448" s="114"/>
      <c r="C448" s="114"/>
      <c r="D448" s="114"/>
      <c r="E448" s="114"/>
      <c r="F448" s="115"/>
      <c r="G448" s="138"/>
      <c r="H448" s="114"/>
      <c r="I448" s="114"/>
      <c r="J448" s="114"/>
      <c r="K448" s="114"/>
      <c r="L448" s="114"/>
      <c r="M448" s="114"/>
      <c r="N448" s="114"/>
      <c r="O448" s="114"/>
      <c r="P448" s="114"/>
      <c r="Q448" s="114"/>
      <c r="R448" s="114"/>
      <c r="S448" s="114"/>
      <c r="T448" s="116"/>
      <c r="U448" s="116"/>
      <c r="V448" s="116"/>
      <c r="W448" s="209"/>
      <c r="X448" s="114"/>
      <c r="Y448" s="114"/>
      <c r="Z448" s="114"/>
      <c r="AA448" s="114"/>
      <c r="AB448" s="114"/>
      <c r="AC448" s="114"/>
      <c r="AD448" s="114"/>
      <c r="AE448" s="114"/>
      <c r="AF448" s="114"/>
      <c r="AG448" s="114"/>
      <c r="AH448" s="114"/>
    </row>
    <row r="449" spans="1:34" ht="24" customHeight="1" x14ac:dyDescent="0.6">
      <c r="A449" s="114"/>
      <c r="B449" s="114"/>
      <c r="C449" s="114"/>
      <c r="D449" s="114"/>
      <c r="E449" s="114"/>
      <c r="F449" s="115"/>
      <c r="G449" s="138"/>
      <c r="H449" s="114"/>
      <c r="I449" s="114"/>
      <c r="J449" s="114"/>
      <c r="K449" s="114"/>
      <c r="L449" s="114"/>
      <c r="M449" s="114"/>
      <c r="N449" s="114"/>
      <c r="O449" s="114"/>
      <c r="P449" s="114"/>
      <c r="Q449" s="114"/>
      <c r="R449" s="114"/>
      <c r="S449" s="114"/>
      <c r="T449" s="116"/>
      <c r="U449" s="116"/>
      <c r="V449" s="116"/>
      <c r="W449" s="209"/>
      <c r="X449" s="114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</row>
    <row r="450" spans="1:34" ht="24" customHeight="1" x14ac:dyDescent="0.6">
      <c r="A450" s="114"/>
      <c r="B450" s="114"/>
      <c r="C450" s="114"/>
      <c r="D450" s="114"/>
      <c r="E450" s="114"/>
      <c r="F450" s="115"/>
      <c r="G450" s="138"/>
      <c r="H450" s="114"/>
      <c r="I450" s="114"/>
      <c r="J450" s="114"/>
      <c r="K450" s="114"/>
      <c r="L450" s="114"/>
      <c r="M450" s="114"/>
      <c r="N450" s="114"/>
      <c r="O450" s="114"/>
      <c r="P450" s="114"/>
      <c r="Q450" s="114"/>
      <c r="R450" s="114"/>
      <c r="S450" s="114"/>
      <c r="T450" s="116"/>
      <c r="U450" s="116"/>
      <c r="V450" s="116"/>
      <c r="W450" s="209"/>
      <c r="X450" s="114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/>
    </row>
    <row r="451" spans="1:34" ht="24" customHeight="1" x14ac:dyDescent="0.6">
      <c r="A451" s="114"/>
      <c r="B451" s="114"/>
      <c r="C451" s="114"/>
      <c r="D451" s="114"/>
      <c r="E451" s="114"/>
      <c r="F451" s="115"/>
      <c r="G451" s="138"/>
      <c r="H451" s="114"/>
      <c r="I451" s="114"/>
      <c r="J451" s="114"/>
      <c r="K451" s="114"/>
      <c r="L451" s="114"/>
      <c r="M451" s="114"/>
      <c r="N451" s="114"/>
      <c r="O451" s="114"/>
      <c r="P451" s="114"/>
      <c r="Q451" s="114"/>
      <c r="R451" s="114"/>
      <c r="S451" s="114"/>
      <c r="T451" s="116"/>
      <c r="U451" s="116"/>
      <c r="V451" s="116"/>
      <c r="W451" s="209"/>
      <c r="X451" s="114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</row>
    <row r="452" spans="1:34" ht="24" customHeight="1" x14ac:dyDescent="0.6">
      <c r="A452" s="114"/>
      <c r="B452" s="114"/>
      <c r="C452" s="114"/>
      <c r="D452" s="114"/>
      <c r="E452" s="114"/>
      <c r="F452" s="115"/>
      <c r="G452" s="138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114"/>
      <c r="S452" s="114"/>
      <c r="T452" s="116"/>
      <c r="U452" s="116"/>
      <c r="V452" s="116"/>
      <c r="W452" s="209"/>
      <c r="X452" s="114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/>
    </row>
    <row r="453" spans="1:34" ht="24" customHeight="1" x14ac:dyDescent="0.6">
      <c r="A453" s="114"/>
      <c r="B453" s="114"/>
      <c r="C453" s="114"/>
      <c r="D453" s="114"/>
      <c r="E453" s="114"/>
      <c r="F453" s="115"/>
      <c r="G453" s="138"/>
      <c r="H453" s="114"/>
      <c r="I453" s="114"/>
      <c r="J453" s="114"/>
      <c r="K453" s="114"/>
      <c r="L453" s="114"/>
      <c r="M453" s="114"/>
      <c r="N453" s="114"/>
      <c r="O453" s="114"/>
      <c r="P453" s="114"/>
      <c r="Q453" s="114"/>
      <c r="R453" s="114"/>
      <c r="S453" s="114"/>
      <c r="T453" s="116"/>
      <c r="U453" s="116"/>
      <c r="V453" s="116"/>
      <c r="W453" s="209"/>
      <c r="X453" s="114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</row>
    <row r="454" spans="1:34" ht="24" customHeight="1" x14ac:dyDescent="0.6">
      <c r="A454" s="114"/>
      <c r="B454" s="114"/>
      <c r="C454" s="114"/>
      <c r="D454" s="114"/>
      <c r="E454" s="114"/>
      <c r="F454" s="115"/>
      <c r="G454" s="138"/>
      <c r="H454" s="114"/>
      <c r="I454" s="114"/>
      <c r="J454" s="114"/>
      <c r="K454" s="114"/>
      <c r="L454" s="114"/>
      <c r="M454" s="114"/>
      <c r="N454" s="114"/>
      <c r="O454" s="114"/>
      <c r="P454" s="114"/>
      <c r="Q454" s="114"/>
      <c r="R454" s="114"/>
      <c r="S454" s="114"/>
      <c r="T454" s="116"/>
      <c r="U454" s="116"/>
      <c r="V454" s="116"/>
      <c r="W454" s="209"/>
      <c r="X454" s="114"/>
      <c r="Y454" s="114"/>
      <c r="Z454" s="114"/>
      <c r="AA454" s="114"/>
      <c r="AB454" s="114"/>
      <c r="AC454" s="114"/>
      <c r="AD454" s="114"/>
      <c r="AE454" s="114"/>
      <c r="AF454" s="114"/>
      <c r="AG454" s="114"/>
      <c r="AH454" s="114"/>
    </row>
    <row r="455" spans="1:34" ht="24" customHeight="1" x14ac:dyDescent="0.6">
      <c r="A455" s="114"/>
      <c r="B455" s="114"/>
      <c r="C455" s="114"/>
      <c r="D455" s="114"/>
      <c r="E455" s="114"/>
      <c r="F455" s="115"/>
      <c r="G455" s="138"/>
      <c r="H455" s="114"/>
      <c r="I455" s="114"/>
      <c r="J455" s="114"/>
      <c r="K455" s="114"/>
      <c r="L455" s="114"/>
      <c r="M455" s="114"/>
      <c r="N455" s="114"/>
      <c r="O455" s="114"/>
      <c r="P455" s="114"/>
      <c r="Q455" s="114"/>
      <c r="R455" s="114"/>
      <c r="S455" s="114"/>
      <c r="T455" s="116"/>
      <c r="U455" s="116"/>
      <c r="V455" s="116"/>
      <c r="W455" s="209"/>
      <c r="X455" s="114"/>
      <c r="Y455" s="114"/>
      <c r="Z455" s="114"/>
      <c r="AA455" s="114"/>
      <c r="AB455" s="114"/>
      <c r="AC455" s="114"/>
      <c r="AD455" s="114"/>
      <c r="AE455" s="114"/>
      <c r="AF455" s="114"/>
      <c r="AG455" s="114"/>
      <c r="AH455" s="114"/>
    </row>
    <row r="456" spans="1:34" ht="24" customHeight="1" x14ac:dyDescent="0.6">
      <c r="A456" s="114"/>
      <c r="B456" s="114"/>
      <c r="C456" s="114"/>
      <c r="D456" s="114"/>
      <c r="E456" s="114"/>
      <c r="F456" s="115"/>
      <c r="G456" s="138"/>
      <c r="H456" s="114"/>
      <c r="I456" s="114"/>
      <c r="J456" s="114"/>
      <c r="K456" s="114"/>
      <c r="L456" s="114"/>
      <c r="M456" s="114"/>
      <c r="N456" s="114"/>
      <c r="O456" s="114"/>
      <c r="P456" s="114"/>
      <c r="Q456" s="114"/>
      <c r="R456" s="114"/>
      <c r="S456" s="114"/>
      <c r="T456" s="116"/>
      <c r="U456" s="116"/>
      <c r="V456" s="116"/>
      <c r="W456" s="209"/>
      <c r="X456" s="114"/>
      <c r="Y456" s="114"/>
      <c r="Z456" s="114"/>
      <c r="AA456" s="114"/>
      <c r="AB456" s="114"/>
      <c r="AC456" s="114"/>
      <c r="AD456" s="114"/>
      <c r="AE456" s="114"/>
      <c r="AF456" s="114"/>
      <c r="AG456" s="114"/>
      <c r="AH456" s="114"/>
    </row>
    <row r="457" spans="1:34" ht="24" customHeight="1" x14ac:dyDescent="0.6">
      <c r="A457" s="114"/>
      <c r="B457" s="114"/>
      <c r="C457" s="114"/>
      <c r="D457" s="114"/>
      <c r="E457" s="114"/>
      <c r="F457" s="115"/>
      <c r="G457" s="138"/>
      <c r="H457" s="114"/>
      <c r="I457" s="114"/>
      <c r="J457" s="114"/>
      <c r="K457" s="114"/>
      <c r="L457" s="114"/>
      <c r="M457" s="114"/>
      <c r="N457" s="114"/>
      <c r="O457" s="114"/>
      <c r="P457" s="114"/>
      <c r="Q457" s="114"/>
      <c r="R457" s="114"/>
      <c r="S457" s="114"/>
      <c r="T457" s="116"/>
      <c r="U457" s="116"/>
      <c r="V457" s="116"/>
      <c r="W457" s="209"/>
      <c r="X457" s="114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</row>
    <row r="458" spans="1:34" ht="24" customHeight="1" x14ac:dyDescent="0.6">
      <c r="A458" s="114"/>
      <c r="B458" s="114"/>
      <c r="C458" s="114"/>
      <c r="D458" s="114"/>
      <c r="E458" s="114"/>
      <c r="F458" s="115"/>
      <c r="G458" s="138"/>
      <c r="H458" s="114"/>
      <c r="I458" s="114"/>
      <c r="J458" s="114"/>
      <c r="K458" s="114"/>
      <c r="L458" s="114"/>
      <c r="M458" s="114"/>
      <c r="N458" s="114"/>
      <c r="O458" s="114"/>
      <c r="P458" s="114"/>
      <c r="Q458" s="114"/>
      <c r="R458" s="114"/>
      <c r="S458" s="114"/>
      <c r="T458" s="116"/>
      <c r="U458" s="116"/>
      <c r="V458" s="116"/>
      <c r="W458" s="209"/>
      <c r="X458" s="114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</row>
    <row r="459" spans="1:34" ht="24" customHeight="1" x14ac:dyDescent="0.6">
      <c r="A459" s="114"/>
      <c r="B459" s="114"/>
      <c r="C459" s="114"/>
      <c r="D459" s="114"/>
      <c r="E459" s="114"/>
      <c r="F459" s="115"/>
      <c r="G459" s="138"/>
      <c r="H459" s="114"/>
      <c r="I459" s="114"/>
      <c r="J459" s="114"/>
      <c r="K459" s="114"/>
      <c r="L459" s="114"/>
      <c r="M459" s="114"/>
      <c r="N459" s="114"/>
      <c r="O459" s="114"/>
      <c r="P459" s="114"/>
      <c r="Q459" s="114"/>
      <c r="R459" s="114"/>
      <c r="S459" s="114"/>
      <c r="T459" s="116"/>
      <c r="U459" s="116"/>
      <c r="V459" s="116"/>
      <c r="W459" s="209"/>
      <c r="X459" s="114"/>
      <c r="Y459" s="114"/>
      <c r="Z459" s="114"/>
      <c r="AA459" s="114"/>
      <c r="AB459" s="114"/>
      <c r="AC459" s="114"/>
      <c r="AD459" s="114"/>
      <c r="AE459" s="114"/>
      <c r="AF459" s="114"/>
      <c r="AG459" s="114"/>
      <c r="AH459" s="114"/>
    </row>
    <row r="460" spans="1:34" ht="24" customHeight="1" x14ac:dyDescent="0.6">
      <c r="A460" s="114"/>
      <c r="B460" s="114"/>
      <c r="C460" s="114"/>
      <c r="D460" s="114"/>
      <c r="E460" s="114"/>
      <c r="F460" s="115"/>
      <c r="G460" s="138"/>
      <c r="H460" s="114"/>
      <c r="I460" s="114"/>
      <c r="J460" s="114"/>
      <c r="K460" s="114"/>
      <c r="L460" s="114"/>
      <c r="M460" s="114"/>
      <c r="N460" s="114"/>
      <c r="O460" s="114"/>
      <c r="P460" s="114"/>
      <c r="Q460" s="114"/>
      <c r="R460" s="114"/>
      <c r="S460" s="114"/>
      <c r="T460" s="116"/>
      <c r="U460" s="116"/>
      <c r="V460" s="116"/>
      <c r="W460" s="209"/>
      <c r="X460" s="114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</row>
    <row r="461" spans="1:34" ht="24" customHeight="1" x14ac:dyDescent="0.6">
      <c r="A461" s="114"/>
      <c r="B461" s="114"/>
      <c r="C461" s="114"/>
      <c r="D461" s="114"/>
      <c r="E461" s="114"/>
      <c r="F461" s="115"/>
      <c r="G461" s="138"/>
      <c r="H461" s="114"/>
      <c r="I461" s="114"/>
      <c r="J461" s="114"/>
      <c r="K461" s="114"/>
      <c r="L461" s="114"/>
      <c r="M461" s="114"/>
      <c r="N461" s="114"/>
      <c r="O461" s="114"/>
      <c r="P461" s="114"/>
      <c r="Q461" s="114"/>
      <c r="R461" s="114"/>
      <c r="S461" s="114"/>
      <c r="T461" s="116"/>
      <c r="U461" s="116"/>
      <c r="V461" s="116"/>
      <c r="W461" s="209"/>
      <c r="X461" s="114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</row>
    <row r="462" spans="1:34" ht="24" customHeight="1" x14ac:dyDescent="0.6">
      <c r="A462" s="114"/>
      <c r="B462" s="114"/>
      <c r="C462" s="114"/>
      <c r="D462" s="114"/>
      <c r="E462" s="114"/>
      <c r="F462" s="115"/>
      <c r="G462" s="138"/>
      <c r="H462" s="114"/>
      <c r="I462" s="114"/>
      <c r="J462" s="114"/>
      <c r="K462" s="114"/>
      <c r="L462" s="114"/>
      <c r="M462" s="114"/>
      <c r="N462" s="114"/>
      <c r="O462" s="114"/>
      <c r="P462" s="114"/>
      <c r="Q462" s="114"/>
      <c r="R462" s="114"/>
      <c r="S462" s="114"/>
      <c r="T462" s="116"/>
      <c r="U462" s="116"/>
      <c r="V462" s="116"/>
      <c r="W462" s="209"/>
      <c r="X462" s="114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</row>
    <row r="463" spans="1:34" ht="24" customHeight="1" x14ac:dyDescent="0.6">
      <c r="A463" s="114"/>
      <c r="B463" s="114"/>
      <c r="C463" s="114"/>
      <c r="D463" s="114"/>
      <c r="E463" s="114"/>
      <c r="F463" s="115"/>
      <c r="G463" s="138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114"/>
      <c r="S463" s="114"/>
      <c r="T463" s="116"/>
      <c r="U463" s="116"/>
      <c r="V463" s="116"/>
      <c r="W463" s="209"/>
      <c r="X463" s="114"/>
      <c r="Y463" s="114"/>
      <c r="Z463" s="114"/>
      <c r="AA463" s="114"/>
      <c r="AB463" s="114"/>
      <c r="AC463" s="114"/>
      <c r="AD463" s="114"/>
      <c r="AE463" s="114"/>
      <c r="AF463" s="114"/>
      <c r="AG463" s="114"/>
      <c r="AH463" s="114"/>
    </row>
    <row r="464" spans="1:34" ht="24" customHeight="1" x14ac:dyDescent="0.6">
      <c r="A464" s="114"/>
      <c r="B464" s="114"/>
      <c r="C464" s="114"/>
      <c r="D464" s="114"/>
      <c r="E464" s="114"/>
      <c r="F464" s="115"/>
      <c r="G464" s="138"/>
      <c r="H464" s="114"/>
      <c r="I464" s="114"/>
      <c r="J464" s="114"/>
      <c r="K464" s="114"/>
      <c r="L464" s="114"/>
      <c r="M464" s="114"/>
      <c r="N464" s="114"/>
      <c r="O464" s="114"/>
      <c r="P464" s="114"/>
      <c r="Q464" s="114"/>
      <c r="R464" s="114"/>
      <c r="S464" s="114"/>
      <c r="T464" s="116"/>
      <c r="U464" s="116"/>
      <c r="V464" s="116"/>
      <c r="W464" s="209"/>
      <c r="X464" s="114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</row>
    <row r="465" spans="1:34" ht="24" customHeight="1" x14ac:dyDescent="0.6">
      <c r="A465" s="114"/>
      <c r="B465" s="114"/>
      <c r="C465" s="114"/>
      <c r="D465" s="114"/>
      <c r="E465" s="114"/>
      <c r="F465" s="115"/>
      <c r="G465" s="138"/>
      <c r="H465" s="114"/>
      <c r="I465" s="114"/>
      <c r="J465" s="114"/>
      <c r="K465" s="114"/>
      <c r="L465" s="114"/>
      <c r="M465" s="114"/>
      <c r="N465" s="114"/>
      <c r="O465" s="114"/>
      <c r="P465" s="114"/>
      <c r="Q465" s="114"/>
      <c r="R465" s="114"/>
      <c r="S465" s="114"/>
      <c r="T465" s="116"/>
      <c r="U465" s="116"/>
      <c r="V465" s="116"/>
      <c r="W465" s="209"/>
      <c r="X465" s="114"/>
      <c r="Y465" s="114"/>
      <c r="Z465" s="114"/>
      <c r="AA465" s="114"/>
      <c r="AB465" s="114"/>
      <c r="AC465" s="114"/>
      <c r="AD465" s="114"/>
      <c r="AE465" s="114"/>
      <c r="AF465" s="114"/>
      <c r="AG465" s="114"/>
      <c r="AH465" s="114"/>
    </row>
    <row r="466" spans="1:34" ht="24" customHeight="1" x14ac:dyDescent="0.6">
      <c r="A466" s="114"/>
      <c r="B466" s="114"/>
      <c r="C466" s="114"/>
      <c r="D466" s="114"/>
      <c r="E466" s="114"/>
      <c r="F466" s="115"/>
      <c r="G466" s="138"/>
      <c r="H466" s="114"/>
      <c r="I466" s="114"/>
      <c r="J466" s="114"/>
      <c r="K466" s="114"/>
      <c r="L466" s="114"/>
      <c r="M466" s="114"/>
      <c r="N466" s="114"/>
      <c r="O466" s="114"/>
      <c r="P466" s="114"/>
      <c r="Q466" s="114"/>
      <c r="R466" s="114"/>
      <c r="S466" s="114"/>
      <c r="T466" s="116"/>
      <c r="U466" s="116"/>
      <c r="V466" s="116"/>
      <c r="W466" s="209"/>
      <c r="X466" s="114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</row>
    <row r="467" spans="1:34" ht="24" customHeight="1" x14ac:dyDescent="0.6">
      <c r="A467" s="114"/>
      <c r="B467" s="114"/>
      <c r="C467" s="114"/>
      <c r="D467" s="114"/>
      <c r="E467" s="114"/>
      <c r="F467" s="115"/>
      <c r="G467" s="138"/>
      <c r="H467" s="114"/>
      <c r="I467" s="114"/>
      <c r="J467" s="114"/>
      <c r="K467" s="114"/>
      <c r="L467" s="114"/>
      <c r="M467" s="114"/>
      <c r="N467" s="114"/>
      <c r="O467" s="114"/>
      <c r="P467" s="114"/>
      <c r="Q467" s="114"/>
      <c r="R467" s="114"/>
      <c r="S467" s="114"/>
      <c r="T467" s="116"/>
      <c r="U467" s="116"/>
      <c r="V467" s="116"/>
      <c r="W467" s="209"/>
      <c r="X467" s="114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</row>
    <row r="468" spans="1:34" ht="24" customHeight="1" x14ac:dyDescent="0.6">
      <c r="A468" s="114"/>
      <c r="B468" s="114"/>
      <c r="C468" s="114"/>
      <c r="D468" s="114"/>
      <c r="E468" s="114"/>
      <c r="F468" s="115"/>
      <c r="G468" s="138"/>
      <c r="H468" s="114"/>
      <c r="I468" s="114"/>
      <c r="J468" s="114"/>
      <c r="K468" s="114"/>
      <c r="L468" s="114"/>
      <c r="M468" s="114"/>
      <c r="N468" s="114"/>
      <c r="O468" s="114"/>
      <c r="P468" s="114"/>
      <c r="Q468" s="114"/>
      <c r="R468" s="114"/>
      <c r="S468" s="114"/>
      <c r="T468" s="116"/>
      <c r="U468" s="116"/>
      <c r="V468" s="116"/>
      <c r="W468" s="209"/>
      <c r="X468" s="114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</row>
    <row r="469" spans="1:34" ht="24" customHeight="1" x14ac:dyDescent="0.6">
      <c r="A469" s="114"/>
      <c r="B469" s="114"/>
      <c r="C469" s="114"/>
      <c r="D469" s="114"/>
      <c r="E469" s="114"/>
      <c r="F469" s="115"/>
      <c r="G469" s="138"/>
      <c r="H469" s="114"/>
      <c r="I469" s="114"/>
      <c r="J469" s="114"/>
      <c r="K469" s="114"/>
      <c r="L469" s="114"/>
      <c r="M469" s="114"/>
      <c r="N469" s="114"/>
      <c r="O469" s="114"/>
      <c r="P469" s="114"/>
      <c r="Q469" s="114"/>
      <c r="R469" s="114"/>
      <c r="S469" s="114"/>
      <c r="T469" s="116"/>
      <c r="U469" s="116"/>
      <c r="V469" s="116"/>
      <c r="W469" s="209"/>
      <c r="X469" s="114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</row>
    <row r="470" spans="1:34" ht="24" customHeight="1" x14ac:dyDescent="0.6">
      <c r="A470" s="114"/>
      <c r="B470" s="114"/>
      <c r="C470" s="114"/>
      <c r="D470" s="114"/>
      <c r="E470" s="114"/>
      <c r="F470" s="115"/>
      <c r="G470" s="138"/>
      <c r="H470" s="114"/>
      <c r="I470" s="114"/>
      <c r="J470" s="114"/>
      <c r="K470" s="114"/>
      <c r="L470" s="114"/>
      <c r="M470" s="114"/>
      <c r="N470" s="114"/>
      <c r="O470" s="114"/>
      <c r="P470" s="114"/>
      <c r="Q470" s="114"/>
      <c r="R470" s="114"/>
      <c r="S470" s="114"/>
      <c r="T470" s="116"/>
      <c r="U470" s="116"/>
      <c r="V470" s="116"/>
      <c r="W470" s="209"/>
      <c r="X470" s="114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</row>
    <row r="471" spans="1:34" ht="24" customHeight="1" x14ac:dyDescent="0.6">
      <c r="A471" s="114"/>
      <c r="B471" s="114"/>
      <c r="C471" s="114"/>
      <c r="D471" s="114"/>
      <c r="E471" s="114"/>
      <c r="F471" s="115"/>
      <c r="G471" s="138"/>
      <c r="H471" s="114"/>
      <c r="I471" s="114"/>
      <c r="J471" s="114"/>
      <c r="K471" s="114"/>
      <c r="L471" s="114"/>
      <c r="M471" s="114"/>
      <c r="N471" s="114"/>
      <c r="O471" s="114"/>
      <c r="P471" s="114"/>
      <c r="Q471" s="114"/>
      <c r="R471" s="114"/>
      <c r="S471" s="114"/>
      <c r="T471" s="116"/>
      <c r="U471" s="116"/>
      <c r="V471" s="116"/>
      <c r="W471" s="209"/>
      <c r="X471" s="114"/>
      <c r="Y471" s="114"/>
      <c r="Z471" s="114"/>
      <c r="AA471" s="114"/>
      <c r="AB471" s="114"/>
      <c r="AC471" s="114"/>
      <c r="AD471" s="114"/>
      <c r="AE471" s="114"/>
      <c r="AF471" s="114"/>
      <c r="AG471" s="114"/>
      <c r="AH471" s="114"/>
    </row>
    <row r="472" spans="1:34" ht="24" customHeight="1" x14ac:dyDescent="0.6">
      <c r="A472" s="114"/>
      <c r="B472" s="114"/>
      <c r="C472" s="114"/>
      <c r="D472" s="114"/>
      <c r="E472" s="114"/>
      <c r="F472" s="115"/>
      <c r="G472" s="138"/>
      <c r="H472" s="114"/>
      <c r="I472" s="114"/>
      <c r="J472" s="114"/>
      <c r="K472" s="114"/>
      <c r="L472" s="114"/>
      <c r="M472" s="114"/>
      <c r="N472" s="114"/>
      <c r="O472" s="114"/>
      <c r="P472" s="114"/>
      <c r="Q472" s="114"/>
      <c r="R472" s="114"/>
      <c r="S472" s="114"/>
      <c r="T472" s="116"/>
      <c r="U472" s="116"/>
      <c r="V472" s="116"/>
      <c r="W472" s="209"/>
      <c r="X472" s="114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</row>
    <row r="473" spans="1:34" ht="24" customHeight="1" x14ac:dyDescent="0.6">
      <c r="A473" s="114"/>
      <c r="B473" s="114"/>
      <c r="C473" s="114"/>
      <c r="D473" s="114"/>
      <c r="E473" s="114"/>
      <c r="F473" s="115"/>
      <c r="G473" s="138"/>
      <c r="H473" s="114"/>
      <c r="I473" s="114"/>
      <c r="J473" s="114"/>
      <c r="K473" s="114"/>
      <c r="L473" s="114"/>
      <c r="M473" s="114"/>
      <c r="N473" s="114"/>
      <c r="O473" s="114"/>
      <c r="P473" s="114"/>
      <c r="Q473" s="114"/>
      <c r="R473" s="114"/>
      <c r="S473" s="114"/>
      <c r="T473" s="116"/>
      <c r="U473" s="116"/>
      <c r="V473" s="116"/>
      <c r="W473" s="209"/>
      <c r="X473" s="114"/>
      <c r="Y473" s="114"/>
      <c r="Z473" s="114"/>
      <c r="AA473" s="114"/>
      <c r="AB473" s="114"/>
      <c r="AC473" s="114"/>
      <c r="AD473" s="114"/>
      <c r="AE473" s="114"/>
      <c r="AF473" s="114"/>
      <c r="AG473" s="114"/>
      <c r="AH473" s="114"/>
    </row>
    <row r="474" spans="1:34" ht="24" customHeight="1" x14ac:dyDescent="0.6">
      <c r="A474" s="114"/>
      <c r="B474" s="114"/>
      <c r="C474" s="114"/>
      <c r="D474" s="114"/>
      <c r="E474" s="114"/>
      <c r="F474" s="115"/>
      <c r="G474" s="138"/>
      <c r="H474" s="114"/>
      <c r="I474" s="114"/>
      <c r="J474" s="114"/>
      <c r="K474" s="114"/>
      <c r="L474" s="114"/>
      <c r="M474" s="114"/>
      <c r="N474" s="114"/>
      <c r="O474" s="114"/>
      <c r="P474" s="114"/>
      <c r="Q474" s="114"/>
      <c r="R474" s="114"/>
      <c r="S474" s="114"/>
      <c r="T474" s="116"/>
      <c r="U474" s="116"/>
      <c r="V474" s="116"/>
      <c r="W474" s="209"/>
      <c r="X474" s="114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</row>
    <row r="475" spans="1:34" ht="24" customHeight="1" x14ac:dyDescent="0.6">
      <c r="A475" s="114"/>
      <c r="B475" s="114"/>
      <c r="C475" s="114"/>
      <c r="D475" s="114"/>
      <c r="E475" s="114"/>
      <c r="F475" s="115"/>
      <c r="G475" s="138"/>
      <c r="H475" s="114"/>
      <c r="I475" s="114"/>
      <c r="J475" s="114"/>
      <c r="K475" s="114"/>
      <c r="L475" s="114"/>
      <c r="M475" s="114"/>
      <c r="N475" s="114"/>
      <c r="O475" s="114"/>
      <c r="P475" s="114"/>
      <c r="Q475" s="114"/>
      <c r="R475" s="114"/>
      <c r="S475" s="114"/>
      <c r="T475" s="116"/>
      <c r="U475" s="116"/>
      <c r="V475" s="116"/>
      <c r="W475" s="209"/>
      <c r="X475" s="114"/>
      <c r="Y475" s="114"/>
      <c r="Z475" s="114"/>
      <c r="AA475" s="114"/>
      <c r="AB475" s="114"/>
      <c r="AC475" s="114"/>
      <c r="AD475" s="114"/>
      <c r="AE475" s="114"/>
      <c r="AF475" s="114"/>
      <c r="AG475" s="114"/>
      <c r="AH475" s="114"/>
    </row>
    <row r="476" spans="1:34" ht="24" customHeight="1" x14ac:dyDescent="0.6">
      <c r="A476" s="114"/>
      <c r="B476" s="114"/>
      <c r="C476" s="114"/>
      <c r="D476" s="114"/>
      <c r="E476" s="114"/>
      <c r="F476" s="115"/>
      <c r="G476" s="138"/>
      <c r="H476" s="114"/>
      <c r="I476" s="114"/>
      <c r="J476" s="114"/>
      <c r="K476" s="114"/>
      <c r="L476" s="114"/>
      <c r="M476" s="114"/>
      <c r="N476" s="114"/>
      <c r="O476" s="114"/>
      <c r="P476" s="114"/>
      <c r="Q476" s="114"/>
      <c r="R476" s="114"/>
      <c r="S476" s="114"/>
      <c r="T476" s="116"/>
      <c r="U476" s="116"/>
      <c r="V476" s="116"/>
      <c r="W476" s="209"/>
      <c r="X476" s="114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</row>
    <row r="477" spans="1:34" ht="24" customHeight="1" x14ac:dyDescent="0.6">
      <c r="A477" s="114"/>
      <c r="B477" s="114"/>
      <c r="C477" s="114"/>
      <c r="D477" s="114"/>
      <c r="E477" s="114"/>
      <c r="F477" s="115"/>
      <c r="G477" s="138"/>
      <c r="H477" s="114"/>
      <c r="I477" s="114"/>
      <c r="J477" s="114"/>
      <c r="K477" s="114"/>
      <c r="L477" s="114"/>
      <c r="M477" s="114"/>
      <c r="N477" s="114"/>
      <c r="O477" s="114"/>
      <c r="P477" s="114"/>
      <c r="Q477" s="114"/>
      <c r="R477" s="114"/>
      <c r="S477" s="114"/>
      <c r="T477" s="116"/>
      <c r="U477" s="116"/>
      <c r="V477" s="116"/>
      <c r="W477" s="209"/>
      <c r="X477" s="114"/>
      <c r="Y477" s="114"/>
      <c r="Z477" s="114"/>
      <c r="AA477" s="114"/>
      <c r="AB477" s="114"/>
      <c r="AC477" s="114"/>
      <c r="AD477" s="114"/>
      <c r="AE477" s="114"/>
      <c r="AF477" s="114"/>
      <c r="AG477" s="114"/>
      <c r="AH477" s="114"/>
    </row>
    <row r="478" spans="1:34" ht="24" customHeight="1" x14ac:dyDescent="0.6">
      <c r="A478" s="114"/>
      <c r="B478" s="114"/>
      <c r="C478" s="114"/>
      <c r="D478" s="114"/>
      <c r="E478" s="114"/>
      <c r="F478" s="115"/>
      <c r="G478" s="138"/>
      <c r="H478" s="114"/>
      <c r="I478" s="114"/>
      <c r="J478" s="114"/>
      <c r="K478" s="114"/>
      <c r="L478" s="114"/>
      <c r="M478" s="114"/>
      <c r="N478" s="114"/>
      <c r="O478" s="114"/>
      <c r="P478" s="114"/>
      <c r="Q478" s="114"/>
      <c r="R478" s="114"/>
      <c r="S478" s="114"/>
      <c r="T478" s="116"/>
      <c r="U478" s="116"/>
      <c r="V478" s="116"/>
      <c r="W478" s="209"/>
      <c r="X478" s="114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</row>
    <row r="479" spans="1:34" ht="24" customHeight="1" x14ac:dyDescent="0.6">
      <c r="A479" s="114"/>
      <c r="B479" s="114"/>
      <c r="C479" s="114"/>
      <c r="D479" s="114"/>
      <c r="E479" s="114"/>
      <c r="F479" s="115"/>
      <c r="G479" s="138"/>
      <c r="H479" s="114"/>
      <c r="I479" s="114"/>
      <c r="J479" s="114"/>
      <c r="K479" s="114"/>
      <c r="L479" s="114"/>
      <c r="M479" s="114"/>
      <c r="N479" s="114"/>
      <c r="O479" s="114"/>
      <c r="P479" s="114"/>
      <c r="Q479" s="114"/>
      <c r="R479" s="114"/>
      <c r="S479" s="114"/>
      <c r="T479" s="116"/>
      <c r="U479" s="116"/>
      <c r="V479" s="116"/>
      <c r="W479" s="209"/>
      <c r="X479" s="114"/>
      <c r="Y479" s="114"/>
      <c r="Z479" s="114"/>
      <c r="AA479" s="114"/>
      <c r="AB479" s="114"/>
      <c r="AC479" s="114"/>
      <c r="AD479" s="114"/>
      <c r="AE479" s="114"/>
      <c r="AF479" s="114"/>
      <c r="AG479" s="114"/>
      <c r="AH479" s="114"/>
    </row>
    <row r="480" spans="1:34" ht="24" customHeight="1" x14ac:dyDescent="0.6">
      <c r="A480" s="114"/>
      <c r="B480" s="114"/>
      <c r="C480" s="114"/>
      <c r="D480" s="114"/>
      <c r="E480" s="114"/>
      <c r="F480" s="115"/>
      <c r="G480" s="138"/>
      <c r="H480" s="114"/>
      <c r="I480" s="114"/>
      <c r="J480" s="114"/>
      <c r="K480" s="114"/>
      <c r="L480" s="114"/>
      <c r="M480" s="114"/>
      <c r="N480" s="114"/>
      <c r="O480" s="114"/>
      <c r="P480" s="114"/>
      <c r="Q480" s="114"/>
      <c r="R480" s="114"/>
      <c r="S480" s="114"/>
      <c r="T480" s="116"/>
      <c r="U480" s="116"/>
      <c r="V480" s="116"/>
      <c r="W480" s="209"/>
      <c r="X480" s="114"/>
      <c r="Y480" s="114"/>
      <c r="Z480" s="114"/>
      <c r="AA480" s="114"/>
      <c r="AB480" s="114"/>
      <c r="AC480" s="114"/>
      <c r="AD480" s="114"/>
      <c r="AE480" s="114"/>
      <c r="AF480" s="114"/>
      <c r="AG480" s="114"/>
      <c r="AH480" s="114"/>
    </row>
    <row r="481" spans="1:34" ht="24" customHeight="1" x14ac:dyDescent="0.6">
      <c r="A481" s="114"/>
      <c r="B481" s="114"/>
      <c r="C481" s="114"/>
      <c r="D481" s="114"/>
      <c r="E481" s="114"/>
      <c r="F481" s="115"/>
      <c r="G481" s="138"/>
      <c r="H481" s="114"/>
      <c r="I481" s="114"/>
      <c r="J481" s="114"/>
      <c r="K481" s="114"/>
      <c r="L481" s="114"/>
      <c r="M481" s="114"/>
      <c r="N481" s="114"/>
      <c r="O481" s="114"/>
      <c r="P481" s="114"/>
      <c r="Q481" s="114"/>
      <c r="R481" s="114"/>
      <c r="S481" s="114"/>
      <c r="T481" s="116"/>
      <c r="U481" s="116"/>
      <c r="V481" s="116"/>
      <c r="W481" s="209"/>
      <c r="X481" s="114"/>
      <c r="Y481" s="114"/>
      <c r="Z481" s="114"/>
      <c r="AA481" s="114"/>
      <c r="AB481" s="114"/>
      <c r="AC481" s="114"/>
      <c r="AD481" s="114"/>
      <c r="AE481" s="114"/>
      <c r="AF481" s="114"/>
      <c r="AG481" s="114"/>
      <c r="AH481" s="114"/>
    </row>
    <row r="482" spans="1:34" ht="24" customHeight="1" x14ac:dyDescent="0.6">
      <c r="A482" s="114"/>
      <c r="B482" s="114"/>
      <c r="C482" s="114"/>
      <c r="D482" s="114"/>
      <c r="E482" s="114"/>
      <c r="F482" s="115"/>
      <c r="G482" s="138"/>
      <c r="H482" s="114"/>
      <c r="I482" s="114"/>
      <c r="J482" s="114"/>
      <c r="K482" s="114"/>
      <c r="L482" s="114"/>
      <c r="M482" s="114"/>
      <c r="N482" s="114"/>
      <c r="O482" s="114"/>
      <c r="P482" s="114"/>
      <c r="Q482" s="114"/>
      <c r="R482" s="114"/>
      <c r="S482" s="114"/>
      <c r="T482" s="116"/>
      <c r="U482" s="116"/>
      <c r="V482" s="116"/>
      <c r="W482" s="209"/>
      <c r="X482" s="114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</row>
    <row r="483" spans="1:34" ht="24" customHeight="1" x14ac:dyDescent="0.6">
      <c r="A483" s="114"/>
      <c r="B483" s="114"/>
      <c r="C483" s="114"/>
      <c r="D483" s="114"/>
      <c r="E483" s="114"/>
      <c r="F483" s="115"/>
      <c r="G483" s="138"/>
      <c r="H483" s="114"/>
      <c r="I483" s="114"/>
      <c r="J483" s="114"/>
      <c r="K483" s="114"/>
      <c r="L483" s="114"/>
      <c r="M483" s="114"/>
      <c r="N483" s="114"/>
      <c r="O483" s="114"/>
      <c r="P483" s="114"/>
      <c r="Q483" s="114"/>
      <c r="R483" s="114"/>
      <c r="S483" s="114"/>
      <c r="T483" s="116"/>
      <c r="U483" s="116"/>
      <c r="V483" s="116"/>
      <c r="W483" s="209"/>
      <c r="X483" s="114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</row>
    <row r="484" spans="1:34" ht="24" customHeight="1" x14ac:dyDescent="0.6">
      <c r="A484" s="114"/>
      <c r="B484" s="114"/>
      <c r="C484" s="114"/>
      <c r="D484" s="114"/>
      <c r="E484" s="114"/>
      <c r="F484" s="115"/>
      <c r="G484" s="138"/>
      <c r="H484" s="114"/>
      <c r="I484" s="114"/>
      <c r="J484" s="114"/>
      <c r="K484" s="114"/>
      <c r="L484" s="114"/>
      <c r="M484" s="114"/>
      <c r="N484" s="114"/>
      <c r="O484" s="114"/>
      <c r="P484" s="114"/>
      <c r="Q484" s="114"/>
      <c r="R484" s="114"/>
      <c r="S484" s="114"/>
      <c r="T484" s="116"/>
      <c r="U484" s="116"/>
      <c r="V484" s="116"/>
      <c r="W484" s="209"/>
      <c r="X484" s="114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</row>
    <row r="485" spans="1:34" ht="24" customHeight="1" x14ac:dyDescent="0.6">
      <c r="A485" s="114"/>
      <c r="B485" s="114"/>
      <c r="C485" s="114"/>
      <c r="D485" s="114"/>
      <c r="E485" s="114"/>
      <c r="F485" s="115"/>
      <c r="G485" s="138"/>
      <c r="H485" s="114"/>
      <c r="I485" s="114"/>
      <c r="J485" s="114"/>
      <c r="K485" s="114"/>
      <c r="L485" s="114"/>
      <c r="M485" s="114"/>
      <c r="N485" s="114"/>
      <c r="O485" s="114"/>
      <c r="P485" s="114"/>
      <c r="Q485" s="114"/>
      <c r="R485" s="114"/>
      <c r="S485" s="114"/>
      <c r="T485" s="116"/>
      <c r="U485" s="116"/>
      <c r="V485" s="116"/>
      <c r="W485" s="209"/>
      <c r="X485" s="114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</row>
    <row r="486" spans="1:34" ht="24" customHeight="1" x14ac:dyDescent="0.6">
      <c r="A486" s="114"/>
      <c r="B486" s="114"/>
      <c r="C486" s="114"/>
      <c r="D486" s="114"/>
      <c r="E486" s="114"/>
      <c r="F486" s="115"/>
      <c r="G486" s="138"/>
      <c r="H486" s="114"/>
      <c r="I486" s="114"/>
      <c r="J486" s="114"/>
      <c r="K486" s="114"/>
      <c r="L486" s="114"/>
      <c r="M486" s="114"/>
      <c r="N486" s="114"/>
      <c r="O486" s="114"/>
      <c r="P486" s="114"/>
      <c r="Q486" s="114"/>
      <c r="R486" s="114"/>
      <c r="S486" s="114"/>
      <c r="T486" s="116"/>
      <c r="U486" s="116"/>
      <c r="V486" s="116"/>
      <c r="W486" s="209"/>
      <c r="X486" s="114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</row>
    <row r="487" spans="1:34" ht="24" customHeight="1" x14ac:dyDescent="0.6">
      <c r="A487" s="114"/>
      <c r="B487" s="114"/>
      <c r="C487" s="114"/>
      <c r="D487" s="114"/>
      <c r="E487" s="114"/>
      <c r="F487" s="115"/>
      <c r="G487" s="138"/>
      <c r="H487" s="114"/>
      <c r="I487" s="114"/>
      <c r="J487" s="114"/>
      <c r="K487" s="114"/>
      <c r="L487" s="114"/>
      <c r="M487" s="114"/>
      <c r="N487" s="114"/>
      <c r="O487" s="114"/>
      <c r="P487" s="114"/>
      <c r="Q487" s="114"/>
      <c r="R487" s="114"/>
      <c r="S487" s="114"/>
      <c r="T487" s="116"/>
      <c r="U487" s="116"/>
      <c r="V487" s="116"/>
      <c r="W487" s="209"/>
      <c r="X487" s="114"/>
      <c r="Y487" s="114"/>
      <c r="Z487" s="114"/>
      <c r="AA487" s="114"/>
      <c r="AB487" s="114"/>
      <c r="AC487" s="114"/>
      <c r="AD487" s="114"/>
      <c r="AE487" s="114"/>
      <c r="AF487" s="114"/>
      <c r="AG487" s="114"/>
      <c r="AH487" s="114"/>
    </row>
    <row r="488" spans="1:34" ht="24" customHeight="1" x14ac:dyDescent="0.6">
      <c r="A488" s="114"/>
      <c r="B488" s="114"/>
      <c r="C488" s="114"/>
      <c r="D488" s="114"/>
      <c r="E488" s="114"/>
      <c r="F488" s="115"/>
      <c r="G488" s="138"/>
      <c r="H488" s="114"/>
      <c r="I488" s="114"/>
      <c r="J488" s="114"/>
      <c r="K488" s="114"/>
      <c r="L488" s="114"/>
      <c r="M488" s="114"/>
      <c r="N488" s="114"/>
      <c r="O488" s="114"/>
      <c r="P488" s="114"/>
      <c r="Q488" s="114"/>
      <c r="R488" s="114"/>
      <c r="S488" s="114"/>
      <c r="T488" s="116"/>
      <c r="U488" s="116"/>
      <c r="V488" s="116"/>
      <c r="W488" s="209"/>
      <c r="X488" s="114"/>
      <c r="Y488" s="114"/>
      <c r="Z488" s="114"/>
      <c r="AA488" s="114"/>
      <c r="AB488" s="114"/>
      <c r="AC488" s="114"/>
      <c r="AD488" s="114"/>
      <c r="AE488" s="114"/>
      <c r="AF488" s="114"/>
      <c r="AG488" s="114"/>
      <c r="AH488" s="114"/>
    </row>
    <row r="489" spans="1:34" ht="24" customHeight="1" x14ac:dyDescent="0.6">
      <c r="A489" s="114"/>
      <c r="B489" s="114"/>
      <c r="C489" s="114"/>
      <c r="D489" s="114"/>
      <c r="E489" s="114"/>
      <c r="F489" s="115"/>
      <c r="G489" s="138"/>
      <c r="H489" s="114"/>
      <c r="I489" s="114"/>
      <c r="J489" s="114"/>
      <c r="K489" s="114"/>
      <c r="L489" s="114"/>
      <c r="M489" s="114"/>
      <c r="N489" s="114"/>
      <c r="O489" s="114"/>
      <c r="P489" s="114"/>
      <c r="Q489" s="114"/>
      <c r="R489" s="114"/>
      <c r="S489" s="114"/>
      <c r="T489" s="116"/>
      <c r="U489" s="116"/>
      <c r="V489" s="116"/>
      <c r="W489" s="209"/>
      <c r="X489" s="114"/>
      <c r="Y489" s="114"/>
      <c r="Z489" s="114"/>
      <c r="AA489" s="114"/>
      <c r="AB489" s="114"/>
      <c r="AC489" s="114"/>
      <c r="AD489" s="114"/>
      <c r="AE489" s="114"/>
      <c r="AF489" s="114"/>
      <c r="AG489" s="114"/>
      <c r="AH489" s="114"/>
    </row>
    <row r="490" spans="1:34" ht="24" customHeight="1" x14ac:dyDescent="0.6">
      <c r="A490" s="114"/>
      <c r="B490" s="114"/>
      <c r="C490" s="114"/>
      <c r="D490" s="114"/>
      <c r="E490" s="114"/>
      <c r="F490" s="115"/>
      <c r="G490" s="138"/>
      <c r="H490" s="114"/>
      <c r="I490" s="114"/>
      <c r="J490" s="114"/>
      <c r="K490" s="114"/>
      <c r="L490" s="114"/>
      <c r="M490" s="114"/>
      <c r="N490" s="114"/>
      <c r="O490" s="114"/>
      <c r="P490" s="114"/>
      <c r="Q490" s="114"/>
      <c r="R490" s="114"/>
      <c r="S490" s="114"/>
      <c r="T490" s="116"/>
      <c r="U490" s="116"/>
      <c r="V490" s="116"/>
      <c r="W490" s="209"/>
      <c r="X490" s="114"/>
      <c r="Y490" s="114"/>
      <c r="Z490" s="114"/>
      <c r="AA490" s="114"/>
      <c r="AB490" s="114"/>
      <c r="AC490" s="114"/>
      <c r="AD490" s="114"/>
      <c r="AE490" s="114"/>
      <c r="AF490" s="114"/>
      <c r="AG490" s="114"/>
      <c r="AH490" s="114"/>
    </row>
    <row r="491" spans="1:34" ht="24" customHeight="1" x14ac:dyDescent="0.6">
      <c r="A491" s="114"/>
      <c r="B491" s="114"/>
      <c r="C491" s="114"/>
      <c r="D491" s="114"/>
      <c r="E491" s="114"/>
      <c r="F491" s="115"/>
      <c r="G491" s="138"/>
      <c r="H491" s="114"/>
      <c r="I491" s="114"/>
      <c r="J491" s="114"/>
      <c r="K491" s="114"/>
      <c r="L491" s="114"/>
      <c r="M491" s="114"/>
      <c r="N491" s="114"/>
      <c r="O491" s="114"/>
      <c r="P491" s="114"/>
      <c r="Q491" s="114"/>
      <c r="R491" s="114"/>
      <c r="S491" s="114"/>
      <c r="T491" s="116"/>
      <c r="U491" s="116"/>
      <c r="V491" s="116"/>
      <c r="W491" s="209"/>
      <c r="X491" s="114"/>
      <c r="Y491" s="114"/>
      <c r="Z491" s="114"/>
      <c r="AA491" s="114"/>
      <c r="AB491" s="114"/>
      <c r="AC491" s="114"/>
      <c r="AD491" s="114"/>
      <c r="AE491" s="114"/>
      <c r="AF491" s="114"/>
      <c r="AG491" s="114"/>
      <c r="AH491" s="114"/>
    </row>
    <row r="492" spans="1:34" ht="24" customHeight="1" x14ac:dyDescent="0.6">
      <c r="A492" s="114"/>
      <c r="B492" s="114"/>
      <c r="C492" s="114"/>
      <c r="D492" s="114"/>
      <c r="E492" s="114"/>
      <c r="F492" s="115"/>
      <c r="G492" s="138"/>
      <c r="H492" s="114"/>
      <c r="I492" s="114"/>
      <c r="J492" s="114"/>
      <c r="K492" s="114"/>
      <c r="L492" s="114"/>
      <c r="M492" s="114"/>
      <c r="N492" s="114"/>
      <c r="O492" s="114"/>
      <c r="P492" s="114"/>
      <c r="Q492" s="114"/>
      <c r="R492" s="114"/>
      <c r="S492" s="114"/>
      <c r="T492" s="116"/>
      <c r="U492" s="116"/>
      <c r="V492" s="116"/>
      <c r="W492" s="209"/>
      <c r="X492" s="114"/>
      <c r="Y492" s="114"/>
      <c r="Z492" s="114"/>
      <c r="AA492" s="114"/>
      <c r="AB492" s="114"/>
      <c r="AC492" s="114"/>
      <c r="AD492" s="114"/>
      <c r="AE492" s="114"/>
      <c r="AF492" s="114"/>
      <c r="AG492" s="114"/>
      <c r="AH492" s="114"/>
    </row>
    <row r="493" spans="1:34" ht="24" customHeight="1" x14ac:dyDescent="0.6">
      <c r="A493" s="114"/>
      <c r="B493" s="114"/>
      <c r="C493" s="114"/>
      <c r="D493" s="114"/>
      <c r="E493" s="114"/>
      <c r="F493" s="115"/>
      <c r="G493" s="138"/>
      <c r="H493" s="114"/>
      <c r="I493" s="114"/>
      <c r="J493" s="114"/>
      <c r="K493" s="114"/>
      <c r="L493" s="114"/>
      <c r="M493" s="114"/>
      <c r="N493" s="114"/>
      <c r="O493" s="114"/>
      <c r="P493" s="114"/>
      <c r="Q493" s="114"/>
      <c r="R493" s="114"/>
      <c r="S493" s="114"/>
      <c r="T493" s="116"/>
      <c r="U493" s="116"/>
      <c r="V493" s="116"/>
      <c r="W493" s="209"/>
      <c r="X493" s="114"/>
      <c r="Y493" s="114"/>
      <c r="Z493" s="114"/>
      <c r="AA493" s="114"/>
      <c r="AB493" s="114"/>
      <c r="AC493" s="114"/>
      <c r="AD493" s="114"/>
      <c r="AE493" s="114"/>
      <c r="AF493" s="114"/>
      <c r="AG493" s="114"/>
      <c r="AH493" s="114"/>
    </row>
    <row r="494" spans="1:34" ht="24" customHeight="1" x14ac:dyDescent="0.6">
      <c r="A494" s="114"/>
      <c r="B494" s="114"/>
      <c r="C494" s="114"/>
      <c r="D494" s="114"/>
      <c r="E494" s="114"/>
      <c r="F494" s="115"/>
      <c r="G494" s="138"/>
      <c r="H494" s="114"/>
      <c r="I494" s="114"/>
      <c r="J494" s="114"/>
      <c r="K494" s="114"/>
      <c r="L494" s="114"/>
      <c r="M494" s="114"/>
      <c r="N494" s="114"/>
      <c r="O494" s="114"/>
      <c r="P494" s="114"/>
      <c r="Q494" s="114"/>
      <c r="R494" s="114"/>
      <c r="S494" s="114"/>
      <c r="T494" s="116"/>
      <c r="U494" s="116"/>
      <c r="V494" s="116"/>
      <c r="W494" s="209"/>
      <c r="X494" s="114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</row>
    <row r="495" spans="1:34" ht="24" customHeight="1" x14ac:dyDescent="0.6">
      <c r="A495" s="114"/>
      <c r="B495" s="114"/>
      <c r="C495" s="114"/>
      <c r="D495" s="114"/>
      <c r="E495" s="114"/>
      <c r="F495" s="115"/>
      <c r="G495" s="138"/>
      <c r="H495" s="114"/>
      <c r="I495" s="114"/>
      <c r="J495" s="114"/>
      <c r="K495" s="114"/>
      <c r="L495" s="114"/>
      <c r="M495" s="114"/>
      <c r="N495" s="114"/>
      <c r="O495" s="114"/>
      <c r="P495" s="114"/>
      <c r="Q495" s="114"/>
      <c r="R495" s="114"/>
      <c r="S495" s="114"/>
      <c r="T495" s="116"/>
      <c r="U495" s="116"/>
      <c r="V495" s="116"/>
      <c r="W495" s="209"/>
      <c r="X495" s="114"/>
      <c r="Y495" s="114"/>
      <c r="Z495" s="114"/>
      <c r="AA495" s="114"/>
      <c r="AB495" s="114"/>
      <c r="AC495" s="114"/>
      <c r="AD495" s="114"/>
      <c r="AE495" s="114"/>
      <c r="AF495" s="114"/>
      <c r="AG495" s="114"/>
      <c r="AH495" s="114"/>
    </row>
    <row r="496" spans="1:34" ht="24" customHeight="1" x14ac:dyDescent="0.6">
      <c r="A496" s="114"/>
      <c r="B496" s="114"/>
      <c r="C496" s="114"/>
      <c r="D496" s="114"/>
      <c r="E496" s="114"/>
      <c r="F496" s="115"/>
      <c r="G496" s="138"/>
      <c r="H496" s="114"/>
      <c r="I496" s="114"/>
      <c r="J496" s="114"/>
      <c r="K496" s="114"/>
      <c r="L496" s="114"/>
      <c r="M496" s="114"/>
      <c r="N496" s="114"/>
      <c r="O496" s="114"/>
      <c r="P496" s="114"/>
      <c r="Q496" s="114"/>
      <c r="R496" s="114"/>
      <c r="S496" s="114"/>
      <c r="T496" s="116"/>
      <c r="U496" s="116"/>
      <c r="V496" s="116"/>
      <c r="W496" s="209"/>
      <c r="X496" s="114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</row>
    <row r="497" spans="1:34" ht="24" customHeight="1" x14ac:dyDescent="0.6">
      <c r="A497" s="114"/>
      <c r="B497" s="114"/>
      <c r="C497" s="114"/>
      <c r="D497" s="114"/>
      <c r="E497" s="114"/>
      <c r="F497" s="115"/>
      <c r="G497" s="138"/>
      <c r="H497" s="114"/>
      <c r="I497" s="114"/>
      <c r="J497" s="114"/>
      <c r="K497" s="114"/>
      <c r="L497" s="114"/>
      <c r="M497" s="114"/>
      <c r="N497" s="114"/>
      <c r="O497" s="114"/>
      <c r="P497" s="114"/>
      <c r="Q497" s="114"/>
      <c r="R497" s="114"/>
      <c r="S497" s="114"/>
      <c r="T497" s="116"/>
      <c r="U497" s="116"/>
      <c r="V497" s="116"/>
      <c r="W497" s="209"/>
      <c r="X497" s="114"/>
      <c r="Y497" s="114"/>
      <c r="Z497" s="114"/>
      <c r="AA497" s="114"/>
      <c r="AB497" s="114"/>
      <c r="AC497" s="114"/>
      <c r="AD497" s="114"/>
      <c r="AE497" s="114"/>
      <c r="AF497" s="114"/>
      <c r="AG497" s="114"/>
      <c r="AH497" s="114"/>
    </row>
    <row r="498" spans="1:34" ht="24" customHeight="1" x14ac:dyDescent="0.6">
      <c r="A498" s="114"/>
      <c r="B498" s="114"/>
      <c r="C498" s="114"/>
      <c r="D498" s="114"/>
      <c r="E498" s="114"/>
      <c r="F498" s="115"/>
      <c r="G498" s="138"/>
      <c r="H498" s="114"/>
      <c r="I498" s="114"/>
      <c r="J498" s="114"/>
      <c r="K498" s="114"/>
      <c r="L498" s="114"/>
      <c r="M498" s="114"/>
      <c r="N498" s="114"/>
      <c r="O498" s="114"/>
      <c r="P498" s="114"/>
      <c r="Q498" s="114"/>
      <c r="R498" s="114"/>
      <c r="S498" s="114"/>
      <c r="T498" s="116"/>
      <c r="U498" s="116"/>
      <c r="V498" s="116"/>
      <c r="W498" s="209"/>
      <c r="X498" s="114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</row>
    <row r="499" spans="1:34" ht="24" customHeight="1" x14ac:dyDescent="0.6">
      <c r="A499" s="114"/>
      <c r="B499" s="114"/>
      <c r="C499" s="114"/>
      <c r="D499" s="114"/>
      <c r="E499" s="114"/>
      <c r="F499" s="115"/>
      <c r="G499" s="138"/>
      <c r="H499" s="114"/>
      <c r="I499" s="114"/>
      <c r="J499" s="114"/>
      <c r="K499" s="114"/>
      <c r="L499" s="114"/>
      <c r="M499" s="114"/>
      <c r="N499" s="114"/>
      <c r="O499" s="114"/>
      <c r="P499" s="114"/>
      <c r="Q499" s="114"/>
      <c r="R499" s="114"/>
      <c r="S499" s="114"/>
      <c r="T499" s="116"/>
      <c r="U499" s="116"/>
      <c r="V499" s="116"/>
      <c r="W499" s="209"/>
      <c r="X499" s="114"/>
      <c r="Y499" s="114"/>
      <c r="Z499" s="114"/>
      <c r="AA499" s="114"/>
      <c r="AB499" s="114"/>
      <c r="AC499" s="114"/>
      <c r="AD499" s="114"/>
      <c r="AE499" s="114"/>
      <c r="AF499" s="114"/>
      <c r="AG499" s="114"/>
      <c r="AH499" s="114"/>
    </row>
    <row r="500" spans="1:34" ht="24" customHeight="1" x14ac:dyDescent="0.6">
      <c r="A500" s="114"/>
      <c r="B500" s="114"/>
      <c r="C500" s="114"/>
      <c r="D500" s="114"/>
      <c r="E500" s="114"/>
      <c r="F500" s="115"/>
      <c r="G500" s="138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6"/>
      <c r="U500" s="116"/>
      <c r="V500" s="116"/>
      <c r="W500" s="209"/>
      <c r="X500" s="114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</row>
    <row r="501" spans="1:34" ht="24" customHeight="1" x14ac:dyDescent="0.6">
      <c r="A501" s="114"/>
      <c r="B501" s="114"/>
      <c r="C501" s="114"/>
      <c r="D501" s="114"/>
      <c r="E501" s="114"/>
      <c r="F501" s="115"/>
      <c r="G501" s="138"/>
      <c r="H501" s="114"/>
      <c r="I501" s="114"/>
      <c r="J501" s="114"/>
      <c r="K501" s="114"/>
      <c r="L501" s="114"/>
      <c r="M501" s="114"/>
      <c r="N501" s="114"/>
      <c r="O501" s="114"/>
      <c r="P501" s="114"/>
      <c r="Q501" s="114"/>
      <c r="R501" s="114"/>
      <c r="S501" s="114"/>
      <c r="T501" s="116"/>
      <c r="U501" s="116"/>
      <c r="V501" s="116"/>
      <c r="W501" s="209"/>
      <c r="X501" s="114"/>
      <c r="Y501" s="114"/>
      <c r="Z501" s="114"/>
      <c r="AA501" s="114"/>
      <c r="AB501" s="114"/>
      <c r="AC501" s="114"/>
      <c r="AD501" s="114"/>
      <c r="AE501" s="114"/>
      <c r="AF501" s="114"/>
      <c r="AG501" s="114"/>
      <c r="AH501" s="114"/>
    </row>
    <row r="502" spans="1:34" ht="24" customHeight="1" x14ac:dyDescent="0.6">
      <c r="A502" s="114"/>
      <c r="B502" s="114"/>
      <c r="C502" s="114"/>
      <c r="D502" s="114"/>
      <c r="E502" s="114"/>
      <c r="F502" s="115"/>
      <c r="G502" s="138"/>
      <c r="H502" s="114"/>
      <c r="I502" s="114"/>
      <c r="J502" s="114"/>
      <c r="K502" s="114"/>
      <c r="L502" s="114"/>
      <c r="M502" s="114"/>
      <c r="N502" s="114"/>
      <c r="O502" s="114"/>
      <c r="P502" s="114"/>
      <c r="Q502" s="114"/>
      <c r="R502" s="114"/>
      <c r="S502" s="114"/>
      <c r="T502" s="116"/>
      <c r="U502" s="116"/>
      <c r="V502" s="116"/>
      <c r="W502" s="209"/>
      <c r="X502" s="114"/>
      <c r="Y502" s="114"/>
      <c r="Z502" s="114"/>
      <c r="AA502" s="114"/>
      <c r="AB502" s="114"/>
      <c r="AC502" s="114"/>
      <c r="AD502" s="114"/>
      <c r="AE502" s="114"/>
      <c r="AF502" s="114"/>
      <c r="AG502" s="114"/>
      <c r="AH502" s="114"/>
    </row>
    <row r="503" spans="1:34" ht="24" customHeight="1" x14ac:dyDescent="0.6">
      <c r="A503" s="114"/>
      <c r="B503" s="114"/>
      <c r="C503" s="114"/>
      <c r="D503" s="114"/>
      <c r="E503" s="114"/>
      <c r="F503" s="115"/>
      <c r="G503" s="138"/>
      <c r="H503" s="114"/>
      <c r="I503" s="114"/>
      <c r="J503" s="114"/>
      <c r="K503" s="114"/>
      <c r="L503" s="114"/>
      <c r="M503" s="114"/>
      <c r="N503" s="114"/>
      <c r="O503" s="114"/>
      <c r="P503" s="114"/>
      <c r="Q503" s="114"/>
      <c r="R503" s="114"/>
      <c r="S503" s="114"/>
      <c r="T503" s="116"/>
      <c r="U503" s="116"/>
      <c r="V503" s="116"/>
      <c r="W503" s="209"/>
      <c r="X503" s="114"/>
      <c r="Y503" s="114"/>
      <c r="Z503" s="114"/>
      <c r="AA503" s="114"/>
      <c r="AB503" s="114"/>
      <c r="AC503" s="114"/>
      <c r="AD503" s="114"/>
      <c r="AE503" s="114"/>
      <c r="AF503" s="114"/>
      <c r="AG503" s="114"/>
      <c r="AH503" s="114"/>
    </row>
    <row r="504" spans="1:34" ht="24" customHeight="1" x14ac:dyDescent="0.6">
      <c r="A504" s="114"/>
      <c r="B504" s="114"/>
      <c r="C504" s="114"/>
      <c r="D504" s="114"/>
      <c r="E504" s="114"/>
      <c r="F504" s="115"/>
      <c r="G504" s="138"/>
      <c r="H504" s="114"/>
      <c r="I504" s="114"/>
      <c r="J504" s="114"/>
      <c r="K504" s="114"/>
      <c r="L504" s="114"/>
      <c r="M504" s="114"/>
      <c r="N504" s="114"/>
      <c r="O504" s="114"/>
      <c r="P504" s="114"/>
      <c r="Q504" s="114"/>
      <c r="R504" s="114"/>
      <c r="S504" s="114"/>
      <c r="T504" s="116"/>
      <c r="U504" s="116"/>
      <c r="V504" s="116"/>
      <c r="W504" s="209"/>
      <c r="X504" s="114"/>
      <c r="Y504" s="114"/>
      <c r="Z504" s="114"/>
      <c r="AA504" s="114"/>
      <c r="AB504" s="114"/>
      <c r="AC504" s="114"/>
      <c r="AD504" s="114"/>
      <c r="AE504" s="114"/>
      <c r="AF504" s="114"/>
      <c r="AG504" s="114"/>
      <c r="AH504" s="114"/>
    </row>
    <row r="505" spans="1:34" ht="24" customHeight="1" x14ac:dyDescent="0.6">
      <c r="A505" s="114"/>
      <c r="B505" s="114"/>
      <c r="C505" s="114"/>
      <c r="D505" s="114"/>
      <c r="E505" s="114"/>
      <c r="F505" s="115"/>
      <c r="G505" s="138"/>
      <c r="H505" s="114"/>
      <c r="I505" s="114"/>
      <c r="J505" s="114"/>
      <c r="K505" s="114"/>
      <c r="L505" s="114"/>
      <c r="M505" s="114"/>
      <c r="N505" s="114"/>
      <c r="O505" s="114"/>
      <c r="P505" s="114"/>
      <c r="Q505" s="114"/>
      <c r="R505" s="114"/>
      <c r="S505" s="114"/>
      <c r="T505" s="116"/>
      <c r="U505" s="116"/>
      <c r="V505" s="116"/>
      <c r="W505" s="209"/>
      <c r="X505" s="114"/>
      <c r="Y505" s="114"/>
      <c r="Z505" s="114"/>
      <c r="AA505" s="114"/>
      <c r="AB505" s="114"/>
      <c r="AC505" s="114"/>
      <c r="AD505" s="114"/>
      <c r="AE505" s="114"/>
      <c r="AF505" s="114"/>
      <c r="AG505" s="114"/>
      <c r="AH505" s="114"/>
    </row>
    <row r="506" spans="1:34" ht="24" customHeight="1" x14ac:dyDescent="0.6">
      <c r="A506" s="114"/>
      <c r="B506" s="114"/>
      <c r="C506" s="114"/>
      <c r="D506" s="114"/>
      <c r="E506" s="114"/>
      <c r="F506" s="115"/>
      <c r="G506" s="138"/>
      <c r="H506" s="114"/>
      <c r="I506" s="114"/>
      <c r="J506" s="114"/>
      <c r="K506" s="114"/>
      <c r="L506" s="114"/>
      <c r="M506" s="114"/>
      <c r="N506" s="114"/>
      <c r="O506" s="114"/>
      <c r="P506" s="114"/>
      <c r="Q506" s="114"/>
      <c r="R506" s="114"/>
      <c r="S506" s="114"/>
      <c r="T506" s="116"/>
      <c r="U506" s="116"/>
      <c r="V506" s="116"/>
      <c r="W506" s="209"/>
      <c r="X506" s="114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</row>
    <row r="507" spans="1:34" ht="24" customHeight="1" x14ac:dyDescent="0.6">
      <c r="A507" s="114"/>
      <c r="B507" s="114"/>
      <c r="C507" s="114"/>
      <c r="D507" s="114"/>
      <c r="E507" s="114"/>
      <c r="F507" s="115"/>
      <c r="G507" s="138"/>
      <c r="H507" s="114"/>
      <c r="I507" s="114"/>
      <c r="J507" s="114"/>
      <c r="K507" s="114"/>
      <c r="L507" s="114"/>
      <c r="M507" s="114"/>
      <c r="N507" s="114"/>
      <c r="O507" s="114"/>
      <c r="P507" s="114"/>
      <c r="Q507" s="114"/>
      <c r="R507" s="114"/>
      <c r="S507" s="114"/>
      <c r="T507" s="116"/>
      <c r="U507" s="116"/>
      <c r="V507" s="116"/>
      <c r="W507" s="209"/>
      <c r="X507" s="114"/>
      <c r="Y507" s="114"/>
      <c r="Z507" s="114"/>
      <c r="AA507" s="114"/>
      <c r="AB507" s="114"/>
      <c r="AC507" s="114"/>
      <c r="AD507" s="114"/>
      <c r="AE507" s="114"/>
      <c r="AF507" s="114"/>
      <c r="AG507" s="114"/>
      <c r="AH507" s="114"/>
    </row>
    <row r="508" spans="1:34" ht="24" customHeight="1" x14ac:dyDescent="0.6">
      <c r="A508" s="114"/>
      <c r="B508" s="114"/>
      <c r="C508" s="114"/>
      <c r="D508" s="114"/>
      <c r="E508" s="114"/>
      <c r="F508" s="115"/>
      <c r="G508" s="138"/>
      <c r="H508" s="114"/>
      <c r="I508" s="114"/>
      <c r="J508" s="114"/>
      <c r="K508" s="114"/>
      <c r="L508" s="114"/>
      <c r="M508" s="114"/>
      <c r="N508" s="114"/>
      <c r="O508" s="114"/>
      <c r="P508" s="114"/>
      <c r="Q508" s="114"/>
      <c r="R508" s="114"/>
      <c r="S508" s="114"/>
      <c r="T508" s="116"/>
      <c r="U508" s="116"/>
      <c r="V508" s="116"/>
      <c r="W508" s="209"/>
      <c r="X508" s="114"/>
      <c r="Y508" s="114"/>
      <c r="Z508" s="114"/>
      <c r="AA508" s="114"/>
      <c r="AB508" s="114"/>
      <c r="AC508" s="114"/>
      <c r="AD508" s="114"/>
      <c r="AE508" s="114"/>
      <c r="AF508" s="114"/>
      <c r="AG508" s="114"/>
      <c r="AH508" s="114"/>
    </row>
    <row r="509" spans="1:34" ht="24" customHeight="1" x14ac:dyDescent="0.6">
      <c r="A509" s="114"/>
      <c r="B509" s="114"/>
      <c r="C509" s="114"/>
      <c r="D509" s="114"/>
      <c r="E509" s="114"/>
      <c r="F509" s="115"/>
      <c r="G509" s="138"/>
      <c r="H509" s="114"/>
      <c r="I509" s="114"/>
      <c r="J509" s="114"/>
      <c r="K509" s="114"/>
      <c r="L509" s="114"/>
      <c r="M509" s="114"/>
      <c r="N509" s="114"/>
      <c r="O509" s="114"/>
      <c r="P509" s="114"/>
      <c r="Q509" s="114"/>
      <c r="R509" s="114"/>
      <c r="S509" s="114"/>
      <c r="T509" s="116"/>
      <c r="U509" s="116"/>
      <c r="V509" s="116"/>
      <c r="W509" s="209"/>
      <c r="X509" s="114"/>
      <c r="Y509" s="114"/>
      <c r="Z509" s="114"/>
      <c r="AA509" s="114"/>
      <c r="AB509" s="114"/>
      <c r="AC509" s="114"/>
      <c r="AD509" s="114"/>
      <c r="AE509" s="114"/>
      <c r="AF509" s="114"/>
      <c r="AG509" s="114"/>
      <c r="AH509" s="114"/>
    </row>
    <row r="510" spans="1:34" ht="24" customHeight="1" x14ac:dyDescent="0.6">
      <c r="A510" s="114"/>
      <c r="B510" s="114"/>
      <c r="C510" s="114"/>
      <c r="D510" s="114"/>
      <c r="E510" s="114"/>
      <c r="F510" s="115"/>
      <c r="G510" s="138"/>
      <c r="H510" s="114"/>
      <c r="I510" s="114"/>
      <c r="J510" s="114"/>
      <c r="K510" s="114"/>
      <c r="L510" s="114"/>
      <c r="M510" s="114"/>
      <c r="N510" s="114"/>
      <c r="O510" s="114"/>
      <c r="P510" s="114"/>
      <c r="Q510" s="114"/>
      <c r="R510" s="114"/>
      <c r="S510" s="114"/>
      <c r="T510" s="116"/>
      <c r="U510" s="116"/>
      <c r="V510" s="116"/>
      <c r="W510" s="209"/>
      <c r="X510" s="114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</row>
    <row r="511" spans="1:34" ht="24" customHeight="1" x14ac:dyDescent="0.6">
      <c r="A511" s="114"/>
      <c r="B511" s="114"/>
      <c r="C511" s="114"/>
      <c r="D511" s="114"/>
      <c r="E511" s="114"/>
      <c r="F511" s="115"/>
      <c r="G511" s="138"/>
      <c r="H511" s="114"/>
      <c r="I511" s="114"/>
      <c r="J511" s="114"/>
      <c r="K511" s="114"/>
      <c r="L511" s="114"/>
      <c r="M511" s="114"/>
      <c r="N511" s="114"/>
      <c r="O511" s="114"/>
      <c r="P511" s="114"/>
      <c r="Q511" s="114"/>
      <c r="R511" s="114"/>
      <c r="S511" s="114"/>
      <c r="T511" s="116"/>
      <c r="U511" s="116"/>
      <c r="V511" s="116"/>
      <c r="W511" s="209"/>
      <c r="X511" s="114"/>
      <c r="Y511" s="114"/>
      <c r="Z511" s="114"/>
      <c r="AA511" s="114"/>
      <c r="AB511" s="114"/>
      <c r="AC511" s="114"/>
      <c r="AD511" s="114"/>
      <c r="AE511" s="114"/>
      <c r="AF511" s="114"/>
      <c r="AG511" s="114"/>
      <c r="AH511" s="114"/>
    </row>
    <row r="512" spans="1:34" ht="24" customHeight="1" x14ac:dyDescent="0.6">
      <c r="A512" s="114"/>
      <c r="B512" s="114"/>
      <c r="C512" s="114"/>
      <c r="D512" s="114"/>
      <c r="E512" s="114"/>
      <c r="F512" s="115"/>
      <c r="G512" s="138"/>
      <c r="H512" s="114"/>
      <c r="I512" s="114"/>
      <c r="J512" s="114"/>
      <c r="K512" s="114"/>
      <c r="L512" s="114"/>
      <c r="M512" s="114"/>
      <c r="N512" s="114"/>
      <c r="O512" s="114"/>
      <c r="P512" s="114"/>
      <c r="Q512" s="114"/>
      <c r="R512" s="114"/>
      <c r="S512" s="114"/>
      <c r="T512" s="116"/>
      <c r="U512" s="116"/>
      <c r="V512" s="116"/>
      <c r="W512" s="209"/>
      <c r="X512" s="114"/>
      <c r="Y512" s="114"/>
      <c r="Z512" s="114"/>
      <c r="AA512" s="114"/>
      <c r="AB512" s="114"/>
      <c r="AC512" s="114"/>
      <c r="AD512" s="114"/>
      <c r="AE512" s="114"/>
      <c r="AF512" s="114"/>
      <c r="AG512" s="114"/>
      <c r="AH512" s="114"/>
    </row>
    <row r="513" spans="1:34" ht="24" customHeight="1" x14ac:dyDescent="0.6">
      <c r="A513" s="114"/>
      <c r="B513" s="114"/>
      <c r="C513" s="114"/>
      <c r="D513" s="114"/>
      <c r="E513" s="114"/>
      <c r="F513" s="115"/>
      <c r="G513" s="138"/>
      <c r="H513" s="114"/>
      <c r="I513" s="114"/>
      <c r="J513" s="114"/>
      <c r="K513" s="114"/>
      <c r="L513" s="114"/>
      <c r="M513" s="114"/>
      <c r="N513" s="114"/>
      <c r="O513" s="114"/>
      <c r="P513" s="114"/>
      <c r="Q513" s="114"/>
      <c r="R513" s="114"/>
      <c r="S513" s="114"/>
      <c r="T513" s="116"/>
      <c r="U513" s="116"/>
      <c r="V513" s="116"/>
      <c r="W513" s="209"/>
      <c r="X513" s="114"/>
      <c r="Y513" s="114"/>
      <c r="Z513" s="114"/>
      <c r="AA513" s="114"/>
      <c r="AB513" s="114"/>
      <c r="AC513" s="114"/>
      <c r="AD513" s="114"/>
      <c r="AE513" s="114"/>
      <c r="AF513" s="114"/>
      <c r="AG513" s="114"/>
      <c r="AH513" s="114"/>
    </row>
    <row r="514" spans="1:34" ht="24" customHeight="1" x14ac:dyDescent="0.6">
      <c r="A514" s="114"/>
      <c r="B514" s="114"/>
      <c r="C514" s="114"/>
      <c r="D514" s="114"/>
      <c r="E514" s="114"/>
      <c r="F514" s="115"/>
      <c r="G514" s="138"/>
      <c r="H514" s="114"/>
      <c r="I514" s="114"/>
      <c r="J514" s="114"/>
      <c r="K514" s="114"/>
      <c r="L514" s="114"/>
      <c r="M514" s="114"/>
      <c r="N514" s="114"/>
      <c r="O514" s="114"/>
      <c r="P514" s="114"/>
      <c r="Q514" s="114"/>
      <c r="R514" s="114"/>
      <c r="S514" s="114"/>
      <c r="T514" s="116"/>
      <c r="U514" s="116"/>
      <c r="V514" s="116"/>
      <c r="W514" s="209"/>
      <c r="X514" s="114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</row>
    <row r="515" spans="1:34" ht="24" customHeight="1" x14ac:dyDescent="0.6">
      <c r="A515" s="114"/>
      <c r="B515" s="114"/>
      <c r="C515" s="114"/>
      <c r="D515" s="114"/>
      <c r="E515" s="114"/>
      <c r="F515" s="115"/>
      <c r="G515" s="138"/>
      <c r="H515" s="114"/>
      <c r="I515" s="114"/>
      <c r="J515" s="114"/>
      <c r="K515" s="114"/>
      <c r="L515" s="114"/>
      <c r="M515" s="114"/>
      <c r="N515" s="114"/>
      <c r="O515" s="114"/>
      <c r="P515" s="114"/>
      <c r="Q515" s="114"/>
      <c r="R515" s="114"/>
      <c r="S515" s="114"/>
      <c r="T515" s="116"/>
      <c r="U515" s="116"/>
      <c r="V515" s="116"/>
      <c r="W515" s="209"/>
      <c r="X515" s="114"/>
      <c r="Y515" s="114"/>
      <c r="Z515" s="114"/>
      <c r="AA515" s="114"/>
      <c r="AB515" s="114"/>
      <c r="AC515" s="114"/>
      <c r="AD515" s="114"/>
      <c r="AE515" s="114"/>
      <c r="AF515" s="114"/>
      <c r="AG515" s="114"/>
      <c r="AH515" s="114"/>
    </row>
    <row r="516" spans="1:34" ht="24" customHeight="1" x14ac:dyDescent="0.6">
      <c r="A516" s="114"/>
      <c r="B516" s="114"/>
      <c r="C516" s="114"/>
      <c r="D516" s="114"/>
      <c r="E516" s="114"/>
      <c r="F516" s="115"/>
      <c r="G516" s="138"/>
      <c r="H516" s="114"/>
      <c r="I516" s="114"/>
      <c r="J516" s="114"/>
      <c r="K516" s="114"/>
      <c r="L516" s="114"/>
      <c r="M516" s="114"/>
      <c r="N516" s="114"/>
      <c r="O516" s="114"/>
      <c r="P516" s="114"/>
      <c r="Q516" s="114"/>
      <c r="R516" s="114"/>
      <c r="S516" s="114"/>
      <c r="T516" s="116"/>
      <c r="U516" s="116"/>
      <c r="V516" s="116"/>
      <c r="W516" s="209"/>
      <c r="X516" s="114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</row>
    <row r="517" spans="1:34" ht="24" customHeight="1" x14ac:dyDescent="0.6">
      <c r="A517" s="114"/>
      <c r="B517" s="114"/>
      <c r="C517" s="114"/>
      <c r="D517" s="114"/>
      <c r="E517" s="114"/>
      <c r="F517" s="115"/>
      <c r="G517" s="138"/>
      <c r="H517" s="114"/>
      <c r="I517" s="114"/>
      <c r="J517" s="114"/>
      <c r="K517" s="114"/>
      <c r="L517" s="114"/>
      <c r="M517" s="114"/>
      <c r="N517" s="114"/>
      <c r="O517" s="114"/>
      <c r="P517" s="114"/>
      <c r="Q517" s="114"/>
      <c r="R517" s="114"/>
      <c r="S517" s="114"/>
      <c r="T517" s="116"/>
      <c r="U517" s="116"/>
      <c r="V517" s="116"/>
      <c r="W517" s="209"/>
      <c r="X517" s="114"/>
      <c r="Y517" s="114"/>
      <c r="Z517" s="114"/>
      <c r="AA517" s="114"/>
      <c r="AB517" s="114"/>
      <c r="AC517" s="114"/>
      <c r="AD517" s="114"/>
      <c r="AE517" s="114"/>
      <c r="AF517" s="114"/>
      <c r="AG517" s="114"/>
      <c r="AH517" s="114"/>
    </row>
    <row r="518" spans="1:34" ht="24" customHeight="1" x14ac:dyDescent="0.6">
      <c r="A518" s="114"/>
      <c r="B518" s="114"/>
      <c r="C518" s="114"/>
      <c r="D518" s="114"/>
      <c r="E518" s="114"/>
      <c r="F518" s="115"/>
      <c r="G518" s="138"/>
      <c r="H518" s="114"/>
      <c r="I518" s="114"/>
      <c r="J518" s="114"/>
      <c r="K518" s="114"/>
      <c r="L518" s="114"/>
      <c r="M518" s="114"/>
      <c r="N518" s="114"/>
      <c r="O518" s="114"/>
      <c r="P518" s="114"/>
      <c r="Q518" s="114"/>
      <c r="R518" s="114"/>
      <c r="S518" s="114"/>
      <c r="T518" s="116"/>
      <c r="U518" s="116"/>
      <c r="V518" s="116"/>
      <c r="W518" s="209"/>
      <c r="X518" s="114"/>
      <c r="Y518" s="114"/>
      <c r="Z518" s="114"/>
      <c r="AA518" s="114"/>
      <c r="AB518" s="114"/>
      <c r="AC518" s="114"/>
      <c r="AD518" s="114"/>
      <c r="AE518" s="114"/>
      <c r="AF518" s="114"/>
      <c r="AG518" s="114"/>
      <c r="AH518" s="114"/>
    </row>
    <row r="519" spans="1:34" ht="24" customHeight="1" x14ac:dyDescent="0.6">
      <c r="A519" s="114"/>
      <c r="B519" s="114"/>
      <c r="C519" s="114"/>
      <c r="D519" s="114"/>
      <c r="E519" s="114"/>
      <c r="F519" s="115"/>
      <c r="G519" s="138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114"/>
      <c r="S519" s="114"/>
      <c r="T519" s="116"/>
      <c r="U519" s="116"/>
      <c r="V519" s="116"/>
      <c r="W519" s="209"/>
      <c r="X519" s="114"/>
      <c r="Y519" s="114"/>
      <c r="Z519" s="114"/>
      <c r="AA519" s="114"/>
      <c r="AB519" s="114"/>
      <c r="AC519" s="114"/>
      <c r="AD519" s="114"/>
      <c r="AE519" s="114"/>
      <c r="AF519" s="114"/>
      <c r="AG519" s="114"/>
      <c r="AH519" s="114"/>
    </row>
    <row r="520" spans="1:34" ht="24" customHeight="1" x14ac:dyDescent="0.6">
      <c r="A520" s="114"/>
      <c r="B520" s="114"/>
      <c r="C520" s="114"/>
      <c r="D520" s="114"/>
      <c r="E520" s="114"/>
      <c r="F520" s="115"/>
      <c r="G520" s="138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114"/>
      <c r="S520" s="114"/>
      <c r="T520" s="116"/>
      <c r="U520" s="116"/>
      <c r="V520" s="116"/>
      <c r="W520" s="209"/>
      <c r="X520" s="114"/>
      <c r="Y520" s="114"/>
      <c r="Z520" s="114"/>
      <c r="AA520" s="114"/>
      <c r="AB520" s="114"/>
      <c r="AC520" s="114"/>
      <c r="AD520" s="114"/>
      <c r="AE520" s="114"/>
      <c r="AF520" s="114"/>
      <c r="AG520" s="114"/>
      <c r="AH520" s="114"/>
    </row>
    <row r="521" spans="1:34" ht="24" customHeight="1" x14ac:dyDescent="0.6">
      <c r="A521" s="114"/>
      <c r="B521" s="114"/>
      <c r="C521" s="114"/>
      <c r="D521" s="114"/>
      <c r="E521" s="114"/>
      <c r="F521" s="115"/>
      <c r="G521" s="138"/>
      <c r="H521" s="114"/>
      <c r="I521" s="114"/>
      <c r="J521" s="114"/>
      <c r="K521" s="114"/>
      <c r="L521" s="114"/>
      <c r="M521" s="114"/>
      <c r="N521" s="114"/>
      <c r="O521" s="114"/>
      <c r="P521" s="114"/>
      <c r="Q521" s="114"/>
      <c r="R521" s="114"/>
      <c r="S521" s="114"/>
      <c r="T521" s="116"/>
      <c r="U521" s="116"/>
      <c r="V521" s="116"/>
      <c r="W521" s="209"/>
      <c r="X521" s="114"/>
      <c r="Y521" s="114"/>
      <c r="Z521" s="114"/>
      <c r="AA521" s="114"/>
      <c r="AB521" s="114"/>
      <c r="AC521" s="114"/>
      <c r="AD521" s="114"/>
      <c r="AE521" s="114"/>
      <c r="AF521" s="114"/>
      <c r="AG521" s="114"/>
      <c r="AH521" s="114"/>
    </row>
    <row r="522" spans="1:34" ht="24" customHeight="1" x14ac:dyDescent="0.6">
      <c r="A522" s="114"/>
      <c r="B522" s="114"/>
      <c r="C522" s="114"/>
      <c r="D522" s="114"/>
      <c r="E522" s="114"/>
      <c r="F522" s="115"/>
      <c r="G522" s="138"/>
      <c r="H522" s="114"/>
      <c r="I522" s="114"/>
      <c r="J522" s="114"/>
      <c r="K522" s="114"/>
      <c r="L522" s="114"/>
      <c r="M522" s="114"/>
      <c r="N522" s="114"/>
      <c r="O522" s="114"/>
      <c r="P522" s="114"/>
      <c r="Q522" s="114"/>
      <c r="R522" s="114"/>
      <c r="S522" s="114"/>
      <c r="T522" s="116"/>
      <c r="U522" s="116"/>
      <c r="V522" s="116"/>
      <c r="W522" s="209"/>
      <c r="X522" s="114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</row>
    <row r="523" spans="1:34" ht="24" customHeight="1" x14ac:dyDescent="0.6">
      <c r="A523" s="114"/>
      <c r="B523" s="114"/>
      <c r="C523" s="114"/>
      <c r="D523" s="114"/>
      <c r="E523" s="114"/>
      <c r="F523" s="115"/>
      <c r="G523" s="138"/>
      <c r="H523" s="114"/>
      <c r="I523" s="114"/>
      <c r="J523" s="114"/>
      <c r="K523" s="114"/>
      <c r="L523" s="114"/>
      <c r="M523" s="114"/>
      <c r="N523" s="114"/>
      <c r="O523" s="114"/>
      <c r="P523" s="114"/>
      <c r="Q523" s="114"/>
      <c r="R523" s="114"/>
      <c r="S523" s="114"/>
      <c r="T523" s="116"/>
      <c r="U523" s="116"/>
      <c r="V523" s="116"/>
      <c r="W523" s="209"/>
      <c r="X523" s="114"/>
      <c r="Y523" s="114"/>
      <c r="Z523" s="114"/>
      <c r="AA523" s="114"/>
      <c r="AB523" s="114"/>
      <c r="AC523" s="114"/>
      <c r="AD523" s="114"/>
      <c r="AE523" s="114"/>
      <c r="AF523" s="114"/>
      <c r="AG523" s="114"/>
      <c r="AH523" s="114"/>
    </row>
    <row r="524" spans="1:34" ht="24" customHeight="1" x14ac:dyDescent="0.6">
      <c r="A524" s="114"/>
      <c r="B524" s="114"/>
      <c r="C524" s="114"/>
      <c r="D524" s="114"/>
      <c r="E524" s="114"/>
      <c r="F524" s="115"/>
      <c r="G524" s="138"/>
      <c r="H524" s="114"/>
      <c r="I524" s="114"/>
      <c r="J524" s="114"/>
      <c r="K524" s="114"/>
      <c r="L524" s="114"/>
      <c r="M524" s="114"/>
      <c r="N524" s="114"/>
      <c r="O524" s="114"/>
      <c r="P524" s="114"/>
      <c r="Q524" s="114"/>
      <c r="R524" s="114"/>
      <c r="S524" s="114"/>
      <c r="T524" s="116"/>
      <c r="U524" s="116"/>
      <c r="V524" s="116"/>
      <c r="W524" s="209"/>
      <c r="X524" s="114"/>
      <c r="Y524" s="114"/>
      <c r="Z524" s="114"/>
      <c r="AA524" s="114"/>
      <c r="AB524" s="114"/>
      <c r="AC524" s="114"/>
      <c r="AD524" s="114"/>
      <c r="AE524" s="114"/>
      <c r="AF524" s="114"/>
      <c r="AG524" s="114"/>
      <c r="AH524" s="114"/>
    </row>
    <row r="525" spans="1:34" ht="24" customHeight="1" x14ac:dyDescent="0.6">
      <c r="A525" s="114"/>
      <c r="B525" s="114"/>
      <c r="C525" s="114"/>
      <c r="D525" s="114"/>
      <c r="E525" s="114"/>
      <c r="F525" s="115"/>
      <c r="G525" s="138"/>
      <c r="H525" s="114"/>
      <c r="I525" s="114"/>
      <c r="J525" s="114"/>
      <c r="K525" s="114"/>
      <c r="L525" s="114"/>
      <c r="M525" s="114"/>
      <c r="N525" s="114"/>
      <c r="O525" s="114"/>
      <c r="P525" s="114"/>
      <c r="Q525" s="114"/>
      <c r="R525" s="114"/>
      <c r="S525" s="114"/>
      <c r="T525" s="116"/>
      <c r="U525" s="116"/>
      <c r="V525" s="116"/>
      <c r="W525" s="209"/>
      <c r="X525" s="114"/>
      <c r="Y525" s="114"/>
      <c r="Z525" s="114"/>
      <c r="AA525" s="114"/>
      <c r="AB525" s="114"/>
      <c r="AC525" s="114"/>
      <c r="AD525" s="114"/>
      <c r="AE525" s="114"/>
      <c r="AF525" s="114"/>
      <c r="AG525" s="114"/>
      <c r="AH525" s="114"/>
    </row>
    <row r="526" spans="1:34" ht="24" customHeight="1" x14ac:dyDescent="0.6">
      <c r="A526" s="114"/>
      <c r="B526" s="114"/>
      <c r="C526" s="114"/>
      <c r="D526" s="114"/>
      <c r="E526" s="114"/>
      <c r="F526" s="115"/>
      <c r="G526" s="138"/>
      <c r="H526" s="114"/>
      <c r="I526" s="114"/>
      <c r="J526" s="114"/>
      <c r="K526" s="114"/>
      <c r="L526" s="114"/>
      <c r="M526" s="114"/>
      <c r="N526" s="114"/>
      <c r="O526" s="114"/>
      <c r="P526" s="114"/>
      <c r="Q526" s="114"/>
      <c r="R526" s="114"/>
      <c r="S526" s="114"/>
      <c r="T526" s="116"/>
      <c r="U526" s="116"/>
      <c r="V526" s="116"/>
      <c r="W526" s="209"/>
      <c r="X526" s="114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</row>
    <row r="527" spans="1:34" ht="24" customHeight="1" x14ac:dyDescent="0.6">
      <c r="A527" s="114"/>
      <c r="B527" s="114"/>
      <c r="C527" s="114"/>
      <c r="D527" s="114"/>
      <c r="E527" s="114"/>
      <c r="F527" s="115"/>
      <c r="G527" s="138"/>
      <c r="H527" s="114"/>
      <c r="I527" s="114"/>
      <c r="J527" s="114"/>
      <c r="K527" s="114"/>
      <c r="L527" s="114"/>
      <c r="M527" s="114"/>
      <c r="N527" s="114"/>
      <c r="O527" s="114"/>
      <c r="P527" s="114"/>
      <c r="Q527" s="114"/>
      <c r="R527" s="114"/>
      <c r="S527" s="114"/>
      <c r="T527" s="116"/>
      <c r="U527" s="116"/>
      <c r="V527" s="116"/>
      <c r="W527" s="209"/>
      <c r="X527" s="114"/>
      <c r="Y527" s="114"/>
      <c r="Z527" s="114"/>
      <c r="AA527" s="114"/>
      <c r="AB527" s="114"/>
      <c r="AC527" s="114"/>
      <c r="AD527" s="114"/>
      <c r="AE527" s="114"/>
      <c r="AF527" s="114"/>
      <c r="AG527" s="114"/>
      <c r="AH527" s="114"/>
    </row>
    <row r="528" spans="1:34" ht="24" customHeight="1" x14ac:dyDescent="0.6">
      <c r="A528" s="114"/>
      <c r="B528" s="114"/>
      <c r="C528" s="114"/>
      <c r="D528" s="114"/>
      <c r="E528" s="114"/>
      <c r="F528" s="115"/>
      <c r="G528" s="138"/>
      <c r="H528" s="114"/>
      <c r="I528" s="114"/>
      <c r="J528" s="114"/>
      <c r="K528" s="114"/>
      <c r="L528" s="114"/>
      <c r="M528" s="114"/>
      <c r="N528" s="114"/>
      <c r="O528" s="114"/>
      <c r="P528" s="114"/>
      <c r="Q528" s="114"/>
      <c r="R528" s="114"/>
      <c r="S528" s="114"/>
      <c r="T528" s="116"/>
      <c r="U528" s="116"/>
      <c r="V528" s="116"/>
      <c r="W528" s="209"/>
      <c r="X528" s="114"/>
      <c r="Y528" s="114"/>
      <c r="Z528" s="114"/>
      <c r="AA528" s="114"/>
      <c r="AB528" s="114"/>
      <c r="AC528" s="114"/>
      <c r="AD528" s="114"/>
      <c r="AE528" s="114"/>
      <c r="AF528" s="114"/>
      <c r="AG528" s="114"/>
      <c r="AH528" s="114"/>
    </row>
    <row r="529" spans="1:34" ht="24" customHeight="1" x14ac:dyDescent="0.6">
      <c r="A529" s="114"/>
      <c r="B529" s="114"/>
      <c r="C529" s="114"/>
      <c r="D529" s="114"/>
      <c r="E529" s="114"/>
      <c r="F529" s="115"/>
      <c r="G529" s="138"/>
      <c r="H529" s="114"/>
      <c r="I529" s="114"/>
      <c r="J529" s="114"/>
      <c r="K529" s="114"/>
      <c r="L529" s="114"/>
      <c r="M529" s="114"/>
      <c r="N529" s="114"/>
      <c r="O529" s="114"/>
      <c r="P529" s="114"/>
      <c r="Q529" s="114"/>
      <c r="R529" s="114"/>
      <c r="S529" s="114"/>
      <c r="T529" s="116"/>
      <c r="U529" s="116"/>
      <c r="V529" s="116"/>
      <c r="W529" s="209"/>
      <c r="X529" s="114"/>
      <c r="Y529" s="114"/>
      <c r="Z529" s="114"/>
      <c r="AA529" s="114"/>
      <c r="AB529" s="114"/>
      <c r="AC529" s="114"/>
      <c r="AD529" s="114"/>
      <c r="AE529" s="114"/>
      <c r="AF529" s="114"/>
      <c r="AG529" s="114"/>
      <c r="AH529" s="114"/>
    </row>
    <row r="530" spans="1:34" ht="24" customHeight="1" x14ac:dyDescent="0.6">
      <c r="A530" s="114"/>
      <c r="B530" s="114"/>
      <c r="C530" s="114"/>
      <c r="D530" s="114"/>
      <c r="E530" s="114"/>
      <c r="F530" s="115"/>
      <c r="G530" s="138"/>
      <c r="H530" s="114"/>
      <c r="I530" s="114"/>
      <c r="J530" s="114"/>
      <c r="K530" s="114"/>
      <c r="L530" s="114"/>
      <c r="M530" s="114"/>
      <c r="N530" s="114"/>
      <c r="O530" s="114"/>
      <c r="P530" s="114"/>
      <c r="Q530" s="114"/>
      <c r="R530" s="114"/>
      <c r="S530" s="114"/>
      <c r="T530" s="116"/>
      <c r="U530" s="116"/>
      <c r="V530" s="116"/>
      <c r="W530" s="209"/>
      <c r="X530" s="114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</row>
    <row r="531" spans="1:34" ht="24" customHeight="1" x14ac:dyDescent="0.6">
      <c r="A531" s="114"/>
      <c r="B531" s="114"/>
      <c r="C531" s="114"/>
      <c r="D531" s="114"/>
      <c r="E531" s="114"/>
      <c r="F531" s="115"/>
      <c r="G531" s="138"/>
      <c r="H531" s="114"/>
      <c r="I531" s="114"/>
      <c r="J531" s="114"/>
      <c r="K531" s="114"/>
      <c r="L531" s="114"/>
      <c r="M531" s="114"/>
      <c r="N531" s="114"/>
      <c r="O531" s="114"/>
      <c r="P531" s="114"/>
      <c r="Q531" s="114"/>
      <c r="R531" s="114"/>
      <c r="S531" s="114"/>
      <c r="T531" s="116"/>
      <c r="U531" s="116"/>
      <c r="V531" s="116"/>
      <c r="W531" s="209"/>
      <c r="X531" s="114"/>
      <c r="Y531" s="114"/>
      <c r="Z531" s="114"/>
      <c r="AA531" s="114"/>
      <c r="AB531" s="114"/>
      <c r="AC531" s="114"/>
      <c r="AD531" s="114"/>
      <c r="AE531" s="114"/>
      <c r="AF531" s="114"/>
      <c r="AG531" s="114"/>
      <c r="AH531" s="114"/>
    </row>
    <row r="532" spans="1:34" ht="24" customHeight="1" x14ac:dyDescent="0.6">
      <c r="A532" s="114"/>
      <c r="B532" s="114"/>
      <c r="C532" s="114"/>
      <c r="D532" s="114"/>
      <c r="E532" s="114"/>
      <c r="F532" s="115"/>
      <c r="G532" s="138"/>
      <c r="H532" s="114"/>
      <c r="I532" s="114"/>
      <c r="J532" s="114"/>
      <c r="K532" s="114"/>
      <c r="L532" s="114"/>
      <c r="M532" s="114"/>
      <c r="N532" s="114"/>
      <c r="O532" s="114"/>
      <c r="P532" s="114"/>
      <c r="Q532" s="114"/>
      <c r="R532" s="114"/>
      <c r="S532" s="114"/>
      <c r="T532" s="116"/>
      <c r="U532" s="116"/>
      <c r="V532" s="116"/>
      <c r="W532" s="209"/>
      <c r="X532" s="114"/>
      <c r="Y532" s="114"/>
      <c r="Z532" s="114"/>
      <c r="AA532" s="114"/>
      <c r="AB532" s="114"/>
      <c r="AC532" s="114"/>
      <c r="AD532" s="114"/>
      <c r="AE532" s="114"/>
      <c r="AF532" s="114"/>
      <c r="AG532" s="114"/>
      <c r="AH532" s="114"/>
    </row>
    <row r="533" spans="1:34" ht="24" customHeight="1" x14ac:dyDescent="0.6">
      <c r="A533" s="114"/>
      <c r="B533" s="114"/>
      <c r="C533" s="114"/>
      <c r="D533" s="114"/>
      <c r="E533" s="114"/>
      <c r="F533" s="115"/>
      <c r="G533" s="138"/>
      <c r="H533" s="114"/>
      <c r="I533" s="114"/>
      <c r="J533" s="114"/>
      <c r="K533" s="114"/>
      <c r="L533" s="114"/>
      <c r="M533" s="114"/>
      <c r="N533" s="114"/>
      <c r="O533" s="114"/>
      <c r="P533" s="114"/>
      <c r="Q533" s="114"/>
      <c r="R533" s="114"/>
      <c r="S533" s="114"/>
      <c r="T533" s="116"/>
      <c r="U533" s="116"/>
      <c r="V533" s="116"/>
      <c r="W533" s="209"/>
      <c r="X533" s="114"/>
      <c r="Y533" s="114"/>
      <c r="Z533" s="114"/>
      <c r="AA533" s="114"/>
      <c r="AB533" s="114"/>
      <c r="AC533" s="114"/>
      <c r="AD533" s="114"/>
      <c r="AE533" s="114"/>
      <c r="AF533" s="114"/>
      <c r="AG533" s="114"/>
      <c r="AH533" s="114"/>
    </row>
    <row r="534" spans="1:34" ht="24" customHeight="1" x14ac:dyDescent="0.6">
      <c r="A534" s="114"/>
      <c r="B534" s="114"/>
      <c r="C534" s="114"/>
      <c r="D534" s="114"/>
      <c r="E534" s="114"/>
      <c r="F534" s="115"/>
      <c r="G534" s="138"/>
      <c r="H534" s="114"/>
      <c r="I534" s="114"/>
      <c r="J534" s="114"/>
      <c r="K534" s="114"/>
      <c r="L534" s="114"/>
      <c r="M534" s="114"/>
      <c r="N534" s="114"/>
      <c r="O534" s="114"/>
      <c r="P534" s="114"/>
      <c r="Q534" s="114"/>
      <c r="R534" s="114"/>
      <c r="S534" s="114"/>
      <c r="T534" s="116"/>
      <c r="U534" s="116"/>
      <c r="V534" s="116"/>
      <c r="W534" s="209"/>
      <c r="X534" s="114"/>
      <c r="Y534" s="114"/>
      <c r="Z534" s="114"/>
      <c r="AA534" s="114"/>
      <c r="AB534" s="114"/>
      <c r="AC534" s="114"/>
      <c r="AD534" s="114"/>
      <c r="AE534" s="114"/>
      <c r="AF534" s="114"/>
      <c r="AG534" s="114"/>
      <c r="AH534" s="114"/>
    </row>
    <row r="535" spans="1:34" ht="24" customHeight="1" x14ac:dyDescent="0.6">
      <c r="A535" s="114"/>
      <c r="B535" s="114"/>
      <c r="C535" s="114"/>
      <c r="D535" s="114"/>
      <c r="E535" s="114"/>
      <c r="F535" s="115"/>
      <c r="G535" s="138"/>
      <c r="H535" s="114"/>
      <c r="I535" s="114"/>
      <c r="J535" s="114"/>
      <c r="K535" s="114"/>
      <c r="L535" s="114"/>
      <c r="M535" s="114"/>
      <c r="N535" s="114"/>
      <c r="O535" s="114"/>
      <c r="P535" s="114"/>
      <c r="Q535" s="114"/>
      <c r="R535" s="114"/>
      <c r="S535" s="114"/>
      <c r="T535" s="116"/>
      <c r="U535" s="116"/>
      <c r="V535" s="116"/>
      <c r="W535" s="209"/>
      <c r="X535" s="114"/>
      <c r="Y535" s="114"/>
      <c r="Z535" s="114"/>
      <c r="AA535" s="114"/>
      <c r="AB535" s="114"/>
      <c r="AC535" s="114"/>
      <c r="AD535" s="114"/>
      <c r="AE535" s="114"/>
      <c r="AF535" s="114"/>
      <c r="AG535" s="114"/>
      <c r="AH535" s="114"/>
    </row>
    <row r="536" spans="1:34" ht="24" customHeight="1" x14ac:dyDescent="0.6">
      <c r="A536" s="114"/>
      <c r="B536" s="114"/>
      <c r="C536" s="114"/>
      <c r="D536" s="114"/>
      <c r="E536" s="114"/>
      <c r="F536" s="115"/>
      <c r="G536" s="138"/>
      <c r="H536" s="114"/>
      <c r="I536" s="114"/>
      <c r="J536" s="114"/>
      <c r="K536" s="114"/>
      <c r="L536" s="114"/>
      <c r="M536" s="114"/>
      <c r="N536" s="114"/>
      <c r="O536" s="114"/>
      <c r="P536" s="114"/>
      <c r="Q536" s="114"/>
      <c r="R536" s="114"/>
      <c r="S536" s="114"/>
      <c r="T536" s="116"/>
      <c r="U536" s="116"/>
      <c r="V536" s="116"/>
      <c r="W536" s="209"/>
      <c r="X536" s="114"/>
      <c r="Y536" s="114"/>
      <c r="Z536" s="114"/>
      <c r="AA536" s="114"/>
      <c r="AB536" s="114"/>
      <c r="AC536" s="114"/>
      <c r="AD536" s="114"/>
      <c r="AE536" s="114"/>
      <c r="AF536" s="114"/>
      <c r="AG536" s="114"/>
      <c r="AH536" s="114"/>
    </row>
    <row r="537" spans="1:34" ht="24" customHeight="1" x14ac:dyDescent="0.6">
      <c r="A537" s="114"/>
      <c r="B537" s="114"/>
      <c r="C537" s="114"/>
      <c r="D537" s="114"/>
      <c r="E537" s="114"/>
      <c r="F537" s="115"/>
      <c r="G537" s="138"/>
      <c r="H537" s="114"/>
      <c r="I537" s="114"/>
      <c r="J537" s="114"/>
      <c r="K537" s="114"/>
      <c r="L537" s="114"/>
      <c r="M537" s="114"/>
      <c r="N537" s="114"/>
      <c r="O537" s="114"/>
      <c r="P537" s="114"/>
      <c r="Q537" s="114"/>
      <c r="R537" s="114"/>
      <c r="S537" s="114"/>
      <c r="T537" s="116"/>
      <c r="U537" s="116"/>
      <c r="V537" s="116"/>
      <c r="W537" s="209"/>
      <c r="X537" s="114"/>
      <c r="Y537" s="114"/>
      <c r="Z537" s="114"/>
      <c r="AA537" s="114"/>
      <c r="AB537" s="114"/>
      <c r="AC537" s="114"/>
      <c r="AD537" s="114"/>
      <c r="AE537" s="114"/>
      <c r="AF537" s="114"/>
      <c r="AG537" s="114"/>
      <c r="AH537" s="114"/>
    </row>
    <row r="538" spans="1:34" ht="24" customHeight="1" x14ac:dyDescent="0.6">
      <c r="A538" s="114"/>
      <c r="B538" s="114"/>
      <c r="C538" s="114"/>
      <c r="D538" s="114"/>
      <c r="E538" s="114"/>
      <c r="F538" s="115"/>
      <c r="G538" s="138"/>
      <c r="H538" s="114"/>
      <c r="I538" s="114"/>
      <c r="J538" s="114"/>
      <c r="K538" s="114"/>
      <c r="L538" s="114"/>
      <c r="M538" s="114"/>
      <c r="N538" s="114"/>
      <c r="O538" s="114"/>
      <c r="P538" s="114"/>
      <c r="Q538" s="114"/>
      <c r="R538" s="114"/>
      <c r="S538" s="114"/>
      <c r="T538" s="116"/>
      <c r="U538" s="116"/>
      <c r="V538" s="116"/>
      <c r="W538" s="209"/>
      <c r="X538" s="114"/>
      <c r="Y538" s="114"/>
      <c r="Z538" s="114"/>
      <c r="AA538" s="114"/>
      <c r="AB538" s="114"/>
      <c r="AC538" s="114"/>
      <c r="AD538" s="114"/>
      <c r="AE538" s="114"/>
      <c r="AF538" s="114"/>
      <c r="AG538" s="114"/>
      <c r="AH538" s="114"/>
    </row>
    <row r="539" spans="1:34" ht="24" customHeight="1" x14ac:dyDescent="0.6">
      <c r="A539" s="114"/>
      <c r="B539" s="114"/>
      <c r="C539" s="114"/>
      <c r="D539" s="114"/>
      <c r="E539" s="114"/>
      <c r="F539" s="115"/>
      <c r="G539" s="138"/>
      <c r="H539" s="114"/>
      <c r="I539" s="114"/>
      <c r="J539" s="114"/>
      <c r="K539" s="114"/>
      <c r="L539" s="114"/>
      <c r="M539" s="114"/>
      <c r="N539" s="114"/>
      <c r="O539" s="114"/>
      <c r="P539" s="114"/>
      <c r="Q539" s="114"/>
      <c r="R539" s="114"/>
      <c r="S539" s="114"/>
      <c r="T539" s="116"/>
      <c r="U539" s="116"/>
      <c r="V539" s="116"/>
      <c r="W539" s="209"/>
      <c r="X539" s="114"/>
      <c r="Y539" s="114"/>
      <c r="Z539" s="114"/>
      <c r="AA539" s="114"/>
      <c r="AB539" s="114"/>
      <c r="AC539" s="114"/>
      <c r="AD539" s="114"/>
      <c r="AE539" s="114"/>
      <c r="AF539" s="114"/>
      <c r="AG539" s="114"/>
      <c r="AH539" s="114"/>
    </row>
    <row r="540" spans="1:34" ht="24" customHeight="1" x14ac:dyDescent="0.6">
      <c r="A540" s="114"/>
      <c r="B540" s="114"/>
      <c r="C540" s="114"/>
      <c r="D540" s="114"/>
      <c r="E540" s="114"/>
      <c r="F540" s="115"/>
      <c r="G540" s="138"/>
      <c r="H540" s="114"/>
      <c r="I540" s="114"/>
      <c r="J540" s="114"/>
      <c r="K540" s="114"/>
      <c r="L540" s="114"/>
      <c r="M540" s="114"/>
      <c r="N540" s="114"/>
      <c r="O540" s="114"/>
      <c r="P540" s="114"/>
      <c r="Q540" s="114"/>
      <c r="R540" s="114"/>
      <c r="S540" s="114"/>
      <c r="T540" s="116"/>
      <c r="U540" s="116"/>
      <c r="V540" s="116"/>
      <c r="W540" s="209"/>
      <c r="X540" s="114"/>
      <c r="Y540" s="114"/>
      <c r="Z540" s="114"/>
      <c r="AA540" s="114"/>
      <c r="AB540" s="114"/>
      <c r="AC540" s="114"/>
      <c r="AD540" s="114"/>
      <c r="AE540" s="114"/>
      <c r="AF540" s="114"/>
      <c r="AG540" s="114"/>
      <c r="AH540" s="114"/>
    </row>
    <row r="541" spans="1:34" ht="24" customHeight="1" x14ac:dyDescent="0.6">
      <c r="A541" s="114"/>
      <c r="B541" s="114"/>
      <c r="C541" s="114"/>
      <c r="D541" s="114"/>
      <c r="E541" s="114"/>
      <c r="F541" s="115"/>
      <c r="G541" s="138"/>
      <c r="H541" s="114"/>
      <c r="I541" s="114"/>
      <c r="J541" s="114"/>
      <c r="K541" s="114"/>
      <c r="L541" s="114"/>
      <c r="M541" s="114"/>
      <c r="N541" s="114"/>
      <c r="O541" s="114"/>
      <c r="P541" s="114"/>
      <c r="Q541" s="114"/>
      <c r="R541" s="114"/>
      <c r="S541" s="114"/>
      <c r="T541" s="116"/>
      <c r="U541" s="116"/>
      <c r="V541" s="116"/>
      <c r="W541" s="209"/>
      <c r="X541" s="114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</row>
    <row r="542" spans="1:34" ht="24" customHeight="1" x14ac:dyDescent="0.6">
      <c r="A542" s="114"/>
      <c r="B542" s="114"/>
      <c r="C542" s="114"/>
      <c r="D542" s="114"/>
      <c r="E542" s="114"/>
      <c r="F542" s="115"/>
      <c r="G542" s="138"/>
      <c r="H542" s="114"/>
      <c r="I542" s="114"/>
      <c r="J542" s="114"/>
      <c r="K542" s="114"/>
      <c r="L542" s="114"/>
      <c r="M542" s="114"/>
      <c r="N542" s="114"/>
      <c r="O542" s="114"/>
      <c r="P542" s="114"/>
      <c r="Q542" s="114"/>
      <c r="R542" s="114"/>
      <c r="S542" s="114"/>
      <c r="T542" s="116"/>
      <c r="U542" s="116"/>
      <c r="V542" s="116"/>
      <c r="W542" s="209"/>
      <c r="X542" s="114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</row>
    <row r="543" spans="1:34" ht="24" customHeight="1" x14ac:dyDescent="0.6">
      <c r="A543" s="114"/>
      <c r="B543" s="114"/>
      <c r="C543" s="114"/>
      <c r="D543" s="114"/>
      <c r="E543" s="114"/>
      <c r="F543" s="115"/>
      <c r="G543" s="138"/>
      <c r="H543" s="114"/>
      <c r="I543" s="114"/>
      <c r="J543" s="114"/>
      <c r="K543" s="114"/>
      <c r="L543" s="114"/>
      <c r="M543" s="114"/>
      <c r="N543" s="114"/>
      <c r="O543" s="114"/>
      <c r="P543" s="114"/>
      <c r="Q543" s="114"/>
      <c r="R543" s="114"/>
      <c r="S543" s="114"/>
      <c r="T543" s="116"/>
      <c r="U543" s="116"/>
      <c r="V543" s="116"/>
      <c r="W543" s="209"/>
      <c r="X543" s="114"/>
      <c r="Y543" s="114"/>
      <c r="Z543" s="114"/>
      <c r="AA543" s="114"/>
      <c r="AB543" s="114"/>
      <c r="AC543" s="114"/>
      <c r="AD543" s="114"/>
      <c r="AE543" s="114"/>
      <c r="AF543" s="114"/>
      <c r="AG543" s="114"/>
      <c r="AH543" s="114"/>
    </row>
    <row r="544" spans="1:34" ht="24" customHeight="1" x14ac:dyDescent="0.6">
      <c r="A544" s="114"/>
      <c r="B544" s="114"/>
      <c r="C544" s="114"/>
      <c r="D544" s="114"/>
      <c r="E544" s="114"/>
      <c r="F544" s="115"/>
      <c r="G544" s="138"/>
      <c r="H544" s="114"/>
      <c r="I544" s="114"/>
      <c r="J544" s="114"/>
      <c r="K544" s="114"/>
      <c r="L544" s="114"/>
      <c r="M544" s="114"/>
      <c r="N544" s="114"/>
      <c r="O544" s="114"/>
      <c r="P544" s="114"/>
      <c r="Q544" s="114"/>
      <c r="R544" s="114"/>
      <c r="S544" s="114"/>
      <c r="T544" s="116"/>
      <c r="U544" s="116"/>
      <c r="V544" s="116"/>
      <c r="W544" s="209"/>
      <c r="X544" s="114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</row>
    <row r="545" spans="1:34" ht="24" customHeight="1" x14ac:dyDescent="0.6">
      <c r="A545" s="114"/>
      <c r="B545" s="114"/>
      <c r="C545" s="114"/>
      <c r="D545" s="114"/>
      <c r="E545" s="114"/>
      <c r="F545" s="115"/>
      <c r="G545" s="138"/>
      <c r="H545" s="114"/>
      <c r="I545" s="114"/>
      <c r="J545" s="114"/>
      <c r="K545" s="114"/>
      <c r="L545" s="114"/>
      <c r="M545" s="114"/>
      <c r="N545" s="114"/>
      <c r="O545" s="114"/>
      <c r="P545" s="114"/>
      <c r="Q545" s="114"/>
      <c r="R545" s="114"/>
      <c r="S545" s="114"/>
      <c r="T545" s="116"/>
      <c r="U545" s="116"/>
      <c r="V545" s="116"/>
      <c r="W545" s="209"/>
      <c r="X545" s="114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</row>
    <row r="546" spans="1:34" ht="24" customHeight="1" x14ac:dyDescent="0.6">
      <c r="A546" s="114"/>
      <c r="B546" s="114"/>
      <c r="C546" s="114"/>
      <c r="D546" s="114"/>
      <c r="E546" s="114"/>
      <c r="F546" s="115"/>
      <c r="G546" s="138"/>
      <c r="H546" s="114"/>
      <c r="I546" s="114"/>
      <c r="J546" s="114"/>
      <c r="K546" s="114"/>
      <c r="L546" s="114"/>
      <c r="M546" s="114"/>
      <c r="N546" s="114"/>
      <c r="O546" s="114"/>
      <c r="P546" s="114"/>
      <c r="Q546" s="114"/>
      <c r="R546" s="114"/>
      <c r="S546" s="114"/>
      <c r="T546" s="116"/>
      <c r="U546" s="116"/>
      <c r="V546" s="116"/>
      <c r="W546" s="209"/>
      <c r="X546" s="114"/>
      <c r="Y546" s="114"/>
      <c r="Z546" s="114"/>
      <c r="AA546" s="114"/>
      <c r="AB546" s="114"/>
      <c r="AC546" s="114"/>
      <c r="AD546" s="114"/>
      <c r="AE546" s="114"/>
      <c r="AF546" s="114"/>
      <c r="AG546" s="114"/>
      <c r="AH546" s="114"/>
    </row>
    <row r="547" spans="1:34" ht="24" customHeight="1" x14ac:dyDescent="0.6">
      <c r="A547" s="114"/>
      <c r="B547" s="114"/>
      <c r="C547" s="114"/>
      <c r="D547" s="114"/>
      <c r="E547" s="114"/>
      <c r="F547" s="115"/>
      <c r="G547" s="138"/>
      <c r="H547" s="114"/>
      <c r="I547" s="114"/>
      <c r="J547" s="114"/>
      <c r="K547" s="114"/>
      <c r="L547" s="114"/>
      <c r="M547" s="114"/>
      <c r="N547" s="114"/>
      <c r="O547" s="114"/>
      <c r="P547" s="114"/>
      <c r="Q547" s="114"/>
      <c r="R547" s="114"/>
      <c r="S547" s="114"/>
      <c r="T547" s="116"/>
      <c r="U547" s="116"/>
      <c r="V547" s="116"/>
      <c r="W547" s="209"/>
      <c r="X547" s="114"/>
      <c r="Y547" s="114"/>
      <c r="Z547" s="114"/>
      <c r="AA547" s="114"/>
      <c r="AB547" s="114"/>
      <c r="AC547" s="114"/>
      <c r="AD547" s="114"/>
      <c r="AE547" s="114"/>
      <c r="AF547" s="114"/>
      <c r="AG547" s="114"/>
      <c r="AH547" s="114"/>
    </row>
    <row r="548" spans="1:34" ht="24" customHeight="1" x14ac:dyDescent="0.6">
      <c r="A548" s="114"/>
      <c r="B548" s="114"/>
      <c r="C548" s="114"/>
      <c r="D548" s="114"/>
      <c r="E548" s="114"/>
      <c r="F548" s="115"/>
      <c r="G548" s="138"/>
      <c r="H548" s="114"/>
      <c r="I548" s="114"/>
      <c r="J548" s="114"/>
      <c r="K548" s="114"/>
      <c r="L548" s="114"/>
      <c r="M548" s="114"/>
      <c r="N548" s="114"/>
      <c r="O548" s="114"/>
      <c r="P548" s="114"/>
      <c r="Q548" s="114"/>
      <c r="R548" s="114"/>
      <c r="S548" s="114"/>
      <c r="T548" s="116"/>
      <c r="U548" s="116"/>
      <c r="V548" s="116"/>
      <c r="W548" s="209"/>
      <c r="X548" s="114"/>
      <c r="Y548" s="114"/>
      <c r="Z548" s="114"/>
      <c r="AA548" s="114"/>
      <c r="AB548" s="114"/>
      <c r="AC548" s="114"/>
      <c r="AD548" s="114"/>
      <c r="AE548" s="114"/>
      <c r="AF548" s="114"/>
      <c r="AG548" s="114"/>
      <c r="AH548" s="114"/>
    </row>
    <row r="549" spans="1:34" ht="24" customHeight="1" x14ac:dyDescent="0.6">
      <c r="A549" s="114"/>
      <c r="B549" s="114"/>
      <c r="C549" s="114"/>
      <c r="D549" s="114"/>
      <c r="E549" s="114"/>
      <c r="F549" s="115"/>
      <c r="G549" s="138"/>
      <c r="H549" s="114"/>
      <c r="I549" s="114"/>
      <c r="J549" s="114"/>
      <c r="K549" s="114"/>
      <c r="L549" s="114"/>
      <c r="M549" s="114"/>
      <c r="N549" s="114"/>
      <c r="O549" s="114"/>
      <c r="P549" s="114"/>
      <c r="Q549" s="114"/>
      <c r="R549" s="114"/>
      <c r="S549" s="114"/>
      <c r="T549" s="116"/>
      <c r="U549" s="116"/>
      <c r="V549" s="116"/>
      <c r="W549" s="209"/>
      <c r="X549" s="114"/>
      <c r="Y549" s="114"/>
      <c r="Z549" s="114"/>
      <c r="AA549" s="114"/>
      <c r="AB549" s="114"/>
      <c r="AC549" s="114"/>
      <c r="AD549" s="114"/>
      <c r="AE549" s="114"/>
      <c r="AF549" s="114"/>
      <c r="AG549" s="114"/>
      <c r="AH549" s="114"/>
    </row>
    <row r="550" spans="1:34" ht="24" customHeight="1" x14ac:dyDescent="0.6">
      <c r="A550" s="114"/>
      <c r="B550" s="114"/>
      <c r="C550" s="114"/>
      <c r="D550" s="114"/>
      <c r="E550" s="114"/>
      <c r="F550" s="115"/>
      <c r="G550" s="138"/>
      <c r="H550" s="114"/>
      <c r="I550" s="114"/>
      <c r="J550" s="114"/>
      <c r="K550" s="114"/>
      <c r="L550" s="114"/>
      <c r="M550" s="114"/>
      <c r="N550" s="114"/>
      <c r="O550" s="114"/>
      <c r="P550" s="114"/>
      <c r="Q550" s="114"/>
      <c r="R550" s="114"/>
      <c r="S550" s="114"/>
      <c r="T550" s="116"/>
      <c r="U550" s="116"/>
      <c r="V550" s="116"/>
      <c r="W550" s="209"/>
      <c r="X550" s="114"/>
      <c r="Y550" s="114"/>
      <c r="Z550" s="114"/>
      <c r="AA550" s="114"/>
      <c r="AB550" s="114"/>
      <c r="AC550" s="114"/>
      <c r="AD550" s="114"/>
      <c r="AE550" s="114"/>
      <c r="AF550" s="114"/>
      <c r="AG550" s="114"/>
      <c r="AH550" s="114"/>
    </row>
    <row r="551" spans="1:34" ht="24" customHeight="1" x14ac:dyDescent="0.6">
      <c r="A551" s="114"/>
      <c r="B551" s="114"/>
      <c r="C551" s="114"/>
      <c r="D551" s="114"/>
      <c r="E551" s="114"/>
      <c r="F551" s="115"/>
      <c r="G551" s="138"/>
      <c r="H551" s="114"/>
      <c r="I551" s="114"/>
      <c r="J551" s="114"/>
      <c r="K551" s="114"/>
      <c r="L551" s="114"/>
      <c r="M551" s="114"/>
      <c r="N551" s="114"/>
      <c r="O551" s="114"/>
      <c r="P551" s="114"/>
      <c r="Q551" s="114"/>
      <c r="R551" s="114"/>
      <c r="S551" s="114"/>
      <c r="T551" s="116"/>
      <c r="U551" s="116"/>
      <c r="V551" s="116"/>
      <c r="W551" s="209"/>
      <c r="X551" s="114"/>
      <c r="Y551" s="114"/>
      <c r="Z551" s="114"/>
      <c r="AA551" s="114"/>
      <c r="AB551" s="114"/>
      <c r="AC551" s="114"/>
      <c r="AD551" s="114"/>
      <c r="AE551" s="114"/>
      <c r="AF551" s="114"/>
      <c r="AG551" s="114"/>
      <c r="AH551" s="114"/>
    </row>
    <row r="552" spans="1:34" ht="24" customHeight="1" x14ac:dyDescent="0.6">
      <c r="A552" s="114"/>
      <c r="B552" s="114"/>
      <c r="C552" s="114"/>
      <c r="D552" s="114"/>
      <c r="E552" s="114"/>
      <c r="F552" s="115"/>
      <c r="G552" s="138"/>
      <c r="H552" s="114"/>
      <c r="I552" s="114"/>
      <c r="J552" s="114"/>
      <c r="K552" s="114"/>
      <c r="L552" s="114"/>
      <c r="M552" s="114"/>
      <c r="N552" s="114"/>
      <c r="O552" s="114"/>
      <c r="P552" s="114"/>
      <c r="Q552" s="114"/>
      <c r="R552" s="114"/>
      <c r="S552" s="114"/>
      <c r="T552" s="116"/>
      <c r="U552" s="116"/>
      <c r="V552" s="116"/>
      <c r="W552" s="209"/>
      <c r="X552" s="114"/>
      <c r="Y552" s="114"/>
      <c r="Z552" s="114"/>
      <c r="AA552" s="114"/>
      <c r="AB552" s="114"/>
      <c r="AC552" s="114"/>
      <c r="AD552" s="114"/>
      <c r="AE552" s="114"/>
      <c r="AF552" s="114"/>
      <c r="AG552" s="114"/>
      <c r="AH552" s="114"/>
    </row>
    <row r="553" spans="1:34" ht="24" customHeight="1" x14ac:dyDescent="0.6">
      <c r="A553" s="114"/>
      <c r="B553" s="114"/>
      <c r="C553" s="114"/>
      <c r="D553" s="114"/>
      <c r="E553" s="114"/>
      <c r="F553" s="115"/>
      <c r="G553" s="138"/>
      <c r="H553" s="114"/>
      <c r="I553" s="114"/>
      <c r="J553" s="114"/>
      <c r="K553" s="114"/>
      <c r="L553" s="114"/>
      <c r="M553" s="114"/>
      <c r="N553" s="114"/>
      <c r="O553" s="114"/>
      <c r="P553" s="114"/>
      <c r="Q553" s="114"/>
      <c r="R553" s="114"/>
      <c r="S553" s="114"/>
      <c r="T553" s="116"/>
      <c r="U553" s="116"/>
      <c r="V553" s="116"/>
      <c r="W553" s="209"/>
      <c r="X553" s="114"/>
      <c r="Y553" s="114"/>
      <c r="Z553" s="114"/>
      <c r="AA553" s="114"/>
      <c r="AB553" s="114"/>
      <c r="AC553" s="114"/>
      <c r="AD553" s="114"/>
      <c r="AE553" s="114"/>
      <c r="AF553" s="114"/>
      <c r="AG553" s="114"/>
      <c r="AH553" s="114"/>
    </row>
    <row r="554" spans="1:34" ht="24" customHeight="1" x14ac:dyDescent="0.6">
      <c r="A554" s="114"/>
      <c r="B554" s="114"/>
      <c r="C554" s="114"/>
      <c r="D554" s="114"/>
      <c r="E554" s="114"/>
      <c r="F554" s="115"/>
      <c r="G554" s="138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114"/>
      <c r="S554" s="114"/>
      <c r="T554" s="116"/>
      <c r="U554" s="116"/>
      <c r="V554" s="116"/>
      <c r="W554" s="209"/>
      <c r="X554" s="114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</row>
    <row r="555" spans="1:34" ht="24" customHeight="1" x14ac:dyDescent="0.6">
      <c r="A555" s="114"/>
      <c r="B555" s="114"/>
      <c r="C555" s="114"/>
      <c r="D555" s="114"/>
      <c r="E555" s="114"/>
      <c r="F555" s="115"/>
      <c r="G555" s="138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114"/>
      <c r="S555" s="114"/>
      <c r="T555" s="116"/>
      <c r="U555" s="116"/>
      <c r="V555" s="116"/>
      <c r="W555" s="209"/>
      <c r="X555" s="114"/>
      <c r="Y555" s="114"/>
      <c r="Z555" s="114"/>
      <c r="AA555" s="114"/>
      <c r="AB555" s="114"/>
      <c r="AC555" s="114"/>
      <c r="AD555" s="114"/>
      <c r="AE555" s="114"/>
      <c r="AF555" s="114"/>
      <c r="AG555" s="114"/>
      <c r="AH555" s="114"/>
    </row>
    <row r="556" spans="1:34" ht="24" customHeight="1" x14ac:dyDescent="0.6">
      <c r="A556" s="114"/>
      <c r="B556" s="114"/>
      <c r="C556" s="114"/>
      <c r="D556" s="114"/>
      <c r="E556" s="114"/>
      <c r="F556" s="115"/>
      <c r="G556" s="138"/>
      <c r="H556" s="114"/>
      <c r="I556" s="114"/>
      <c r="J556" s="114"/>
      <c r="K556" s="114"/>
      <c r="L556" s="114"/>
      <c r="M556" s="114"/>
      <c r="N556" s="114"/>
      <c r="O556" s="114"/>
      <c r="P556" s="114"/>
      <c r="Q556" s="114"/>
      <c r="R556" s="114"/>
      <c r="S556" s="114"/>
      <c r="T556" s="116"/>
      <c r="U556" s="116"/>
      <c r="V556" s="116"/>
      <c r="W556" s="209"/>
      <c r="X556" s="114"/>
      <c r="Y556" s="114"/>
      <c r="Z556" s="114"/>
      <c r="AA556" s="114"/>
      <c r="AB556" s="114"/>
      <c r="AC556" s="114"/>
      <c r="AD556" s="114"/>
      <c r="AE556" s="114"/>
      <c r="AF556" s="114"/>
      <c r="AG556" s="114"/>
      <c r="AH556" s="114"/>
    </row>
    <row r="557" spans="1:34" ht="24" customHeight="1" x14ac:dyDescent="0.6">
      <c r="A557" s="114"/>
      <c r="B557" s="114"/>
      <c r="C557" s="114"/>
      <c r="D557" s="114"/>
      <c r="E557" s="114"/>
      <c r="F557" s="115"/>
      <c r="G557" s="138"/>
      <c r="H557" s="114"/>
      <c r="I557" s="114"/>
      <c r="J557" s="114"/>
      <c r="K557" s="114"/>
      <c r="L557" s="114"/>
      <c r="M557" s="114"/>
      <c r="N557" s="114"/>
      <c r="O557" s="114"/>
      <c r="P557" s="114"/>
      <c r="Q557" s="114"/>
      <c r="R557" s="114"/>
      <c r="S557" s="114"/>
      <c r="T557" s="116"/>
      <c r="U557" s="116"/>
      <c r="V557" s="116"/>
      <c r="W557" s="209"/>
      <c r="X557" s="114"/>
      <c r="Y557" s="114"/>
      <c r="Z557" s="114"/>
      <c r="AA557" s="114"/>
      <c r="AB557" s="114"/>
      <c r="AC557" s="114"/>
      <c r="AD557" s="114"/>
      <c r="AE557" s="114"/>
      <c r="AF557" s="114"/>
      <c r="AG557" s="114"/>
      <c r="AH557" s="114"/>
    </row>
    <row r="558" spans="1:34" ht="24" customHeight="1" x14ac:dyDescent="0.6">
      <c r="A558" s="114"/>
      <c r="B558" s="114"/>
      <c r="C558" s="114"/>
      <c r="D558" s="114"/>
      <c r="E558" s="114"/>
      <c r="F558" s="115"/>
      <c r="G558" s="138"/>
      <c r="H558" s="114"/>
      <c r="I558" s="114"/>
      <c r="J558" s="114"/>
      <c r="K558" s="114"/>
      <c r="L558" s="114"/>
      <c r="M558" s="114"/>
      <c r="N558" s="114"/>
      <c r="O558" s="114"/>
      <c r="P558" s="114"/>
      <c r="Q558" s="114"/>
      <c r="R558" s="114"/>
      <c r="S558" s="114"/>
      <c r="T558" s="116"/>
      <c r="U558" s="116"/>
      <c r="V558" s="116"/>
      <c r="W558" s="209"/>
      <c r="X558" s="114"/>
      <c r="Y558" s="114"/>
      <c r="Z558" s="114"/>
      <c r="AA558" s="114"/>
      <c r="AB558" s="114"/>
      <c r="AC558" s="114"/>
      <c r="AD558" s="114"/>
      <c r="AE558" s="114"/>
      <c r="AF558" s="114"/>
      <c r="AG558" s="114"/>
      <c r="AH558" s="114"/>
    </row>
    <row r="559" spans="1:34" ht="24" customHeight="1" x14ac:dyDescent="0.6">
      <c r="A559" s="114"/>
      <c r="B559" s="114"/>
      <c r="C559" s="114"/>
      <c r="D559" s="114"/>
      <c r="E559" s="114"/>
      <c r="F559" s="115"/>
      <c r="G559" s="138"/>
      <c r="H559" s="114"/>
      <c r="I559" s="114"/>
      <c r="J559" s="114"/>
      <c r="K559" s="114"/>
      <c r="L559" s="114"/>
      <c r="M559" s="114"/>
      <c r="N559" s="114"/>
      <c r="O559" s="114"/>
      <c r="P559" s="114"/>
      <c r="Q559" s="114"/>
      <c r="R559" s="114"/>
      <c r="S559" s="114"/>
      <c r="T559" s="116"/>
      <c r="U559" s="116"/>
      <c r="V559" s="116"/>
      <c r="W559" s="209"/>
      <c r="X559" s="114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</row>
    <row r="560" spans="1:34" ht="24" customHeight="1" x14ac:dyDescent="0.6">
      <c r="A560" s="114"/>
      <c r="B560" s="114"/>
      <c r="C560" s="114"/>
      <c r="D560" s="114"/>
      <c r="E560" s="114"/>
      <c r="F560" s="115"/>
      <c r="G560" s="138"/>
      <c r="H560" s="114"/>
      <c r="I560" s="114"/>
      <c r="J560" s="114"/>
      <c r="K560" s="114"/>
      <c r="L560" s="114"/>
      <c r="M560" s="114"/>
      <c r="N560" s="114"/>
      <c r="O560" s="114"/>
      <c r="P560" s="114"/>
      <c r="Q560" s="114"/>
      <c r="R560" s="114"/>
      <c r="S560" s="114"/>
      <c r="T560" s="116"/>
      <c r="U560" s="116"/>
      <c r="V560" s="116"/>
      <c r="W560" s="209"/>
      <c r="X560" s="114"/>
      <c r="Y560" s="114"/>
      <c r="Z560" s="114"/>
      <c r="AA560" s="114"/>
      <c r="AB560" s="114"/>
      <c r="AC560" s="114"/>
      <c r="AD560" s="114"/>
      <c r="AE560" s="114"/>
      <c r="AF560" s="114"/>
      <c r="AG560" s="114"/>
      <c r="AH560" s="114"/>
    </row>
    <row r="561" spans="1:34" ht="24" customHeight="1" x14ac:dyDescent="0.6">
      <c r="A561" s="114"/>
      <c r="B561" s="114"/>
      <c r="C561" s="114"/>
      <c r="D561" s="114"/>
      <c r="E561" s="114"/>
      <c r="F561" s="115"/>
      <c r="G561" s="138"/>
      <c r="H561" s="114"/>
      <c r="I561" s="114"/>
      <c r="J561" s="114"/>
      <c r="K561" s="114"/>
      <c r="L561" s="114"/>
      <c r="M561" s="114"/>
      <c r="N561" s="114"/>
      <c r="O561" s="114"/>
      <c r="P561" s="114"/>
      <c r="Q561" s="114"/>
      <c r="R561" s="114"/>
      <c r="S561" s="114"/>
      <c r="T561" s="116"/>
      <c r="U561" s="116"/>
      <c r="V561" s="116"/>
      <c r="W561" s="209"/>
      <c r="X561" s="114"/>
      <c r="Y561" s="114"/>
      <c r="Z561" s="114"/>
      <c r="AA561" s="114"/>
      <c r="AB561" s="114"/>
      <c r="AC561" s="114"/>
      <c r="AD561" s="114"/>
      <c r="AE561" s="114"/>
      <c r="AF561" s="114"/>
      <c r="AG561" s="114"/>
      <c r="AH561" s="114"/>
    </row>
    <row r="562" spans="1:34" ht="24" customHeight="1" x14ac:dyDescent="0.6">
      <c r="A562" s="114"/>
      <c r="B562" s="114"/>
      <c r="C562" s="114"/>
      <c r="D562" s="114"/>
      <c r="E562" s="114"/>
      <c r="F562" s="115"/>
      <c r="G562" s="138"/>
      <c r="H562" s="114"/>
      <c r="I562" s="114"/>
      <c r="J562" s="114"/>
      <c r="K562" s="114"/>
      <c r="L562" s="114"/>
      <c r="M562" s="114"/>
      <c r="N562" s="114"/>
      <c r="O562" s="114"/>
      <c r="P562" s="114"/>
      <c r="Q562" s="114"/>
      <c r="R562" s="114"/>
      <c r="S562" s="114"/>
      <c r="T562" s="116"/>
      <c r="U562" s="116"/>
      <c r="V562" s="116"/>
      <c r="W562" s="209"/>
      <c r="X562" s="114"/>
      <c r="Y562" s="114"/>
      <c r="Z562" s="114"/>
      <c r="AA562" s="114"/>
      <c r="AB562" s="114"/>
      <c r="AC562" s="114"/>
      <c r="AD562" s="114"/>
      <c r="AE562" s="114"/>
      <c r="AF562" s="114"/>
      <c r="AG562" s="114"/>
      <c r="AH562" s="114"/>
    </row>
    <row r="563" spans="1:34" ht="24" customHeight="1" x14ac:dyDescent="0.6">
      <c r="A563" s="114"/>
      <c r="B563" s="114"/>
      <c r="C563" s="114"/>
      <c r="D563" s="114"/>
      <c r="E563" s="114"/>
      <c r="F563" s="115"/>
      <c r="G563" s="138"/>
      <c r="H563" s="114"/>
      <c r="I563" s="114"/>
      <c r="J563" s="114"/>
      <c r="K563" s="114"/>
      <c r="L563" s="114"/>
      <c r="M563" s="114"/>
      <c r="N563" s="114"/>
      <c r="O563" s="114"/>
      <c r="P563" s="114"/>
      <c r="Q563" s="114"/>
      <c r="R563" s="114"/>
      <c r="S563" s="114"/>
      <c r="T563" s="116"/>
      <c r="U563" s="116"/>
      <c r="V563" s="116"/>
      <c r="W563" s="209"/>
      <c r="X563" s="114"/>
      <c r="Y563" s="114"/>
      <c r="Z563" s="114"/>
      <c r="AA563" s="114"/>
      <c r="AB563" s="114"/>
      <c r="AC563" s="114"/>
      <c r="AD563" s="114"/>
      <c r="AE563" s="114"/>
      <c r="AF563" s="114"/>
      <c r="AG563" s="114"/>
      <c r="AH563" s="114"/>
    </row>
    <row r="564" spans="1:34" ht="24" customHeight="1" x14ac:dyDescent="0.6">
      <c r="A564" s="114"/>
      <c r="B564" s="114"/>
      <c r="C564" s="114"/>
      <c r="D564" s="114"/>
      <c r="E564" s="114"/>
      <c r="F564" s="115"/>
      <c r="G564" s="138"/>
      <c r="H564" s="114"/>
      <c r="I564" s="114"/>
      <c r="J564" s="114"/>
      <c r="K564" s="114"/>
      <c r="L564" s="114"/>
      <c r="M564" s="114"/>
      <c r="N564" s="114"/>
      <c r="O564" s="114"/>
      <c r="P564" s="114"/>
      <c r="Q564" s="114"/>
      <c r="R564" s="114"/>
      <c r="S564" s="114"/>
      <c r="T564" s="116"/>
      <c r="U564" s="116"/>
      <c r="V564" s="116"/>
      <c r="W564" s="209"/>
      <c r="X564" s="114"/>
      <c r="Y564" s="114"/>
      <c r="Z564" s="114"/>
      <c r="AA564" s="114"/>
      <c r="AB564" s="114"/>
      <c r="AC564" s="114"/>
      <c r="AD564" s="114"/>
      <c r="AE564" s="114"/>
      <c r="AF564" s="114"/>
      <c r="AG564" s="114"/>
      <c r="AH564" s="114"/>
    </row>
    <row r="565" spans="1:34" ht="24" customHeight="1" x14ac:dyDescent="0.6">
      <c r="A565" s="114"/>
      <c r="B565" s="114"/>
      <c r="C565" s="114"/>
      <c r="D565" s="114"/>
      <c r="E565" s="114"/>
      <c r="F565" s="115"/>
      <c r="G565" s="138"/>
      <c r="H565" s="114"/>
      <c r="I565" s="114"/>
      <c r="J565" s="114"/>
      <c r="K565" s="114"/>
      <c r="L565" s="114"/>
      <c r="M565" s="114"/>
      <c r="N565" s="114"/>
      <c r="O565" s="114"/>
      <c r="P565" s="114"/>
      <c r="Q565" s="114"/>
      <c r="R565" s="114"/>
      <c r="S565" s="114"/>
      <c r="T565" s="116"/>
      <c r="U565" s="116"/>
      <c r="V565" s="116"/>
      <c r="W565" s="209"/>
      <c r="X565" s="114"/>
      <c r="Y565" s="114"/>
      <c r="Z565" s="114"/>
      <c r="AA565" s="114"/>
      <c r="AB565" s="114"/>
      <c r="AC565" s="114"/>
      <c r="AD565" s="114"/>
      <c r="AE565" s="114"/>
      <c r="AF565" s="114"/>
      <c r="AG565" s="114"/>
      <c r="AH565" s="114"/>
    </row>
    <row r="566" spans="1:34" ht="24" customHeight="1" x14ac:dyDescent="0.6">
      <c r="A566" s="114"/>
      <c r="B566" s="114"/>
      <c r="C566" s="114"/>
      <c r="D566" s="114"/>
      <c r="E566" s="114"/>
      <c r="F566" s="115"/>
      <c r="G566" s="138"/>
      <c r="H566" s="114"/>
      <c r="I566" s="114"/>
      <c r="J566" s="114"/>
      <c r="K566" s="114"/>
      <c r="L566" s="114"/>
      <c r="M566" s="114"/>
      <c r="N566" s="114"/>
      <c r="O566" s="114"/>
      <c r="P566" s="114"/>
      <c r="Q566" s="114"/>
      <c r="R566" s="114"/>
      <c r="S566" s="114"/>
      <c r="T566" s="116"/>
      <c r="U566" s="116"/>
      <c r="V566" s="116"/>
      <c r="W566" s="209"/>
      <c r="X566" s="114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</row>
    <row r="567" spans="1:34" ht="24" customHeight="1" x14ac:dyDescent="0.6">
      <c r="A567" s="114"/>
      <c r="B567" s="114"/>
      <c r="C567" s="114"/>
      <c r="D567" s="114"/>
      <c r="E567" s="114"/>
      <c r="F567" s="115"/>
      <c r="G567" s="138"/>
      <c r="H567" s="114"/>
      <c r="I567" s="114"/>
      <c r="J567" s="114"/>
      <c r="K567" s="114"/>
      <c r="L567" s="114"/>
      <c r="M567" s="114"/>
      <c r="N567" s="114"/>
      <c r="O567" s="114"/>
      <c r="P567" s="114"/>
      <c r="Q567" s="114"/>
      <c r="R567" s="114"/>
      <c r="S567" s="114"/>
      <c r="T567" s="116"/>
      <c r="U567" s="116"/>
      <c r="V567" s="116"/>
      <c r="W567" s="209"/>
      <c r="X567" s="114"/>
      <c r="Y567" s="114"/>
      <c r="Z567" s="114"/>
      <c r="AA567" s="114"/>
      <c r="AB567" s="114"/>
      <c r="AC567" s="114"/>
      <c r="AD567" s="114"/>
      <c r="AE567" s="114"/>
      <c r="AF567" s="114"/>
      <c r="AG567" s="114"/>
      <c r="AH567" s="114"/>
    </row>
    <row r="568" spans="1:34" ht="24" customHeight="1" x14ac:dyDescent="0.6">
      <c r="A568" s="114"/>
      <c r="B568" s="114"/>
      <c r="C568" s="114"/>
      <c r="D568" s="114"/>
      <c r="E568" s="114"/>
      <c r="F568" s="115"/>
      <c r="G568" s="138"/>
      <c r="H568" s="114"/>
      <c r="I568" s="114"/>
      <c r="J568" s="114"/>
      <c r="K568" s="114"/>
      <c r="L568" s="114"/>
      <c r="M568" s="114"/>
      <c r="N568" s="114"/>
      <c r="O568" s="114"/>
      <c r="P568" s="114"/>
      <c r="Q568" s="114"/>
      <c r="R568" s="114"/>
      <c r="S568" s="114"/>
      <c r="T568" s="116"/>
      <c r="U568" s="116"/>
      <c r="V568" s="116"/>
      <c r="W568" s="209"/>
      <c r="X568" s="114"/>
      <c r="Y568" s="114"/>
      <c r="Z568" s="114"/>
      <c r="AA568" s="114"/>
      <c r="AB568" s="114"/>
      <c r="AC568" s="114"/>
      <c r="AD568" s="114"/>
      <c r="AE568" s="114"/>
      <c r="AF568" s="114"/>
      <c r="AG568" s="114"/>
      <c r="AH568" s="114"/>
    </row>
    <row r="569" spans="1:34" ht="24" customHeight="1" x14ac:dyDescent="0.6">
      <c r="A569" s="114"/>
      <c r="B569" s="114"/>
      <c r="C569" s="114"/>
      <c r="D569" s="114"/>
      <c r="E569" s="114"/>
      <c r="F569" s="115"/>
      <c r="G569" s="138"/>
      <c r="H569" s="114"/>
      <c r="I569" s="114"/>
      <c r="J569" s="114"/>
      <c r="K569" s="114"/>
      <c r="L569" s="114"/>
      <c r="M569" s="114"/>
      <c r="N569" s="114"/>
      <c r="O569" s="114"/>
      <c r="P569" s="114"/>
      <c r="Q569" s="114"/>
      <c r="R569" s="114"/>
      <c r="S569" s="114"/>
      <c r="T569" s="116"/>
      <c r="U569" s="116"/>
      <c r="V569" s="116"/>
      <c r="W569" s="209"/>
      <c r="X569" s="114"/>
      <c r="Y569" s="114"/>
      <c r="Z569" s="114"/>
      <c r="AA569" s="114"/>
      <c r="AB569" s="114"/>
      <c r="AC569" s="114"/>
      <c r="AD569" s="114"/>
      <c r="AE569" s="114"/>
      <c r="AF569" s="114"/>
      <c r="AG569" s="114"/>
      <c r="AH569" s="114"/>
    </row>
    <row r="570" spans="1:34" ht="24" customHeight="1" x14ac:dyDescent="0.6">
      <c r="A570" s="114"/>
      <c r="B570" s="114"/>
      <c r="C570" s="114"/>
      <c r="D570" s="114"/>
      <c r="E570" s="114"/>
      <c r="F570" s="115"/>
      <c r="G570" s="138"/>
      <c r="H570" s="114"/>
      <c r="I570" s="114"/>
      <c r="J570" s="114"/>
      <c r="K570" s="114"/>
      <c r="L570" s="114"/>
      <c r="M570" s="114"/>
      <c r="N570" s="114"/>
      <c r="O570" s="114"/>
      <c r="P570" s="114"/>
      <c r="Q570" s="114"/>
      <c r="R570" s="114"/>
      <c r="S570" s="114"/>
      <c r="T570" s="116"/>
      <c r="U570" s="116"/>
      <c r="V570" s="116"/>
      <c r="W570" s="209"/>
      <c r="X570" s="114"/>
      <c r="Y570" s="114"/>
      <c r="Z570" s="114"/>
      <c r="AA570" s="114"/>
      <c r="AB570" s="114"/>
      <c r="AC570" s="114"/>
      <c r="AD570" s="114"/>
      <c r="AE570" s="114"/>
      <c r="AF570" s="114"/>
      <c r="AG570" s="114"/>
      <c r="AH570" s="114"/>
    </row>
    <row r="571" spans="1:34" ht="24" customHeight="1" x14ac:dyDescent="0.6">
      <c r="A571" s="114"/>
      <c r="B571" s="114"/>
      <c r="C571" s="114"/>
      <c r="D571" s="114"/>
      <c r="E571" s="114"/>
      <c r="F571" s="115"/>
      <c r="G571" s="138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114"/>
      <c r="S571" s="114"/>
      <c r="T571" s="116"/>
      <c r="U571" s="116"/>
      <c r="V571" s="116"/>
      <c r="W571" s="209"/>
      <c r="X571" s="114"/>
      <c r="Y571" s="114"/>
      <c r="Z571" s="114"/>
      <c r="AA571" s="114"/>
      <c r="AB571" s="114"/>
      <c r="AC571" s="114"/>
      <c r="AD571" s="114"/>
      <c r="AE571" s="114"/>
      <c r="AF571" s="114"/>
      <c r="AG571" s="114"/>
      <c r="AH571" s="114"/>
    </row>
    <row r="572" spans="1:34" ht="24" customHeight="1" x14ac:dyDescent="0.6">
      <c r="A572" s="114"/>
      <c r="B572" s="114"/>
      <c r="C572" s="114"/>
      <c r="D572" s="114"/>
      <c r="E572" s="114"/>
      <c r="F572" s="115"/>
      <c r="G572" s="138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114"/>
      <c r="S572" s="114"/>
      <c r="T572" s="116"/>
      <c r="U572" s="116"/>
      <c r="V572" s="116"/>
      <c r="W572" s="209"/>
      <c r="X572" s="114"/>
      <c r="Y572" s="114"/>
      <c r="Z572" s="114"/>
      <c r="AA572" s="114"/>
      <c r="AB572" s="114"/>
      <c r="AC572" s="114"/>
      <c r="AD572" s="114"/>
      <c r="AE572" s="114"/>
      <c r="AF572" s="114"/>
      <c r="AG572" s="114"/>
      <c r="AH572" s="114"/>
    </row>
    <row r="573" spans="1:34" ht="24" customHeight="1" x14ac:dyDescent="0.6">
      <c r="A573" s="114"/>
      <c r="B573" s="114"/>
      <c r="C573" s="114"/>
      <c r="D573" s="114"/>
      <c r="E573" s="114"/>
      <c r="F573" s="115"/>
      <c r="G573" s="138"/>
      <c r="H573" s="114"/>
      <c r="I573" s="114"/>
      <c r="J573" s="114"/>
      <c r="K573" s="114"/>
      <c r="L573" s="114"/>
      <c r="M573" s="114"/>
      <c r="N573" s="114"/>
      <c r="O573" s="114"/>
      <c r="P573" s="114"/>
      <c r="Q573" s="114"/>
      <c r="R573" s="114"/>
      <c r="S573" s="114"/>
      <c r="T573" s="116"/>
      <c r="U573" s="116"/>
      <c r="V573" s="116"/>
      <c r="W573" s="209"/>
      <c r="X573" s="114"/>
      <c r="Y573" s="114"/>
      <c r="Z573" s="114"/>
      <c r="AA573" s="114"/>
      <c r="AB573" s="114"/>
      <c r="AC573" s="114"/>
      <c r="AD573" s="114"/>
      <c r="AE573" s="114"/>
      <c r="AF573" s="114"/>
      <c r="AG573" s="114"/>
      <c r="AH573" s="114"/>
    </row>
    <row r="574" spans="1:34" ht="24" customHeight="1" x14ac:dyDescent="0.6">
      <c r="A574" s="114"/>
      <c r="B574" s="114"/>
      <c r="C574" s="114"/>
      <c r="D574" s="114"/>
      <c r="E574" s="114"/>
      <c r="F574" s="115"/>
      <c r="G574" s="138"/>
      <c r="H574" s="114"/>
      <c r="I574" s="114"/>
      <c r="J574" s="114"/>
      <c r="K574" s="114"/>
      <c r="L574" s="114"/>
      <c r="M574" s="114"/>
      <c r="N574" s="114"/>
      <c r="O574" s="114"/>
      <c r="P574" s="114"/>
      <c r="Q574" s="114"/>
      <c r="R574" s="114"/>
      <c r="S574" s="114"/>
      <c r="T574" s="116"/>
      <c r="U574" s="116"/>
      <c r="V574" s="116"/>
      <c r="W574" s="209"/>
      <c r="X574" s="114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</row>
    <row r="575" spans="1:34" ht="24" customHeight="1" x14ac:dyDescent="0.6">
      <c r="A575" s="114"/>
      <c r="B575" s="114"/>
      <c r="C575" s="114"/>
      <c r="D575" s="114"/>
      <c r="E575" s="114"/>
      <c r="F575" s="115"/>
      <c r="G575" s="138"/>
      <c r="H575" s="114"/>
      <c r="I575" s="114"/>
      <c r="J575" s="114"/>
      <c r="K575" s="114"/>
      <c r="L575" s="114"/>
      <c r="M575" s="114"/>
      <c r="N575" s="114"/>
      <c r="O575" s="114"/>
      <c r="P575" s="114"/>
      <c r="Q575" s="114"/>
      <c r="R575" s="114"/>
      <c r="S575" s="114"/>
      <c r="T575" s="116"/>
      <c r="U575" s="116"/>
      <c r="V575" s="116"/>
      <c r="W575" s="209"/>
      <c r="X575" s="114"/>
      <c r="Y575" s="114"/>
      <c r="Z575" s="114"/>
      <c r="AA575" s="114"/>
      <c r="AB575" s="114"/>
      <c r="AC575" s="114"/>
      <c r="AD575" s="114"/>
      <c r="AE575" s="114"/>
      <c r="AF575" s="114"/>
      <c r="AG575" s="114"/>
      <c r="AH575" s="114"/>
    </row>
    <row r="576" spans="1:34" ht="24" customHeight="1" x14ac:dyDescent="0.6">
      <c r="A576" s="114"/>
      <c r="B576" s="114"/>
      <c r="C576" s="114"/>
      <c r="D576" s="114"/>
      <c r="E576" s="114"/>
      <c r="F576" s="115"/>
      <c r="G576" s="138"/>
      <c r="H576" s="114"/>
      <c r="I576" s="114"/>
      <c r="J576" s="114"/>
      <c r="K576" s="114"/>
      <c r="L576" s="114"/>
      <c r="M576" s="114"/>
      <c r="N576" s="114"/>
      <c r="O576" s="114"/>
      <c r="P576" s="114"/>
      <c r="Q576" s="114"/>
      <c r="R576" s="114"/>
      <c r="S576" s="114"/>
      <c r="T576" s="116"/>
      <c r="U576" s="116"/>
      <c r="V576" s="116"/>
      <c r="W576" s="209"/>
      <c r="X576" s="114"/>
      <c r="Y576" s="114"/>
      <c r="Z576" s="114"/>
      <c r="AA576" s="114"/>
      <c r="AB576" s="114"/>
      <c r="AC576" s="114"/>
      <c r="AD576" s="114"/>
      <c r="AE576" s="114"/>
      <c r="AF576" s="114"/>
      <c r="AG576" s="114"/>
      <c r="AH576" s="114"/>
    </row>
    <row r="577" spans="1:34" ht="24" customHeight="1" x14ac:dyDescent="0.6">
      <c r="A577" s="114"/>
      <c r="B577" s="114"/>
      <c r="C577" s="114"/>
      <c r="D577" s="114"/>
      <c r="E577" s="114"/>
      <c r="F577" s="115"/>
      <c r="G577" s="138"/>
      <c r="H577" s="114"/>
      <c r="I577" s="114"/>
      <c r="J577" s="114"/>
      <c r="K577" s="114"/>
      <c r="L577" s="114"/>
      <c r="M577" s="114"/>
      <c r="N577" s="114"/>
      <c r="O577" s="114"/>
      <c r="P577" s="114"/>
      <c r="Q577" s="114"/>
      <c r="R577" s="114"/>
      <c r="S577" s="114"/>
      <c r="T577" s="116"/>
      <c r="U577" s="116"/>
      <c r="V577" s="116"/>
      <c r="W577" s="209"/>
      <c r="X577" s="114"/>
      <c r="Y577" s="114"/>
      <c r="Z577" s="114"/>
      <c r="AA577" s="114"/>
      <c r="AB577" s="114"/>
      <c r="AC577" s="114"/>
      <c r="AD577" s="114"/>
      <c r="AE577" s="114"/>
      <c r="AF577" s="114"/>
      <c r="AG577" s="114"/>
      <c r="AH577" s="114"/>
    </row>
    <row r="578" spans="1:34" ht="24" customHeight="1" x14ac:dyDescent="0.6">
      <c r="A578" s="114"/>
      <c r="B578" s="114"/>
      <c r="C578" s="114"/>
      <c r="D578" s="114"/>
      <c r="E578" s="114"/>
      <c r="F578" s="115"/>
      <c r="G578" s="138"/>
      <c r="H578" s="114"/>
      <c r="I578" s="114"/>
      <c r="J578" s="114"/>
      <c r="K578" s="114"/>
      <c r="L578" s="114"/>
      <c r="M578" s="114"/>
      <c r="N578" s="114"/>
      <c r="O578" s="114"/>
      <c r="P578" s="114"/>
      <c r="Q578" s="114"/>
      <c r="R578" s="114"/>
      <c r="S578" s="114"/>
      <c r="T578" s="116"/>
      <c r="U578" s="116"/>
      <c r="V578" s="116"/>
      <c r="W578" s="209"/>
      <c r="X578" s="114"/>
      <c r="Y578" s="114"/>
      <c r="Z578" s="114"/>
      <c r="AA578" s="114"/>
      <c r="AB578" s="114"/>
      <c r="AC578" s="114"/>
      <c r="AD578" s="114"/>
      <c r="AE578" s="114"/>
      <c r="AF578" s="114"/>
      <c r="AG578" s="114"/>
      <c r="AH578" s="114"/>
    </row>
    <row r="579" spans="1:34" ht="24" customHeight="1" x14ac:dyDescent="0.6">
      <c r="A579" s="114"/>
      <c r="B579" s="114"/>
      <c r="C579" s="114"/>
      <c r="D579" s="114"/>
      <c r="E579" s="114"/>
      <c r="F579" s="115"/>
      <c r="G579" s="138"/>
      <c r="H579" s="114"/>
      <c r="I579" s="114"/>
      <c r="J579" s="114"/>
      <c r="K579" s="114"/>
      <c r="L579" s="114"/>
      <c r="M579" s="114"/>
      <c r="N579" s="114"/>
      <c r="O579" s="114"/>
      <c r="P579" s="114"/>
      <c r="Q579" s="114"/>
      <c r="R579" s="114"/>
      <c r="S579" s="114"/>
      <c r="T579" s="116"/>
      <c r="U579" s="116"/>
      <c r="V579" s="116"/>
      <c r="W579" s="209"/>
      <c r="X579" s="114"/>
      <c r="Y579" s="114"/>
      <c r="Z579" s="114"/>
      <c r="AA579" s="114"/>
      <c r="AB579" s="114"/>
      <c r="AC579" s="114"/>
      <c r="AD579" s="114"/>
      <c r="AE579" s="114"/>
      <c r="AF579" s="114"/>
      <c r="AG579" s="114"/>
      <c r="AH579" s="114"/>
    </row>
    <row r="580" spans="1:34" ht="24" customHeight="1" x14ac:dyDescent="0.6">
      <c r="A580" s="114"/>
      <c r="B580" s="114"/>
      <c r="C580" s="114"/>
      <c r="D580" s="114"/>
      <c r="E580" s="114"/>
      <c r="F580" s="115"/>
      <c r="G580" s="138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114"/>
      <c r="S580" s="114"/>
      <c r="T580" s="116"/>
      <c r="U580" s="116"/>
      <c r="V580" s="116"/>
      <c r="W580" s="209"/>
      <c r="X580" s="114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</row>
    <row r="581" spans="1:34" ht="24" customHeight="1" x14ac:dyDescent="0.6">
      <c r="A581" s="114"/>
      <c r="B581" s="114"/>
      <c r="C581" s="114"/>
      <c r="D581" s="114"/>
      <c r="E581" s="114"/>
      <c r="F581" s="115"/>
      <c r="G581" s="138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114"/>
      <c r="S581" s="114"/>
      <c r="T581" s="116"/>
      <c r="U581" s="116"/>
      <c r="V581" s="116"/>
      <c r="W581" s="209"/>
      <c r="X581" s="114"/>
      <c r="Y581" s="114"/>
      <c r="Z581" s="114"/>
      <c r="AA581" s="114"/>
      <c r="AB581" s="114"/>
      <c r="AC581" s="114"/>
      <c r="AD581" s="114"/>
      <c r="AE581" s="114"/>
      <c r="AF581" s="114"/>
      <c r="AG581" s="114"/>
      <c r="AH581" s="114"/>
    </row>
    <row r="582" spans="1:34" ht="24" customHeight="1" x14ac:dyDescent="0.6">
      <c r="A582" s="114"/>
      <c r="B582" s="114"/>
      <c r="C582" s="114"/>
      <c r="D582" s="114"/>
      <c r="E582" s="114"/>
      <c r="F582" s="115"/>
      <c r="G582" s="138"/>
      <c r="H582" s="114"/>
      <c r="I582" s="114"/>
      <c r="J582" s="114"/>
      <c r="K582" s="114"/>
      <c r="L582" s="114"/>
      <c r="M582" s="114"/>
      <c r="N582" s="114"/>
      <c r="O582" s="114"/>
      <c r="P582" s="114"/>
      <c r="Q582" s="114"/>
      <c r="R582" s="114"/>
      <c r="S582" s="114"/>
      <c r="T582" s="116"/>
      <c r="U582" s="116"/>
      <c r="V582" s="116"/>
      <c r="W582" s="209"/>
      <c r="X582" s="114"/>
      <c r="Y582" s="114"/>
      <c r="Z582" s="114"/>
      <c r="AA582" s="114"/>
      <c r="AB582" s="114"/>
      <c r="AC582" s="114"/>
      <c r="AD582" s="114"/>
      <c r="AE582" s="114"/>
      <c r="AF582" s="114"/>
      <c r="AG582" s="114"/>
      <c r="AH582" s="114"/>
    </row>
    <row r="583" spans="1:34" ht="24" customHeight="1" x14ac:dyDescent="0.6">
      <c r="A583" s="114"/>
      <c r="B583" s="114"/>
      <c r="C583" s="114"/>
      <c r="D583" s="114"/>
      <c r="E583" s="114"/>
      <c r="F583" s="115"/>
      <c r="G583" s="138"/>
      <c r="H583" s="114"/>
      <c r="I583" s="114"/>
      <c r="J583" s="114"/>
      <c r="K583" s="114"/>
      <c r="L583" s="114"/>
      <c r="M583" s="114"/>
      <c r="N583" s="114"/>
      <c r="O583" s="114"/>
      <c r="P583" s="114"/>
      <c r="Q583" s="114"/>
      <c r="R583" s="114"/>
      <c r="S583" s="114"/>
      <c r="T583" s="116"/>
      <c r="U583" s="116"/>
      <c r="V583" s="116"/>
      <c r="W583" s="209"/>
      <c r="X583" s="114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/>
    </row>
    <row r="584" spans="1:34" ht="24" customHeight="1" x14ac:dyDescent="0.6">
      <c r="A584" s="114"/>
      <c r="B584" s="114"/>
      <c r="C584" s="114"/>
      <c r="D584" s="114"/>
      <c r="E584" s="114"/>
      <c r="F584" s="115"/>
      <c r="G584" s="138"/>
      <c r="H584" s="114"/>
      <c r="I584" s="114"/>
      <c r="J584" s="114"/>
      <c r="K584" s="114"/>
      <c r="L584" s="114"/>
      <c r="M584" s="114"/>
      <c r="N584" s="114"/>
      <c r="O584" s="114"/>
      <c r="P584" s="114"/>
      <c r="Q584" s="114"/>
      <c r="R584" s="114"/>
      <c r="S584" s="114"/>
      <c r="T584" s="116"/>
      <c r="U584" s="116"/>
      <c r="V584" s="116"/>
      <c r="W584" s="209"/>
      <c r="X584" s="114"/>
      <c r="Y584" s="114"/>
      <c r="Z584" s="114"/>
      <c r="AA584" s="114"/>
      <c r="AB584" s="114"/>
      <c r="AC584" s="114"/>
      <c r="AD584" s="114"/>
      <c r="AE584" s="114"/>
      <c r="AF584" s="114"/>
      <c r="AG584" s="114"/>
      <c r="AH584" s="114"/>
    </row>
    <row r="585" spans="1:34" ht="24" customHeight="1" x14ac:dyDescent="0.6">
      <c r="A585" s="114"/>
      <c r="B585" s="114"/>
      <c r="C585" s="114"/>
      <c r="D585" s="114"/>
      <c r="E585" s="114"/>
      <c r="F585" s="115"/>
      <c r="G585" s="138"/>
      <c r="H585" s="114"/>
      <c r="I585" s="114"/>
      <c r="J585" s="114"/>
      <c r="K585" s="114"/>
      <c r="L585" s="114"/>
      <c r="M585" s="114"/>
      <c r="N585" s="114"/>
      <c r="O585" s="114"/>
      <c r="P585" s="114"/>
      <c r="Q585" s="114"/>
      <c r="R585" s="114"/>
      <c r="S585" s="114"/>
      <c r="T585" s="116"/>
      <c r="U585" s="116"/>
      <c r="V585" s="116"/>
      <c r="W585" s="209"/>
      <c r="X585" s="114"/>
      <c r="Y585" s="114"/>
      <c r="Z585" s="114"/>
      <c r="AA585" s="114"/>
      <c r="AB585" s="114"/>
      <c r="AC585" s="114"/>
      <c r="AD585" s="114"/>
      <c r="AE585" s="114"/>
      <c r="AF585" s="114"/>
      <c r="AG585" s="114"/>
      <c r="AH585" s="114"/>
    </row>
    <row r="586" spans="1:34" ht="24" customHeight="1" x14ac:dyDescent="0.6">
      <c r="A586" s="114"/>
      <c r="B586" s="114"/>
      <c r="C586" s="114"/>
      <c r="D586" s="114"/>
      <c r="E586" s="114"/>
      <c r="F586" s="115"/>
      <c r="G586" s="138"/>
      <c r="H586" s="114"/>
      <c r="I586" s="114"/>
      <c r="J586" s="114"/>
      <c r="K586" s="114"/>
      <c r="L586" s="114"/>
      <c r="M586" s="114"/>
      <c r="N586" s="114"/>
      <c r="O586" s="114"/>
      <c r="P586" s="114"/>
      <c r="Q586" s="114"/>
      <c r="R586" s="114"/>
      <c r="S586" s="114"/>
      <c r="T586" s="116"/>
      <c r="U586" s="116"/>
      <c r="V586" s="116"/>
      <c r="W586" s="209"/>
      <c r="X586" s="114"/>
      <c r="Y586" s="114"/>
      <c r="Z586" s="114"/>
      <c r="AA586" s="114"/>
      <c r="AB586" s="114"/>
      <c r="AC586" s="114"/>
      <c r="AD586" s="114"/>
      <c r="AE586" s="114"/>
      <c r="AF586" s="114"/>
      <c r="AG586" s="114"/>
      <c r="AH586" s="114"/>
    </row>
    <row r="587" spans="1:34" ht="24" customHeight="1" x14ac:dyDescent="0.6">
      <c r="A587" s="114"/>
      <c r="B587" s="114"/>
      <c r="C587" s="114"/>
      <c r="D587" s="114"/>
      <c r="E587" s="114"/>
      <c r="F587" s="115"/>
      <c r="G587" s="138"/>
      <c r="H587" s="114"/>
      <c r="I587" s="114"/>
      <c r="J587" s="114"/>
      <c r="K587" s="114"/>
      <c r="L587" s="114"/>
      <c r="M587" s="114"/>
      <c r="N587" s="114"/>
      <c r="O587" s="114"/>
      <c r="P587" s="114"/>
      <c r="Q587" s="114"/>
      <c r="R587" s="114"/>
      <c r="S587" s="114"/>
      <c r="T587" s="116"/>
      <c r="U587" s="116"/>
      <c r="V587" s="116"/>
      <c r="W587" s="209"/>
      <c r="X587" s="114"/>
      <c r="Y587" s="114"/>
      <c r="Z587" s="114"/>
      <c r="AA587" s="114"/>
      <c r="AB587" s="114"/>
      <c r="AC587" s="114"/>
      <c r="AD587" s="114"/>
      <c r="AE587" s="114"/>
      <c r="AF587" s="114"/>
      <c r="AG587" s="114"/>
      <c r="AH587" s="114"/>
    </row>
    <row r="588" spans="1:34" ht="24" customHeight="1" x14ac:dyDescent="0.6">
      <c r="A588" s="114"/>
      <c r="B588" s="114"/>
      <c r="C588" s="114"/>
      <c r="D588" s="114"/>
      <c r="E588" s="114"/>
      <c r="F588" s="115"/>
      <c r="G588" s="138"/>
      <c r="H588" s="114"/>
      <c r="I588" s="114"/>
      <c r="J588" s="114"/>
      <c r="K588" s="114"/>
      <c r="L588" s="114"/>
      <c r="M588" s="114"/>
      <c r="N588" s="114"/>
      <c r="O588" s="114"/>
      <c r="P588" s="114"/>
      <c r="Q588" s="114"/>
      <c r="R588" s="114"/>
      <c r="S588" s="114"/>
      <c r="T588" s="116"/>
      <c r="U588" s="116"/>
      <c r="V588" s="116"/>
      <c r="W588" s="209"/>
      <c r="X588" s="114"/>
      <c r="Y588" s="114"/>
      <c r="Z588" s="114"/>
      <c r="AA588" s="114"/>
      <c r="AB588" s="114"/>
      <c r="AC588" s="114"/>
      <c r="AD588" s="114"/>
      <c r="AE588" s="114"/>
      <c r="AF588" s="114"/>
      <c r="AG588" s="114"/>
      <c r="AH588" s="114"/>
    </row>
    <row r="589" spans="1:34" ht="24" customHeight="1" x14ac:dyDescent="0.6">
      <c r="A589" s="114"/>
      <c r="B589" s="114"/>
      <c r="C589" s="114"/>
      <c r="D589" s="114"/>
      <c r="E589" s="114"/>
      <c r="F589" s="115"/>
      <c r="G589" s="138"/>
      <c r="H589" s="114"/>
      <c r="I589" s="114"/>
      <c r="J589" s="114"/>
      <c r="K589" s="114"/>
      <c r="L589" s="114"/>
      <c r="M589" s="114"/>
      <c r="N589" s="114"/>
      <c r="O589" s="114"/>
      <c r="P589" s="114"/>
      <c r="Q589" s="114"/>
      <c r="R589" s="114"/>
      <c r="S589" s="114"/>
      <c r="T589" s="116"/>
      <c r="U589" s="116"/>
      <c r="V589" s="116"/>
      <c r="W589" s="209"/>
      <c r="X589" s="114"/>
      <c r="Y589" s="114"/>
      <c r="Z589" s="114"/>
      <c r="AA589" s="114"/>
      <c r="AB589" s="114"/>
      <c r="AC589" s="114"/>
      <c r="AD589" s="114"/>
      <c r="AE589" s="114"/>
      <c r="AF589" s="114"/>
      <c r="AG589" s="114"/>
      <c r="AH589" s="114"/>
    </row>
    <row r="590" spans="1:34" ht="24" customHeight="1" x14ac:dyDescent="0.6">
      <c r="A590" s="114"/>
      <c r="B590" s="114"/>
      <c r="C590" s="114"/>
      <c r="D590" s="114"/>
      <c r="E590" s="114"/>
      <c r="F590" s="115"/>
      <c r="G590" s="138"/>
      <c r="H590" s="114"/>
      <c r="I590" s="114"/>
      <c r="J590" s="114"/>
      <c r="K590" s="114"/>
      <c r="L590" s="114"/>
      <c r="M590" s="114"/>
      <c r="N590" s="114"/>
      <c r="O590" s="114"/>
      <c r="P590" s="114"/>
      <c r="Q590" s="114"/>
      <c r="R590" s="114"/>
      <c r="S590" s="114"/>
      <c r="T590" s="116"/>
      <c r="U590" s="116"/>
      <c r="V590" s="116"/>
      <c r="W590" s="209"/>
      <c r="X590" s="114"/>
      <c r="Y590" s="114"/>
      <c r="Z590" s="114"/>
      <c r="AA590" s="114"/>
      <c r="AB590" s="114"/>
      <c r="AC590" s="114"/>
      <c r="AD590" s="114"/>
      <c r="AE590" s="114"/>
      <c r="AF590" s="114"/>
      <c r="AG590" s="114"/>
      <c r="AH590" s="114"/>
    </row>
    <row r="591" spans="1:34" ht="24" customHeight="1" x14ac:dyDescent="0.6">
      <c r="A591" s="114"/>
      <c r="B591" s="114"/>
      <c r="C591" s="114"/>
      <c r="D591" s="114"/>
      <c r="E591" s="114"/>
      <c r="F591" s="115"/>
      <c r="G591" s="138"/>
      <c r="H591" s="114"/>
      <c r="I591" s="114"/>
      <c r="J591" s="114"/>
      <c r="K591" s="114"/>
      <c r="L591" s="114"/>
      <c r="M591" s="114"/>
      <c r="N591" s="114"/>
      <c r="O591" s="114"/>
      <c r="P591" s="114"/>
      <c r="Q591" s="114"/>
      <c r="R591" s="114"/>
      <c r="S591" s="114"/>
      <c r="T591" s="116"/>
      <c r="U591" s="116"/>
      <c r="V591" s="116"/>
      <c r="W591" s="209"/>
      <c r="X591" s="114"/>
      <c r="Y591" s="114"/>
      <c r="Z591" s="114"/>
      <c r="AA591" s="114"/>
      <c r="AB591" s="114"/>
      <c r="AC591" s="114"/>
      <c r="AD591" s="114"/>
      <c r="AE591" s="114"/>
      <c r="AF591" s="114"/>
      <c r="AG591" s="114"/>
      <c r="AH591" s="114"/>
    </row>
    <row r="592" spans="1:34" ht="24" customHeight="1" x14ac:dyDescent="0.6">
      <c r="A592" s="114"/>
      <c r="B592" s="114"/>
      <c r="C592" s="114"/>
      <c r="D592" s="114"/>
      <c r="E592" s="114"/>
      <c r="F592" s="115"/>
      <c r="G592" s="138"/>
      <c r="H592" s="114"/>
      <c r="I592" s="114"/>
      <c r="J592" s="114"/>
      <c r="K592" s="114"/>
      <c r="L592" s="114"/>
      <c r="M592" s="114"/>
      <c r="N592" s="114"/>
      <c r="O592" s="114"/>
      <c r="P592" s="114"/>
      <c r="Q592" s="114"/>
      <c r="R592" s="114"/>
      <c r="S592" s="114"/>
      <c r="T592" s="116"/>
      <c r="U592" s="116"/>
      <c r="V592" s="116"/>
      <c r="W592" s="209"/>
      <c r="X592" s="114"/>
      <c r="Y592" s="114"/>
      <c r="Z592" s="114"/>
      <c r="AA592" s="114"/>
      <c r="AB592" s="114"/>
      <c r="AC592" s="114"/>
      <c r="AD592" s="114"/>
      <c r="AE592" s="114"/>
      <c r="AF592" s="114"/>
      <c r="AG592" s="114"/>
      <c r="AH592" s="114"/>
    </row>
    <row r="593" spans="1:34" ht="24" customHeight="1" x14ac:dyDescent="0.6">
      <c r="A593" s="114"/>
      <c r="B593" s="114"/>
      <c r="C593" s="114"/>
      <c r="D593" s="114"/>
      <c r="E593" s="114"/>
      <c r="F593" s="115"/>
      <c r="G593" s="138"/>
      <c r="H593" s="114"/>
      <c r="I593" s="114"/>
      <c r="J593" s="114"/>
      <c r="K593" s="114"/>
      <c r="L593" s="114"/>
      <c r="M593" s="114"/>
      <c r="N593" s="114"/>
      <c r="O593" s="114"/>
      <c r="P593" s="114"/>
      <c r="Q593" s="114"/>
      <c r="R593" s="114"/>
      <c r="S593" s="114"/>
      <c r="T593" s="116"/>
      <c r="U593" s="116"/>
      <c r="V593" s="116"/>
      <c r="W593" s="209"/>
      <c r="X593" s="114"/>
      <c r="Y593" s="114"/>
      <c r="Z593" s="114"/>
      <c r="AA593" s="114"/>
      <c r="AB593" s="114"/>
      <c r="AC593" s="114"/>
      <c r="AD593" s="114"/>
      <c r="AE593" s="114"/>
      <c r="AF593" s="114"/>
      <c r="AG593" s="114"/>
      <c r="AH593" s="114"/>
    </row>
    <row r="594" spans="1:34" ht="24" customHeight="1" x14ac:dyDescent="0.6">
      <c r="A594" s="114"/>
      <c r="B594" s="114"/>
      <c r="C594" s="114"/>
      <c r="D594" s="114"/>
      <c r="E594" s="114"/>
      <c r="F594" s="115"/>
      <c r="G594" s="138"/>
      <c r="H594" s="114"/>
      <c r="I594" s="114"/>
      <c r="J594" s="114"/>
      <c r="K594" s="114"/>
      <c r="L594" s="114"/>
      <c r="M594" s="114"/>
      <c r="N594" s="114"/>
      <c r="O594" s="114"/>
      <c r="P594" s="114"/>
      <c r="Q594" s="114"/>
      <c r="R594" s="114"/>
      <c r="S594" s="114"/>
      <c r="T594" s="116"/>
      <c r="U594" s="116"/>
      <c r="V594" s="116"/>
      <c r="W594" s="209"/>
      <c r="X594" s="114"/>
      <c r="Y594" s="114"/>
      <c r="Z594" s="114"/>
      <c r="AA594" s="114"/>
      <c r="AB594" s="114"/>
      <c r="AC594" s="114"/>
      <c r="AD594" s="114"/>
      <c r="AE594" s="114"/>
      <c r="AF594" s="114"/>
      <c r="AG594" s="114"/>
      <c r="AH594" s="114"/>
    </row>
    <row r="595" spans="1:34" ht="24" customHeight="1" x14ac:dyDescent="0.6">
      <c r="A595" s="114"/>
      <c r="B595" s="114"/>
      <c r="C595" s="114"/>
      <c r="D595" s="114"/>
      <c r="E595" s="114"/>
      <c r="F595" s="115"/>
      <c r="G595" s="138"/>
      <c r="H595" s="114"/>
      <c r="I595" s="114"/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6"/>
      <c r="U595" s="116"/>
      <c r="V595" s="116"/>
      <c r="W595" s="209"/>
      <c r="X595" s="114"/>
      <c r="Y595" s="114"/>
      <c r="Z595" s="114"/>
      <c r="AA595" s="114"/>
      <c r="AB595" s="114"/>
      <c r="AC595" s="114"/>
      <c r="AD595" s="114"/>
      <c r="AE595" s="114"/>
      <c r="AF595" s="114"/>
      <c r="AG595" s="114"/>
      <c r="AH595" s="114"/>
    </row>
    <row r="596" spans="1:34" ht="24" customHeight="1" x14ac:dyDescent="0.6">
      <c r="A596" s="114"/>
      <c r="B596" s="114"/>
      <c r="C596" s="114"/>
      <c r="D596" s="114"/>
      <c r="E596" s="114"/>
      <c r="F596" s="115"/>
      <c r="G596" s="138"/>
      <c r="H596" s="114"/>
      <c r="I596" s="114"/>
      <c r="J596" s="114"/>
      <c r="K596" s="114"/>
      <c r="L596" s="114"/>
      <c r="M596" s="114"/>
      <c r="N596" s="114"/>
      <c r="O596" s="114"/>
      <c r="P596" s="114"/>
      <c r="Q596" s="114"/>
      <c r="R596" s="114"/>
      <c r="S596" s="114"/>
      <c r="T596" s="116"/>
      <c r="U596" s="116"/>
      <c r="V596" s="116"/>
      <c r="W596" s="209"/>
      <c r="X596" s="114"/>
      <c r="Y596" s="114"/>
      <c r="Z596" s="114"/>
      <c r="AA596" s="114"/>
      <c r="AB596" s="114"/>
      <c r="AC596" s="114"/>
      <c r="AD596" s="114"/>
      <c r="AE596" s="114"/>
      <c r="AF596" s="114"/>
      <c r="AG596" s="114"/>
      <c r="AH596" s="114"/>
    </row>
    <row r="597" spans="1:34" ht="24" customHeight="1" x14ac:dyDescent="0.6">
      <c r="A597" s="114"/>
      <c r="B597" s="114"/>
      <c r="C597" s="114"/>
      <c r="D597" s="114"/>
      <c r="E597" s="114"/>
      <c r="F597" s="115"/>
      <c r="G597" s="138"/>
      <c r="H597" s="114"/>
      <c r="I597" s="114"/>
      <c r="J597" s="114"/>
      <c r="K597" s="114"/>
      <c r="L597" s="114"/>
      <c r="M597" s="114"/>
      <c r="N597" s="114"/>
      <c r="O597" s="114"/>
      <c r="P597" s="114"/>
      <c r="Q597" s="114"/>
      <c r="R597" s="114"/>
      <c r="S597" s="114"/>
      <c r="T597" s="116"/>
      <c r="U597" s="116"/>
      <c r="V597" s="116"/>
      <c r="W597" s="209"/>
      <c r="X597" s="114"/>
      <c r="Y597" s="114"/>
      <c r="Z597" s="114"/>
      <c r="AA597" s="114"/>
      <c r="AB597" s="114"/>
      <c r="AC597" s="114"/>
      <c r="AD597" s="114"/>
      <c r="AE597" s="114"/>
      <c r="AF597" s="114"/>
      <c r="AG597" s="114"/>
      <c r="AH597" s="114"/>
    </row>
    <row r="598" spans="1:34" ht="24" customHeight="1" x14ac:dyDescent="0.6">
      <c r="A598" s="114"/>
      <c r="B598" s="114"/>
      <c r="C598" s="114"/>
      <c r="D598" s="114"/>
      <c r="E598" s="114"/>
      <c r="F598" s="115"/>
      <c r="G598" s="138"/>
      <c r="H598" s="114"/>
      <c r="I598" s="114"/>
      <c r="J598" s="114"/>
      <c r="K598" s="114"/>
      <c r="L598" s="114"/>
      <c r="M598" s="114"/>
      <c r="N598" s="114"/>
      <c r="O598" s="114"/>
      <c r="P598" s="114"/>
      <c r="Q598" s="114"/>
      <c r="R598" s="114"/>
      <c r="S598" s="114"/>
      <c r="T598" s="116"/>
      <c r="U598" s="116"/>
      <c r="V598" s="116"/>
      <c r="W598" s="209"/>
      <c r="X598" s="114"/>
      <c r="Y598" s="114"/>
      <c r="Z598" s="114"/>
      <c r="AA598" s="114"/>
      <c r="AB598" s="114"/>
      <c r="AC598" s="114"/>
      <c r="AD598" s="114"/>
      <c r="AE598" s="114"/>
      <c r="AF598" s="114"/>
      <c r="AG598" s="114"/>
      <c r="AH598" s="114"/>
    </row>
    <row r="599" spans="1:34" ht="24" customHeight="1" x14ac:dyDescent="0.6">
      <c r="A599" s="114"/>
      <c r="B599" s="114"/>
      <c r="C599" s="114"/>
      <c r="D599" s="114"/>
      <c r="E599" s="114"/>
      <c r="F599" s="115"/>
      <c r="G599" s="138"/>
      <c r="H599" s="114"/>
      <c r="I599" s="114"/>
      <c r="J599" s="114"/>
      <c r="K599" s="114"/>
      <c r="L599" s="114"/>
      <c r="M599" s="114"/>
      <c r="N599" s="114"/>
      <c r="O599" s="114"/>
      <c r="P599" s="114"/>
      <c r="Q599" s="114"/>
      <c r="R599" s="114"/>
      <c r="S599" s="114"/>
      <c r="T599" s="116"/>
      <c r="U599" s="116"/>
      <c r="V599" s="116"/>
      <c r="W599" s="209"/>
      <c r="X599" s="114"/>
      <c r="Y599" s="114"/>
      <c r="Z599" s="114"/>
      <c r="AA599" s="114"/>
      <c r="AB599" s="114"/>
      <c r="AC599" s="114"/>
      <c r="AD599" s="114"/>
      <c r="AE599" s="114"/>
      <c r="AF599" s="114"/>
      <c r="AG599" s="114"/>
      <c r="AH599" s="114"/>
    </row>
    <row r="600" spans="1:34" ht="24" customHeight="1" x14ac:dyDescent="0.6">
      <c r="A600" s="114"/>
      <c r="B600" s="114"/>
      <c r="C600" s="114"/>
      <c r="D600" s="114"/>
      <c r="E600" s="114"/>
      <c r="F600" s="115"/>
      <c r="G600" s="138"/>
      <c r="H600" s="114"/>
      <c r="I600" s="114"/>
      <c r="J600" s="114"/>
      <c r="K600" s="114"/>
      <c r="L600" s="114"/>
      <c r="M600" s="114"/>
      <c r="N600" s="114"/>
      <c r="O600" s="114"/>
      <c r="P600" s="114"/>
      <c r="Q600" s="114"/>
      <c r="R600" s="114"/>
      <c r="S600" s="114"/>
      <c r="T600" s="116"/>
      <c r="U600" s="116"/>
      <c r="V600" s="116"/>
      <c r="W600" s="209"/>
      <c r="X600" s="114"/>
      <c r="Y600" s="114"/>
      <c r="Z600" s="114"/>
      <c r="AA600" s="114"/>
      <c r="AB600" s="114"/>
      <c r="AC600" s="114"/>
      <c r="AD600" s="114"/>
      <c r="AE600" s="114"/>
      <c r="AF600" s="114"/>
      <c r="AG600" s="114"/>
      <c r="AH600" s="114"/>
    </row>
    <row r="601" spans="1:34" ht="24" customHeight="1" x14ac:dyDescent="0.6">
      <c r="A601" s="114"/>
      <c r="B601" s="114"/>
      <c r="C601" s="114"/>
      <c r="D601" s="114"/>
      <c r="E601" s="114"/>
      <c r="F601" s="115"/>
      <c r="G601" s="138"/>
      <c r="H601" s="114"/>
      <c r="I601" s="114"/>
      <c r="J601" s="114"/>
      <c r="K601" s="114"/>
      <c r="L601" s="114"/>
      <c r="M601" s="114"/>
      <c r="N601" s="114"/>
      <c r="O601" s="114"/>
      <c r="P601" s="114"/>
      <c r="Q601" s="114"/>
      <c r="R601" s="114"/>
      <c r="S601" s="114"/>
      <c r="T601" s="116"/>
      <c r="U601" s="116"/>
      <c r="V601" s="116"/>
      <c r="W601" s="209"/>
      <c r="X601" s="114"/>
      <c r="Y601" s="114"/>
      <c r="Z601" s="114"/>
      <c r="AA601" s="114"/>
      <c r="AB601" s="114"/>
      <c r="AC601" s="114"/>
      <c r="AD601" s="114"/>
      <c r="AE601" s="114"/>
      <c r="AF601" s="114"/>
      <c r="AG601" s="114"/>
      <c r="AH601" s="114"/>
    </row>
    <row r="602" spans="1:34" ht="24" customHeight="1" x14ac:dyDescent="0.6">
      <c r="A602" s="114"/>
      <c r="B602" s="114"/>
      <c r="C602" s="114"/>
      <c r="D602" s="114"/>
      <c r="E602" s="114"/>
      <c r="F602" s="115"/>
      <c r="G602" s="138"/>
      <c r="H602" s="114"/>
      <c r="I602" s="114"/>
      <c r="J602" s="114"/>
      <c r="K602" s="114"/>
      <c r="L602" s="114"/>
      <c r="M602" s="114"/>
      <c r="N602" s="114"/>
      <c r="O602" s="114"/>
      <c r="P602" s="114"/>
      <c r="Q602" s="114"/>
      <c r="R602" s="114"/>
      <c r="S602" s="114"/>
      <c r="T602" s="116"/>
      <c r="U602" s="116"/>
      <c r="V602" s="116"/>
      <c r="W602" s="209"/>
      <c r="X602" s="114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</row>
    <row r="603" spans="1:34" ht="24" customHeight="1" x14ac:dyDescent="0.6">
      <c r="A603" s="114"/>
      <c r="B603" s="114"/>
      <c r="C603" s="114"/>
      <c r="D603" s="114"/>
      <c r="E603" s="114"/>
      <c r="F603" s="115"/>
      <c r="G603" s="138"/>
      <c r="H603" s="114"/>
      <c r="I603" s="114"/>
      <c r="J603" s="114"/>
      <c r="K603" s="114"/>
      <c r="L603" s="114"/>
      <c r="M603" s="114"/>
      <c r="N603" s="114"/>
      <c r="O603" s="114"/>
      <c r="P603" s="114"/>
      <c r="Q603" s="114"/>
      <c r="R603" s="114"/>
      <c r="S603" s="114"/>
      <c r="T603" s="116"/>
      <c r="U603" s="116"/>
      <c r="V603" s="116"/>
      <c r="W603" s="209"/>
      <c r="X603" s="114"/>
      <c r="Y603" s="114"/>
      <c r="Z603" s="114"/>
      <c r="AA603" s="114"/>
      <c r="AB603" s="114"/>
      <c r="AC603" s="114"/>
      <c r="AD603" s="114"/>
      <c r="AE603" s="114"/>
      <c r="AF603" s="114"/>
      <c r="AG603" s="114"/>
      <c r="AH603" s="114"/>
    </row>
    <row r="604" spans="1:34" ht="24" customHeight="1" x14ac:dyDescent="0.6">
      <c r="A604" s="114"/>
      <c r="B604" s="114"/>
      <c r="C604" s="114"/>
      <c r="D604" s="114"/>
      <c r="E604" s="114"/>
      <c r="F604" s="115"/>
      <c r="G604" s="138"/>
      <c r="H604" s="114"/>
      <c r="I604" s="114"/>
      <c r="J604" s="114"/>
      <c r="K604" s="114"/>
      <c r="L604" s="114"/>
      <c r="M604" s="114"/>
      <c r="N604" s="114"/>
      <c r="O604" s="114"/>
      <c r="P604" s="114"/>
      <c r="Q604" s="114"/>
      <c r="R604" s="114"/>
      <c r="S604" s="114"/>
      <c r="T604" s="116"/>
      <c r="U604" s="116"/>
      <c r="V604" s="116"/>
      <c r="W604" s="209"/>
      <c r="X604" s="114"/>
      <c r="Y604" s="114"/>
      <c r="Z604" s="114"/>
      <c r="AA604" s="114"/>
      <c r="AB604" s="114"/>
      <c r="AC604" s="114"/>
      <c r="AD604" s="114"/>
      <c r="AE604" s="114"/>
      <c r="AF604" s="114"/>
      <c r="AG604" s="114"/>
      <c r="AH604" s="114"/>
    </row>
    <row r="605" spans="1:34" ht="24" customHeight="1" x14ac:dyDescent="0.6">
      <c r="A605" s="114"/>
      <c r="B605" s="114"/>
      <c r="C605" s="114"/>
      <c r="D605" s="114"/>
      <c r="E605" s="114"/>
      <c r="F605" s="115"/>
      <c r="G605" s="138"/>
      <c r="H605" s="114"/>
      <c r="I605" s="114"/>
      <c r="J605" s="114"/>
      <c r="K605" s="114"/>
      <c r="L605" s="114"/>
      <c r="M605" s="114"/>
      <c r="N605" s="114"/>
      <c r="O605" s="114"/>
      <c r="P605" s="114"/>
      <c r="Q605" s="114"/>
      <c r="R605" s="114"/>
      <c r="S605" s="114"/>
      <c r="T605" s="116"/>
      <c r="U605" s="116"/>
      <c r="V605" s="116"/>
      <c r="W605" s="209"/>
      <c r="X605" s="114"/>
      <c r="Y605" s="114"/>
      <c r="Z605" s="114"/>
      <c r="AA605" s="114"/>
      <c r="AB605" s="114"/>
      <c r="AC605" s="114"/>
      <c r="AD605" s="114"/>
      <c r="AE605" s="114"/>
      <c r="AF605" s="114"/>
      <c r="AG605" s="114"/>
      <c r="AH605" s="114"/>
    </row>
    <row r="606" spans="1:34" ht="24" customHeight="1" x14ac:dyDescent="0.6">
      <c r="A606" s="114"/>
      <c r="B606" s="114"/>
      <c r="C606" s="114"/>
      <c r="D606" s="114"/>
      <c r="E606" s="114"/>
      <c r="F606" s="115"/>
      <c r="G606" s="138"/>
      <c r="H606" s="114"/>
      <c r="I606" s="114"/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6"/>
      <c r="U606" s="116"/>
      <c r="V606" s="116"/>
      <c r="W606" s="209"/>
      <c r="X606" s="114"/>
      <c r="Y606" s="114"/>
      <c r="Z606" s="114"/>
      <c r="AA606" s="114"/>
      <c r="AB606" s="114"/>
      <c r="AC606" s="114"/>
      <c r="AD606" s="114"/>
      <c r="AE606" s="114"/>
      <c r="AF606" s="114"/>
      <c r="AG606" s="114"/>
      <c r="AH606" s="114"/>
    </row>
    <row r="607" spans="1:34" ht="24" customHeight="1" x14ac:dyDescent="0.6">
      <c r="A607" s="114"/>
      <c r="B607" s="114"/>
      <c r="C607" s="114"/>
      <c r="D607" s="114"/>
      <c r="E607" s="114"/>
      <c r="F607" s="115"/>
      <c r="G607" s="138"/>
      <c r="H607" s="114"/>
      <c r="I607" s="114"/>
      <c r="J607" s="114"/>
      <c r="K607" s="114"/>
      <c r="L607" s="114"/>
      <c r="M607" s="114"/>
      <c r="N607" s="114"/>
      <c r="O607" s="114"/>
      <c r="P607" s="114"/>
      <c r="Q607" s="114"/>
      <c r="R607" s="114"/>
      <c r="S607" s="114"/>
      <c r="T607" s="116"/>
      <c r="U607" s="116"/>
      <c r="V607" s="116"/>
      <c r="W607" s="209"/>
      <c r="X607" s="114"/>
      <c r="Y607" s="114"/>
      <c r="Z607" s="114"/>
      <c r="AA607" s="114"/>
      <c r="AB607" s="114"/>
      <c r="AC607" s="114"/>
      <c r="AD607" s="114"/>
      <c r="AE607" s="114"/>
      <c r="AF607" s="114"/>
      <c r="AG607" s="114"/>
      <c r="AH607" s="114"/>
    </row>
    <row r="608" spans="1:34" ht="24" customHeight="1" x14ac:dyDescent="0.6">
      <c r="A608" s="114"/>
      <c r="B608" s="114"/>
      <c r="C608" s="114"/>
      <c r="D608" s="114"/>
      <c r="E608" s="114"/>
      <c r="F608" s="115"/>
      <c r="G608" s="138"/>
      <c r="H608" s="114"/>
      <c r="I608" s="114"/>
      <c r="J608" s="114"/>
      <c r="K608" s="114"/>
      <c r="L608" s="114"/>
      <c r="M608" s="114"/>
      <c r="N608" s="114"/>
      <c r="O608" s="114"/>
      <c r="P608" s="114"/>
      <c r="Q608" s="114"/>
      <c r="R608" s="114"/>
      <c r="S608" s="114"/>
      <c r="T608" s="116"/>
      <c r="U608" s="116"/>
      <c r="V608" s="116"/>
      <c r="W608" s="209"/>
      <c r="X608" s="114"/>
      <c r="Y608" s="114"/>
      <c r="Z608" s="114"/>
      <c r="AA608" s="114"/>
      <c r="AB608" s="114"/>
      <c r="AC608" s="114"/>
      <c r="AD608" s="114"/>
      <c r="AE608" s="114"/>
      <c r="AF608" s="114"/>
      <c r="AG608" s="114"/>
      <c r="AH608" s="114"/>
    </row>
    <row r="609" spans="1:34" ht="24" customHeight="1" x14ac:dyDescent="0.6">
      <c r="A609" s="114"/>
      <c r="B609" s="114"/>
      <c r="C609" s="114"/>
      <c r="D609" s="114"/>
      <c r="E609" s="114"/>
      <c r="F609" s="115"/>
      <c r="G609" s="138"/>
      <c r="H609" s="114"/>
      <c r="I609" s="114"/>
      <c r="J609" s="114"/>
      <c r="K609" s="114"/>
      <c r="L609" s="114"/>
      <c r="M609" s="114"/>
      <c r="N609" s="114"/>
      <c r="O609" s="114"/>
      <c r="P609" s="114"/>
      <c r="Q609" s="114"/>
      <c r="R609" s="114"/>
      <c r="S609" s="114"/>
      <c r="T609" s="116"/>
      <c r="U609" s="116"/>
      <c r="V609" s="116"/>
      <c r="W609" s="209"/>
      <c r="X609" s="114"/>
      <c r="Y609" s="114"/>
      <c r="Z609" s="114"/>
      <c r="AA609" s="114"/>
      <c r="AB609" s="114"/>
      <c r="AC609" s="114"/>
      <c r="AD609" s="114"/>
      <c r="AE609" s="114"/>
      <c r="AF609" s="114"/>
      <c r="AG609" s="114"/>
      <c r="AH609" s="114"/>
    </row>
    <row r="610" spans="1:34" ht="24" customHeight="1" x14ac:dyDescent="0.6">
      <c r="A610" s="114"/>
      <c r="B610" s="114"/>
      <c r="C610" s="114"/>
      <c r="D610" s="114"/>
      <c r="E610" s="114"/>
      <c r="F610" s="115"/>
      <c r="G610" s="138"/>
      <c r="H610" s="114"/>
      <c r="I610" s="114"/>
      <c r="J610" s="114"/>
      <c r="K610" s="114"/>
      <c r="L610" s="114"/>
      <c r="M610" s="114"/>
      <c r="N610" s="114"/>
      <c r="O610" s="114"/>
      <c r="P610" s="114"/>
      <c r="Q610" s="114"/>
      <c r="R610" s="114"/>
      <c r="S610" s="114"/>
      <c r="T610" s="116"/>
      <c r="U610" s="116"/>
      <c r="V610" s="116"/>
      <c r="W610" s="209"/>
      <c r="X610" s="114"/>
      <c r="Y610" s="114"/>
      <c r="Z610" s="114"/>
      <c r="AA610" s="114"/>
      <c r="AB610" s="114"/>
      <c r="AC610" s="114"/>
      <c r="AD610" s="114"/>
      <c r="AE610" s="114"/>
      <c r="AF610" s="114"/>
      <c r="AG610" s="114"/>
      <c r="AH610" s="114"/>
    </row>
    <row r="611" spans="1:34" ht="24" customHeight="1" x14ac:dyDescent="0.6">
      <c r="A611" s="114"/>
      <c r="B611" s="114"/>
      <c r="C611" s="114"/>
      <c r="D611" s="114"/>
      <c r="E611" s="114"/>
      <c r="F611" s="115"/>
      <c r="G611" s="138"/>
      <c r="H611" s="114"/>
      <c r="I611" s="114"/>
      <c r="J611" s="114"/>
      <c r="K611" s="114"/>
      <c r="L611" s="114"/>
      <c r="M611" s="114"/>
      <c r="N611" s="114"/>
      <c r="O611" s="114"/>
      <c r="P611" s="114"/>
      <c r="Q611" s="114"/>
      <c r="R611" s="114"/>
      <c r="S611" s="114"/>
      <c r="T611" s="116"/>
      <c r="U611" s="116"/>
      <c r="V611" s="116"/>
      <c r="W611" s="209"/>
      <c r="X611" s="114"/>
      <c r="Y611" s="114"/>
      <c r="Z611" s="114"/>
      <c r="AA611" s="114"/>
      <c r="AB611" s="114"/>
      <c r="AC611" s="114"/>
      <c r="AD611" s="114"/>
      <c r="AE611" s="114"/>
      <c r="AF611" s="114"/>
      <c r="AG611" s="114"/>
      <c r="AH611" s="114"/>
    </row>
    <row r="612" spans="1:34" ht="24" customHeight="1" x14ac:dyDescent="0.6">
      <c r="A612" s="114"/>
      <c r="B612" s="114"/>
      <c r="C612" s="114"/>
      <c r="D612" s="114"/>
      <c r="E612" s="114"/>
      <c r="F612" s="115"/>
      <c r="G612" s="138"/>
      <c r="H612" s="114"/>
      <c r="I612" s="114"/>
      <c r="J612" s="114"/>
      <c r="K612" s="114"/>
      <c r="L612" s="114"/>
      <c r="M612" s="114"/>
      <c r="N612" s="114"/>
      <c r="O612" s="114"/>
      <c r="P612" s="114"/>
      <c r="Q612" s="114"/>
      <c r="R612" s="114"/>
      <c r="S612" s="114"/>
      <c r="T612" s="116"/>
      <c r="U612" s="116"/>
      <c r="V612" s="116"/>
      <c r="W612" s="209"/>
      <c r="X612" s="114"/>
      <c r="Y612" s="114"/>
      <c r="Z612" s="114"/>
      <c r="AA612" s="114"/>
      <c r="AB612" s="114"/>
      <c r="AC612" s="114"/>
      <c r="AD612" s="114"/>
      <c r="AE612" s="114"/>
      <c r="AF612" s="114"/>
      <c r="AG612" s="114"/>
      <c r="AH612" s="114"/>
    </row>
    <row r="613" spans="1:34" ht="24" customHeight="1" x14ac:dyDescent="0.6">
      <c r="A613" s="114"/>
      <c r="B613" s="114"/>
      <c r="C613" s="114"/>
      <c r="D613" s="114"/>
      <c r="E613" s="114"/>
      <c r="F613" s="115"/>
      <c r="G613" s="138"/>
      <c r="H613" s="114"/>
      <c r="I613" s="114"/>
      <c r="J613" s="114"/>
      <c r="K613" s="114"/>
      <c r="L613" s="114"/>
      <c r="M613" s="114"/>
      <c r="N613" s="114"/>
      <c r="O613" s="114"/>
      <c r="P613" s="114"/>
      <c r="Q613" s="114"/>
      <c r="R613" s="114"/>
      <c r="S613" s="114"/>
      <c r="T613" s="116"/>
      <c r="U613" s="116"/>
      <c r="V613" s="116"/>
      <c r="W613" s="209"/>
      <c r="X613" s="114"/>
      <c r="Y613" s="114"/>
      <c r="Z613" s="114"/>
      <c r="AA613" s="114"/>
      <c r="AB613" s="114"/>
      <c r="AC613" s="114"/>
      <c r="AD613" s="114"/>
      <c r="AE613" s="114"/>
      <c r="AF613" s="114"/>
      <c r="AG613" s="114"/>
      <c r="AH613" s="114"/>
    </row>
    <row r="614" spans="1:34" ht="24" customHeight="1" x14ac:dyDescent="0.6">
      <c r="A614" s="114"/>
      <c r="B614" s="114"/>
      <c r="C614" s="114"/>
      <c r="D614" s="114"/>
      <c r="E614" s="114"/>
      <c r="F614" s="115"/>
      <c r="G614" s="138"/>
      <c r="H614" s="114"/>
      <c r="I614" s="114"/>
      <c r="J614" s="114"/>
      <c r="K614" s="114"/>
      <c r="L614" s="114"/>
      <c r="M614" s="114"/>
      <c r="N614" s="114"/>
      <c r="O614" s="114"/>
      <c r="P614" s="114"/>
      <c r="Q614" s="114"/>
      <c r="R614" s="114"/>
      <c r="S614" s="114"/>
      <c r="T614" s="116"/>
      <c r="U614" s="116"/>
      <c r="V614" s="116"/>
      <c r="W614" s="209"/>
      <c r="X614" s="114"/>
      <c r="Y614" s="114"/>
      <c r="Z614" s="114"/>
      <c r="AA614" s="114"/>
      <c r="AB614" s="114"/>
      <c r="AC614" s="114"/>
      <c r="AD614" s="114"/>
      <c r="AE614" s="114"/>
      <c r="AF614" s="114"/>
      <c r="AG614" s="114"/>
      <c r="AH614" s="114"/>
    </row>
    <row r="615" spans="1:34" ht="24" customHeight="1" x14ac:dyDescent="0.6">
      <c r="A615" s="114"/>
      <c r="B615" s="114"/>
      <c r="C615" s="114"/>
      <c r="D615" s="114"/>
      <c r="E615" s="114"/>
      <c r="F615" s="115"/>
      <c r="G615" s="138"/>
      <c r="H615" s="114"/>
      <c r="I615" s="114"/>
      <c r="J615" s="114"/>
      <c r="K615" s="114"/>
      <c r="L615" s="114"/>
      <c r="M615" s="114"/>
      <c r="N615" s="114"/>
      <c r="O615" s="114"/>
      <c r="P615" s="114"/>
      <c r="Q615" s="114"/>
      <c r="R615" s="114"/>
      <c r="S615" s="114"/>
      <c r="T615" s="116"/>
      <c r="U615" s="116"/>
      <c r="V615" s="116"/>
      <c r="W615" s="209"/>
      <c r="X615" s="114"/>
      <c r="Y615" s="114"/>
      <c r="Z615" s="114"/>
      <c r="AA615" s="114"/>
      <c r="AB615" s="114"/>
      <c r="AC615" s="114"/>
      <c r="AD615" s="114"/>
      <c r="AE615" s="114"/>
      <c r="AF615" s="114"/>
      <c r="AG615" s="114"/>
      <c r="AH615" s="114"/>
    </row>
    <row r="616" spans="1:34" ht="24" customHeight="1" x14ac:dyDescent="0.6">
      <c r="A616" s="114"/>
      <c r="B616" s="114"/>
      <c r="C616" s="114"/>
      <c r="D616" s="114"/>
      <c r="E616" s="114"/>
      <c r="F616" s="115"/>
      <c r="G616" s="138"/>
      <c r="H616" s="114"/>
      <c r="I616" s="114"/>
      <c r="J616" s="114"/>
      <c r="K616" s="114"/>
      <c r="L616" s="114"/>
      <c r="M616" s="114"/>
      <c r="N616" s="114"/>
      <c r="O616" s="114"/>
      <c r="P616" s="114"/>
      <c r="Q616" s="114"/>
      <c r="R616" s="114"/>
      <c r="S616" s="114"/>
      <c r="T616" s="116"/>
      <c r="U616" s="116"/>
      <c r="V616" s="116"/>
      <c r="W616" s="209"/>
      <c r="X616" s="114"/>
      <c r="Y616" s="114"/>
      <c r="Z616" s="114"/>
      <c r="AA616" s="114"/>
      <c r="AB616" s="114"/>
      <c r="AC616" s="114"/>
      <c r="AD616" s="114"/>
      <c r="AE616" s="114"/>
      <c r="AF616" s="114"/>
      <c r="AG616" s="114"/>
      <c r="AH616" s="114"/>
    </row>
    <row r="617" spans="1:34" ht="24" customHeight="1" x14ac:dyDescent="0.6">
      <c r="A617" s="114"/>
      <c r="B617" s="114"/>
      <c r="C617" s="114"/>
      <c r="D617" s="114"/>
      <c r="E617" s="114"/>
      <c r="F617" s="115"/>
      <c r="G617" s="138"/>
      <c r="H617" s="114"/>
      <c r="I617" s="114"/>
      <c r="J617" s="114"/>
      <c r="K617" s="114"/>
      <c r="L617" s="114"/>
      <c r="M617" s="114"/>
      <c r="N617" s="114"/>
      <c r="O617" s="114"/>
      <c r="P617" s="114"/>
      <c r="Q617" s="114"/>
      <c r="R617" s="114"/>
      <c r="S617" s="114"/>
      <c r="T617" s="116"/>
      <c r="U617" s="116"/>
      <c r="V617" s="116"/>
      <c r="W617" s="209"/>
      <c r="X617" s="114"/>
      <c r="Y617" s="114"/>
      <c r="Z617" s="114"/>
      <c r="AA617" s="114"/>
      <c r="AB617" s="114"/>
      <c r="AC617" s="114"/>
      <c r="AD617" s="114"/>
      <c r="AE617" s="114"/>
      <c r="AF617" s="114"/>
      <c r="AG617" s="114"/>
      <c r="AH617" s="114"/>
    </row>
    <row r="618" spans="1:34" ht="24" customHeight="1" x14ac:dyDescent="0.6">
      <c r="A618" s="114"/>
      <c r="B618" s="114"/>
      <c r="C618" s="114"/>
      <c r="D618" s="114"/>
      <c r="E618" s="114"/>
      <c r="F618" s="115"/>
      <c r="G618" s="138"/>
      <c r="H618" s="114"/>
      <c r="I618" s="114"/>
      <c r="J618" s="114"/>
      <c r="K618" s="114"/>
      <c r="L618" s="114"/>
      <c r="M618" s="114"/>
      <c r="N618" s="114"/>
      <c r="O618" s="114"/>
      <c r="P618" s="114"/>
      <c r="Q618" s="114"/>
      <c r="R618" s="114"/>
      <c r="S618" s="114"/>
      <c r="T618" s="116"/>
      <c r="U618" s="116"/>
      <c r="V618" s="116"/>
      <c r="W618" s="209"/>
      <c r="X618" s="114"/>
      <c r="Y618" s="114"/>
      <c r="Z618" s="114"/>
      <c r="AA618" s="114"/>
      <c r="AB618" s="114"/>
      <c r="AC618" s="114"/>
      <c r="AD618" s="114"/>
      <c r="AE618" s="114"/>
      <c r="AF618" s="114"/>
      <c r="AG618" s="114"/>
      <c r="AH618" s="114"/>
    </row>
    <row r="619" spans="1:34" ht="24" customHeight="1" x14ac:dyDescent="0.6">
      <c r="A619" s="114"/>
      <c r="B619" s="114"/>
      <c r="C619" s="114"/>
      <c r="D619" s="114"/>
      <c r="E619" s="114"/>
      <c r="F619" s="115"/>
      <c r="G619" s="138"/>
      <c r="H619" s="114"/>
      <c r="I619" s="114"/>
      <c r="J619" s="114"/>
      <c r="K619" s="114"/>
      <c r="L619" s="114"/>
      <c r="M619" s="114"/>
      <c r="N619" s="114"/>
      <c r="O619" s="114"/>
      <c r="P619" s="114"/>
      <c r="Q619" s="114"/>
      <c r="R619" s="114"/>
      <c r="S619" s="114"/>
      <c r="T619" s="116"/>
      <c r="U619" s="116"/>
      <c r="V619" s="116"/>
      <c r="W619" s="209"/>
      <c r="X619" s="114"/>
      <c r="Y619" s="114"/>
      <c r="Z619" s="114"/>
      <c r="AA619" s="114"/>
      <c r="AB619" s="114"/>
      <c r="AC619" s="114"/>
      <c r="AD619" s="114"/>
      <c r="AE619" s="114"/>
      <c r="AF619" s="114"/>
      <c r="AG619" s="114"/>
      <c r="AH619" s="114"/>
    </row>
    <row r="620" spans="1:34" ht="24" customHeight="1" x14ac:dyDescent="0.6">
      <c r="A620" s="114"/>
      <c r="B620" s="114"/>
      <c r="C620" s="114"/>
      <c r="D620" s="114"/>
      <c r="E620" s="114"/>
      <c r="F620" s="115"/>
      <c r="G620" s="138"/>
      <c r="H620" s="114"/>
      <c r="I620" s="114"/>
      <c r="J620" s="114"/>
      <c r="K620" s="114"/>
      <c r="L620" s="114"/>
      <c r="M620" s="114"/>
      <c r="N620" s="114"/>
      <c r="O620" s="114"/>
      <c r="P620" s="114"/>
      <c r="Q620" s="114"/>
      <c r="R620" s="114"/>
      <c r="S620" s="114"/>
      <c r="T620" s="116"/>
      <c r="U620" s="116"/>
      <c r="V620" s="116"/>
      <c r="W620" s="209"/>
      <c r="X620" s="114"/>
      <c r="Y620" s="114"/>
      <c r="Z620" s="114"/>
      <c r="AA620" s="114"/>
      <c r="AB620" s="114"/>
      <c r="AC620" s="114"/>
      <c r="AD620" s="114"/>
      <c r="AE620" s="114"/>
      <c r="AF620" s="114"/>
      <c r="AG620" s="114"/>
      <c r="AH620" s="114"/>
    </row>
    <row r="621" spans="1:34" ht="24" customHeight="1" x14ac:dyDescent="0.6">
      <c r="A621" s="114"/>
      <c r="B621" s="114"/>
      <c r="C621" s="114"/>
      <c r="D621" s="114"/>
      <c r="E621" s="114"/>
      <c r="F621" s="115"/>
      <c r="G621" s="138"/>
      <c r="H621" s="114"/>
      <c r="I621" s="114"/>
      <c r="J621" s="114"/>
      <c r="K621" s="114"/>
      <c r="L621" s="114"/>
      <c r="M621" s="114"/>
      <c r="N621" s="114"/>
      <c r="O621" s="114"/>
      <c r="P621" s="114"/>
      <c r="Q621" s="114"/>
      <c r="R621" s="114"/>
      <c r="S621" s="114"/>
      <c r="T621" s="116"/>
      <c r="U621" s="116"/>
      <c r="V621" s="116"/>
      <c r="W621" s="209"/>
      <c r="X621" s="114"/>
      <c r="Y621" s="114"/>
      <c r="Z621" s="114"/>
      <c r="AA621" s="114"/>
      <c r="AB621" s="114"/>
      <c r="AC621" s="114"/>
      <c r="AD621" s="114"/>
      <c r="AE621" s="114"/>
      <c r="AF621" s="114"/>
      <c r="AG621" s="114"/>
      <c r="AH621" s="114"/>
    </row>
    <row r="622" spans="1:34" ht="24" customHeight="1" x14ac:dyDescent="0.6">
      <c r="A622" s="114"/>
      <c r="B622" s="114"/>
      <c r="C622" s="114"/>
      <c r="D622" s="114"/>
      <c r="E622" s="114"/>
      <c r="F622" s="115"/>
      <c r="G622" s="138"/>
      <c r="H622" s="114"/>
      <c r="I622" s="114"/>
      <c r="J622" s="114"/>
      <c r="K622" s="114"/>
      <c r="L622" s="114"/>
      <c r="M622" s="114"/>
      <c r="N622" s="114"/>
      <c r="O622" s="114"/>
      <c r="P622" s="114"/>
      <c r="Q622" s="114"/>
      <c r="R622" s="114"/>
      <c r="S622" s="114"/>
      <c r="T622" s="116"/>
      <c r="U622" s="116"/>
      <c r="V622" s="116"/>
      <c r="W622" s="209"/>
      <c r="X622" s="114"/>
      <c r="Y622" s="114"/>
      <c r="Z622" s="114"/>
      <c r="AA622" s="114"/>
      <c r="AB622" s="114"/>
      <c r="AC622" s="114"/>
      <c r="AD622" s="114"/>
      <c r="AE622" s="114"/>
      <c r="AF622" s="114"/>
      <c r="AG622" s="114"/>
      <c r="AH622" s="114"/>
    </row>
    <row r="623" spans="1:34" ht="24" customHeight="1" x14ac:dyDescent="0.6">
      <c r="A623" s="114"/>
      <c r="B623" s="114"/>
      <c r="C623" s="114"/>
      <c r="D623" s="114"/>
      <c r="E623" s="114"/>
      <c r="F623" s="115"/>
      <c r="G623" s="138"/>
      <c r="H623" s="114"/>
      <c r="I623" s="114"/>
      <c r="J623" s="114"/>
      <c r="K623" s="114"/>
      <c r="L623" s="114"/>
      <c r="M623" s="114"/>
      <c r="N623" s="114"/>
      <c r="O623" s="114"/>
      <c r="P623" s="114"/>
      <c r="Q623" s="114"/>
      <c r="R623" s="114"/>
      <c r="S623" s="114"/>
      <c r="T623" s="116"/>
      <c r="U623" s="116"/>
      <c r="V623" s="116"/>
      <c r="W623" s="209"/>
      <c r="X623" s="114"/>
      <c r="Y623" s="114"/>
      <c r="Z623" s="114"/>
      <c r="AA623" s="114"/>
      <c r="AB623" s="114"/>
      <c r="AC623" s="114"/>
      <c r="AD623" s="114"/>
      <c r="AE623" s="114"/>
      <c r="AF623" s="114"/>
      <c r="AG623" s="114"/>
      <c r="AH623" s="114"/>
    </row>
    <row r="624" spans="1:34" ht="24" customHeight="1" x14ac:dyDescent="0.6">
      <c r="A624" s="114"/>
      <c r="B624" s="114"/>
      <c r="C624" s="114"/>
      <c r="D624" s="114"/>
      <c r="E624" s="114"/>
      <c r="F624" s="115"/>
      <c r="G624" s="138"/>
      <c r="H624" s="114"/>
      <c r="I624" s="114"/>
      <c r="J624" s="114"/>
      <c r="K624" s="114"/>
      <c r="L624" s="114"/>
      <c r="M624" s="114"/>
      <c r="N624" s="114"/>
      <c r="O624" s="114"/>
      <c r="P624" s="114"/>
      <c r="Q624" s="114"/>
      <c r="R624" s="114"/>
      <c r="S624" s="114"/>
      <c r="T624" s="116"/>
      <c r="U624" s="116"/>
      <c r="V624" s="116"/>
      <c r="W624" s="209"/>
      <c r="X624" s="114"/>
      <c r="Y624" s="114"/>
      <c r="Z624" s="114"/>
      <c r="AA624" s="114"/>
      <c r="AB624" s="114"/>
      <c r="AC624" s="114"/>
      <c r="AD624" s="114"/>
      <c r="AE624" s="114"/>
      <c r="AF624" s="114"/>
      <c r="AG624" s="114"/>
      <c r="AH624" s="114"/>
    </row>
    <row r="625" spans="1:34" ht="24" customHeight="1" x14ac:dyDescent="0.6">
      <c r="A625" s="114"/>
      <c r="B625" s="114"/>
      <c r="C625" s="114"/>
      <c r="D625" s="114"/>
      <c r="E625" s="114"/>
      <c r="F625" s="115"/>
      <c r="G625" s="138"/>
      <c r="H625" s="114"/>
      <c r="I625" s="114"/>
      <c r="J625" s="114"/>
      <c r="K625" s="114"/>
      <c r="L625" s="114"/>
      <c r="M625" s="114"/>
      <c r="N625" s="114"/>
      <c r="O625" s="114"/>
      <c r="P625" s="114"/>
      <c r="Q625" s="114"/>
      <c r="R625" s="114"/>
      <c r="S625" s="114"/>
      <c r="T625" s="116"/>
      <c r="U625" s="116"/>
      <c r="V625" s="116"/>
      <c r="W625" s="209"/>
      <c r="X625" s="114"/>
      <c r="Y625" s="114"/>
      <c r="Z625" s="114"/>
      <c r="AA625" s="114"/>
      <c r="AB625" s="114"/>
      <c r="AC625" s="114"/>
      <c r="AD625" s="114"/>
      <c r="AE625" s="114"/>
      <c r="AF625" s="114"/>
      <c r="AG625" s="114"/>
      <c r="AH625" s="114"/>
    </row>
    <row r="626" spans="1:34" ht="24" customHeight="1" x14ac:dyDescent="0.6">
      <c r="A626" s="114"/>
      <c r="B626" s="114"/>
      <c r="C626" s="114"/>
      <c r="D626" s="114"/>
      <c r="E626" s="114"/>
      <c r="F626" s="115"/>
      <c r="G626" s="138"/>
      <c r="H626" s="114"/>
      <c r="I626" s="114"/>
      <c r="J626" s="114"/>
      <c r="K626" s="114"/>
      <c r="L626" s="114"/>
      <c r="M626" s="114"/>
      <c r="N626" s="114"/>
      <c r="O626" s="114"/>
      <c r="P626" s="114"/>
      <c r="Q626" s="114"/>
      <c r="R626" s="114"/>
      <c r="S626" s="114"/>
      <c r="T626" s="116"/>
      <c r="U626" s="116"/>
      <c r="V626" s="116"/>
      <c r="W626" s="209"/>
      <c r="X626" s="114"/>
      <c r="Y626" s="114"/>
      <c r="Z626" s="114"/>
      <c r="AA626" s="114"/>
      <c r="AB626" s="114"/>
      <c r="AC626" s="114"/>
      <c r="AD626" s="114"/>
      <c r="AE626" s="114"/>
      <c r="AF626" s="114"/>
      <c r="AG626" s="114"/>
      <c r="AH626" s="114"/>
    </row>
    <row r="627" spans="1:34" ht="24" customHeight="1" x14ac:dyDescent="0.6">
      <c r="A627" s="114"/>
      <c r="B627" s="114"/>
      <c r="C627" s="114"/>
      <c r="D627" s="114"/>
      <c r="E627" s="114"/>
      <c r="F627" s="115"/>
      <c r="G627" s="138"/>
      <c r="H627" s="114"/>
      <c r="I627" s="114"/>
      <c r="J627" s="114"/>
      <c r="K627" s="114"/>
      <c r="L627" s="114"/>
      <c r="M627" s="114"/>
      <c r="N627" s="114"/>
      <c r="O627" s="114"/>
      <c r="P627" s="114"/>
      <c r="Q627" s="114"/>
      <c r="R627" s="114"/>
      <c r="S627" s="114"/>
      <c r="T627" s="116"/>
      <c r="U627" s="116"/>
      <c r="V627" s="116"/>
      <c r="W627" s="209"/>
      <c r="X627" s="114"/>
      <c r="Y627" s="114"/>
      <c r="Z627" s="114"/>
      <c r="AA627" s="114"/>
      <c r="AB627" s="114"/>
      <c r="AC627" s="114"/>
      <c r="AD627" s="114"/>
      <c r="AE627" s="114"/>
      <c r="AF627" s="114"/>
      <c r="AG627" s="114"/>
      <c r="AH627" s="114"/>
    </row>
    <row r="628" spans="1:34" ht="24" customHeight="1" x14ac:dyDescent="0.6">
      <c r="A628" s="114"/>
      <c r="B628" s="114"/>
      <c r="C628" s="114"/>
      <c r="D628" s="114"/>
      <c r="E628" s="114"/>
      <c r="F628" s="115"/>
      <c r="G628" s="138"/>
      <c r="H628" s="114"/>
      <c r="I628" s="114"/>
      <c r="J628" s="114"/>
      <c r="K628" s="114"/>
      <c r="L628" s="114"/>
      <c r="M628" s="114"/>
      <c r="N628" s="114"/>
      <c r="O628" s="114"/>
      <c r="P628" s="114"/>
      <c r="Q628" s="114"/>
      <c r="R628" s="114"/>
      <c r="S628" s="114"/>
      <c r="T628" s="116"/>
      <c r="U628" s="116"/>
      <c r="V628" s="116"/>
      <c r="W628" s="209"/>
      <c r="X628" s="114"/>
      <c r="Y628" s="114"/>
      <c r="Z628" s="114"/>
      <c r="AA628" s="114"/>
      <c r="AB628" s="114"/>
      <c r="AC628" s="114"/>
      <c r="AD628" s="114"/>
      <c r="AE628" s="114"/>
      <c r="AF628" s="114"/>
      <c r="AG628" s="114"/>
      <c r="AH628" s="114"/>
    </row>
    <row r="629" spans="1:34" ht="24" customHeight="1" x14ac:dyDescent="0.6">
      <c r="A629" s="114"/>
      <c r="B629" s="114"/>
      <c r="C629" s="114"/>
      <c r="D629" s="114"/>
      <c r="E629" s="114"/>
      <c r="F629" s="115"/>
      <c r="G629" s="138"/>
      <c r="H629" s="114"/>
      <c r="I629" s="114"/>
      <c r="J629" s="114"/>
      <c r="K629" s="114"/>
      <c r="L629" s="114"/>
      <c r="M629" s="114"/>
      <c r="N629" s="114"/>
      <c r="O629" s="114"/>
      <c r="P629" s="114"/>
      <c r="Q629" s="114"/>
      <c r="R629" s="114"/>
      <c r="S629" s="114"/>
      <c r="T629" s="116"/>
      <c r="U629" s="116"/>
      <c r="V629" s="116"/>
      <c r="W629" s="209"/>
      <c r="X629" s="114"/>
      <c r="Y629" s="114"/>
      <c r="Z629" s="114"/>
      <c r="AA629" s="114"/>
      <c r="AB629" s="114"/>
      <c r="AC629" s="114"/>
      <c r="AD629" s="114"/>
      <c r="AE629" s="114"/>
      <c r="AF629" s="114"/>
      <c r="AG629" s="114"/>
      <c r="AH629" s="114"/>
    </row>
    <row r="630" spans="1:34" ht="24" customHeight="1" x14ac:dyDescent="0.6">
      <c r="A630" s="114"/>
      <c r="B630" s="114"/>
      <c r="C630" s="114"/>
      <c r="D630" s="114"/>
      <c r="E630" s="114"/>
      <c r="F630" s="115"/>
      <c r="G630" s="138"/>
      <c r="H630" s="114"/>
      <c r="I630" s="114"/>
      <c r="J630" s="114"/>
      <c r="K630" s="114"/>
      <c r="L630" s="114"/>
      <c r="M630" s="114"/>
      <c r="N630" s="114"/>
      <c r="O630" s="114"/>
      <c r="P630" s="114"/>
      <c r="Q630" s="114"/>
      <c r="R630" s="114"/>
      <c r="S630" s="114"/>
      <c r="T630" s="116"/>
      <c r="U630" s="116"/>
      <c r="V630" s="116"/>
      <c r="W630" s="209"/>
      <c r="X630" s="114"/>
      <c r="Y630" s="114"/>
      <c r="Z630" s="114"/>
      <c r="AA630" s="114"/>
      <c r="AB630" s="114"/>
      <c r="AC630" s="114"/>
      <c r="AD630" s="114"/>
      <c r="AE630" s="114"/>
      <c r="AF630" s="114"/>
      <c r="AG630" s="114"/>
      <c r="AH630" s="114"/>
    </row>
    <row r="631" spans="1:34" ht="24" customHeight="1" x14ac:dyDescent="0.6">
      <c r="A631" s="114"/>
      <c r="B631" s="114"/>
      <c r="C631" s="114"/>
      <c r="D631" s="114"/>
      <c r="E631" s="114"/>
      <c r="F631" s="115"/>
      <c r="G631" s="138"/>
      <c r="H631" s="114"/>
      <c r="I631" s="114"/>
      <c r="J631" s="114"/>
      <c r="K631" s="114"/>
      <c r="L631" s="114"/>
      <c r="M631" s="114"/>
      <c r="N631" s="114"/>
      <c r="O631" s="114"/>
      <c r="P631" s="114"/>
      <c r="Q631" s="114"/>
      <c r="R631" s="114"/>
      <c r="S631" s="114"/>
      <c r="T631" s="116"/>
      <c r="U631" s="116"/>
      <c r="V631" s="116"/>
      <c r="W631" s="209"/>
      <c r="X631" s="114"/>
      <c r="Y631" s="114"/>
      <c r="Z631" s="114"/>
      <c r="AA631" s="114"/>
      <c r="AB631" s="114"/>
      <c r="AC631" s="114"/>
      <c r="AD631" s="114"/>
      <c r="AE631" s="114"/>
      <c r="AF631" s="114"/>
      <c r="AG631" s="114"/>
      <c r="AH631" s="114"/>
    </row>
    <row r="632" spans="1:34" ht="24" customHeight="1" x14ac:dyDescent="0.6">
      <c r="A632" s="114"/>
      <c r="B632" s="114"/>
      <c r="C632" s="114"/>
      <c r="D632" s="114"/>
      <c r="E632" s="114"/>
      <c r="F632" s="115"/>
      <c r="G632" s="138"/>
      <c r="H632" s="114"/>
      <c r="I632" s="114"/>
      <c r="J632" s="114"/>
      <c r="K632" s="114"/>
      <c r="L632" s="114"/>
      <c r="M632" s="114"/>
      <c r="N632" s="114"/>
      <c r="O632" s="114"/>
      <c r="P632" s="114"/>
      <c r="Q632" s="114"/>
      <c r="R632" s="114"/>
      <c r="S632" s="114"/>
      <c r="T632" s="116"/>
      <c r="U632" s="116"/>
      <c r="V632" s="116"/>
      <c r="W632" s="209"/>
      <c r="X632" s="114"/>
      <c r="Y632" s="114"/>
      <c r="Z632" s="114"/>
      <c r="AA632" s="114"/>
      <c r="AB632" s="114"/>
      <c r="AC632" s="114"/>
      <c r="AD632" s="114"/>
      <c r="AE632" s="114"/>
      <c r="AF632" s="114"/>
      <c r="AG632" s="114"/>
      <c r="AH632" s="114"/>
    </row>
    <row r="633" spans="1:34" ht="24" customHeight="1" x14ac:dyDescent="0.6">
      <c r="A633" s="114"/>
      <c r="B633" s="114"/>
      <c r="C633" s="114"/>
      <c r="D633" s="114"/>
      <c r="E633" s="114"/>
      <c r="F633" s="115"/>
      <c r="G633" s="138"/>
      <c r="H633" s="114"/>
      <c r="I633" s="114"/>
      <c r="J633" s="114"/>
      <c r="K633" s="114"/>
      <c r="L633" s="114"/>
      <c r="M633" s="114"/>
      <c r="N633" s="114"/>
      <c r="O633" s="114"/>
      <c r="P633" s="114"/>
      <c r="Q633" s="114"/>
      <c r="R633" s="114"/>
      <c r="S633" s="114"/>
      <c r="T633" s="116"/>
      <c r="U633" s="116"/>
      <c r="V633" s="116"/>
      <c r="W633" s="209"/>
      <c r="X633" s="114"/>
      <c r="Y633" s="114"/>
      <c r="Z633" s="114"/>
      <c r="AA633" s="114"/>
      <c r="AB633" s="114"/>
      <c r="AC633" s="114"/>
      <c r="AD633" s="114"/>
      <c r="AE633" s="114"/>
      <c r="AF633" s="114"/>
      <c r="AG633" s="114"/>
      <c r="AH633" s="114"/>
    </row>
    <row r="634" spans="1:34" ht="24" customHeight="1" x14ac:dyDescent="0.6">
      <c r="A634" s="114"/>
      <c r="B634" s="114"/>
      <c r="C634" s="114"/>
      <c r="D634" s="114"/>
      <c r="E634" s="114"/>
      <c r="F634" s="115"/>
      <c r="G634" s="138"/>
      <c r="H634" s="114"/>
      <c r="I634" s="114"/>
      <c r="J634" s="114"/>
      <c r="K634" s="114"/>
      <c r="L634" s="114"/>
      <c r="M634" s="114"/>
      <c r="N634" s="114"/>
      <c r="O634" s="114"/>
      <c r="P634" s="114"/>
      <c r="Q634" s="114"/>
      <c r="R634" s="114"/>
      <c r="S634" s="114"/>
      <c r="T634" s="116"/>
      <c r="U634" s="116"/>
      <c r="V634" s="116"/>
      <c r="W634" s="209"/>
      <c r="X634" s="114"/>
      <c r="Y634" s="114"/>
      <c r="Z634" s="114"/>
      <c r="AA634" s="114"/>
      <c r="AB634" s="114"/>
      <c r="AC634" s="114"/>
      <c r="AD634" s="114"/>
      <c r="AE634" s="114"/>
      <c r="AF634" s="114"/>
      <c r="AG634" s="114"/>
      <c r="AH634" s="114"/>
    </row>
    <row r="635" spans="1:34" ht="24" customHeight="1" x14ac:dyDescent="0.6">
      <c r="A635" s="114"/>
      <c r="B635" s="114"/>
      <c r="C635" s="114"/>
      <c r="D635" s="114"/>
      <c r="E635" s="114"/>
      <c r="F635" s="115"/>
      <c r="G635" s="138"/>
      <c r="H635" s="114"/>
      <c r="I635" s="114"/>
      <c r="J635" s="114"/>
      <c r="K635" s="114"/>
      <c r="L635" s="114"/>
      <c r="M635" s="114"/>
      <c r="N635" s="114"/>
      <c r="O635" s="114"/>
      <c r="P635" s="114"/>
      <c r="Q635" s="114"/>
      <c r="R635" s="114"/>
      <c r="S635" s="114"/>
      <c r="T635" s="116"/>
      <c r="U635" s="116"/>
      <c r="V635" s="116"/>
      <c r="W635" s="209"/>
      <c r="X635" s="114"/>
      <c r="Y635" s="114"/>
      <c r="Z635" s="114"/>
      <c r="AA635" s="114"/>
      <c r="AB635" s="114"/>
      <c r="AC635" s="114"/>
      <c r="AD635" s="114"/>
      <c r="AE635" s="114"/>
      <c r="AF635" s="114"/>
      <c r="AG635" s="114"/>
      <c r="AH635" s="114"/>
    </row>
    <row r="636" spans="1:34" ht="24" customHeight="1" x14ac:dyDescent="0.6">
      <c r="A636" s="114"/>
      <c r="B636" s="114"/>
      <c r="C636" s="114"/>
      <c r="D636" s="114"/>
      <c r="E636" s="114"/>
      <c r="F636" s="115"/>
      <c r="G636" s="138"/>
      <c r="H636" s="114"/>
      <c r="I636" s="114"/>
      <c r="J636" s="114"/>
      <c r="K636" s="114"/>
      <c r="L636" s="114"/>
      <c r="M636" s="114"/>
      <c r="N636" s="114"/>
      <c r="O636" s="114"/>
      <c r="P636" s="114"/>
      <c r="Q636" s="114"/>
      <c r="R636" s="114"/>
      <c r="S636" s="114"/>
      <c r="T636" s="116"/>
      <c r="U636" s="116"/>
      <c r="V636" s="116"/>
      <c r="W636" s="209"/>
      <c r="X636" s="114"/>
      <c r="Y636" s="114"/>
      <c r="Z636" s="114"/>
      <c r="AA636" s="114"/>
      <c r="AB636" s="114"/>
      <c r="AC636" s="114"/>
      <c r="AD636" s="114"/>
      <c r="AE636" s="114"/>
      <c r="AF636" s="114"/>
      <c r="AG636" s="114"/>
      <c r="AH636" s="114"/>
    </row>
    <row r="637" spans="1:34" ht="24" customHeight="1" x14ac:dyDescent="0.6">
      <c r="A637" s="114"/>
      <c r="B637" s="114"/>
      <c r="C637" s="114"/>
      <c r="D637" s="114"/>
      <c r="E637" s="114"/>
      <c r="F637" s="115"/>
      <c r="G637" s="138"/>
      <c r="H637" s="114"/>
      <c r="I637" s="114"/>
      <c r="J637" s="114"/>
      <c r="K637" s="114"/>
      <c r="L637" s="114"/>
      <c r="M637" s="114"/>
      <c r="N637" s="114"/>
      <c r="O637" s="114"/>
      <c r="P637" s="114"/>
      <c r="Q637" s="114"/>
      <c r="R637" s="114"/>
      <c r="S637" s="114"/>
      <c r="T637" s="116"/>
      <c r="U637" s="116"/>
      <c r="V637" s="116"/>
      <c r="W637" s="209"/>
      <c r="X637" s="114"/>
      <c r="Y637" s="114"/>
      <c r="Z637" s="114"/>
      <c r="AA637" s="114"/>
      <c r="AB637" s="114"/>
      <c r="AC637" s="114"/>
      <c r="AD637" s="114"/>
      <c r="AE637" s="114"/>
      <c r="AF637" s="114"/>
      <c r="AG637" s="114"/>
      <c r="AH637" s="114"/>
    </row>
    <row r="638" spans="1:34" ht="24" customHeight="1" x14ac:dyDescent="0.6">
      <c r="A638" s="114"/>
      <c r="B638" s="114"/>
      <c r="C638" s="114"/>
      <c r="D638" s="114"/>
      <c r="E638" s="114"/>
      <c r="F638" s="115"/>
      <c r="G638" s="138"/>
      <c r="H638" s="114"/>
      <c r="I638" s="114"/>
      <c r="J638" s="114"/>
      <c r="K638" s="114"/>
      <c r="L638" s="114"/>
      <c r="M638" s="114"/>
      <c r="N638" s="114"/>
      <c r="O638" s="114"/>
      <c r="P638" s="114"/>
      <c r="Q638" s="114"/>
      <c r="R638" s="114"/>
      <c r="S638" s="114"/>
      <c r="T638" s="116"/>
      <c r="U638" s="116"/>
      <c r="V638" s="116"/>
      <c r="W638" s="209"/>
      <c r="X638" s="114"/>
      <c r="Y638" s="114"/>
      <c r="Z638" s="114"/>
      <c r="AA638" s="114"/>
      <c r="AB638" s="114"/>
      <c r="AC638" s="114"/>
      <c r="AD638" s="114"/>
      <c r="AE638" s="114"/>
      <c r="AF638" s="114"/>
      <c r="AG638" s="114"/>
      <c r="AH638" s="114"/>
    </row>
    <row r="639" spans="1:34" ht="24" customHeight="1" x14ac:dyDescent="0.6">
      <c r="A639" s="114"/>
      <c r="B639" s="114"/>
      <c r="C639" s="114"/>
      <c r="D639" s="114"/>
      <c r="E639" s="114"/>
      <c r="F639" s="115"/>
      <c r="G639" s="138"/>
      <c r="H639" s="114"/>
      <c r="I639" s="114"/>
      <c r="J639" s="114"/>
      <c r="K639" s="114"/>
      <c r="L639" s="114"/>
      <c r="M639" s="114"/>
      <c r="N639" s="114"/>
      <c r="O639" s="114"/>
      <c r="P639" s="114"/>
      <c r="Q639" s="114"/>
      <c r="R639" s="114"/>
      <c r="S639" s="114"/>
      <c r="T639" s="116"/>
      <c r="U639" s="116"/>
      <c r="V639" s="116"/>
      <c r="W639" s="209"/>
      <c r="X639" s="114"/>
      <c r="Y639" s="114"/>
      <c r="Z639" s="114"/>
      <c r="AA639" s="114"/>
      <c r="AB639" s="114"/>
      <c r="AC639" s="114"/>
      <c r="AD639" s="114"/>
      <c r="AE639" s="114"/>
      <c r="AF639" s="114"/>
      <c r="AG639" s="114"/>
      <c r="AH639" s="114"/>
    </row>
    <row r="640" spans="1:34" ht="24" customHeight="1" x14ac:dyDescent="0.6">
      <c r="A640" s="114"/>
      <c r="B640" s="114"/>
      <c r="C640" s="114"/>
      <c r="D640" s="114"/>
      <c r="E640" s="114"/>
      <c r="F640" s="115"/>
      <c r="G640" s="138"/>
      <c r="H640" s="114"/>
      <c r="I640" s="114"/>
      <c r="J640" s="114"/>
      <c r="K640" s="114"/>
      <c r="L640" s="114"/>
      <c r="M640" s="114"/>
      <c r="N640" s="114"/>
      <c r="O640" s="114"/>
      <c r="P640" s="114"/>
      <c r="Q640" s="114"/>
      <c r="R640" s="114"/>
      <c r="S640" s="114"/>
      <c r="T640" s="116"/>
      <c r="U640" s="116"/>
      <c r="V640" s="116"/>
      <c r="W640" s="209"/>
      <c r="X640" s="114"/>
      <c r="Y640" s="114"/>
      <c r="Z640" s="114"/>
      <c r="AA640" s="114"/>
      <c r="AB640" s="114"/>
      <c r="AC640" s="114"/>
      <c r="AD640" s="114"/>
      <c r="AE640" s="114"/>
      <c r="AF640" s="114"/>
      <c r="AG640" s="114"/>
      <c r="AH640" s="114"/>
    </row>
    <row r="641" spans="1:34" ht="24" customHeight="1" x14ac:dyDescent="0.6">
      <c r="A641" s="114"/>
      <c r="B641" s="114"/>
      <c r="C641" s="114"/>
      <c r="D641" s="114"/>
      <c r="E641" s="114"/>
      <c r="F641" s="115"/>
      <c r="G641" s="138"/>
      <c r="H641" s="114"/>
      <c r="I641" s="114"/>
      <c r="J641" s="114"/>
      <c r="K641" s="114"/>
      <c r="L641" s="114"/>
      <c r="M641" s="114"/>
      <c r="N641" s="114"/>
      <c r="O641" s="114"/>
      <c r="P641" s="114"/>
      <c r="Q641" s="114"/>
      <c r="R641" s="114"/>
      <c r="S641" s="114"/>
      <c r="T641" s="116"/>
      <c r="U641" s="116"/>
      <c r="V641" s="116"/>
      <c r="W641" s="209"/>
      <c r="X641" s="114"/>
      <c r="Y641" s="114"/>
      <c r="Z641" s="114"/>
      <c r="AA641" s="114"/>
      <c r="AB641" s="114"/>
      <c r="AC641" s="114"/>
      <c r="AD641" s="114"/>
      <c r="AE641" s="114"/>
      <c r="AF641" s="114"/>
      <c r="AG641" s="114"/>
      <c r="AH641" s="114"/>
    </row>
    <row r="642" spans="1:34" ht="24" customHeight="1" x14ac:dyDescent="0.6">
      <c r="A642" s="114"/>
      <c r="B642" s="114"/>
      <c r="C642" s="114"/>
      <c r="D642" s="114"/>
      <c r="E642" s="114"/>
      <c r="F642" s="115"/>
      <c r="G642" s="138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6"/>
      <c r="U642" s="116"/>
      <c r="V642" s="116"/>
      <c r="W642" s="209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  <c r="AH642" s="114"/>
    </row>
    <row r="643" spans="1:34" ht="24" customHeight="1" x14ac:dyDescent="0.6">
      <c r="A643" s="114"/>
      <c r="B643" s="114"/>
      <c r="C643" s="114"/>
      <c r="D643" s="114"/>
      <c r="E643" s="114"/>
      <c r="F643" s="115"/>
      <c r="G643" s="138"/>
      <c r="H643" s="114"/>
      <c r="I643" s="114"/>
      <c r="J643" s="114"/>
      <c r="K643" s="114"/>
      <c r="L643" s="114"/>
      <c r="M643" s="114"/>
      <c r="N643" s="114"/>
      <c r="O643" s="114"/>
      <c r="P643" s="114"/>
      <c r="Q643" s="114"/>
      <c r="R643" s="114"/>
      <c r="S643" s="114"/>
      <c r="T643" s="116"/>
      <c r="U643" s="116"/>
      <c r="V643" s="116"/>
      <c r="W643" s="209"/>
      <c r="X643" s="114"/>
      <c r="Y643" s="114"/>
      <c r="Z643" s="114"/>
      <c r="AA643" s="114"/>
      <c r="AB643" s="114"/>
      <c r="AC643" s="114"/>
      <c r="AD643" s="114"/>
      <c r="AE643" s="114"/>
      <c r="AF643" s="114"/>
      <c r="AG643" s="114"/>
      <c r="AH643" s="114"/>
    </row>
    <row r="644" spans="1:34" ht="24" customHeight="1" x14ac:dyDescent="0.6">
      <c r="A644" s="114"/>
      <c r="B644" s="114"/>
      <c r="C644" s="114"/>
      <c r="D644" s="114"/>
      <c r="E644" s="114"/>
      <c r="F644" s="115"/>
      <c r="G644" s="138"/>
      <c r="H644" s="114"/>
      <c r="I644" s="114"/>
      <c r="J644" s="114"/>
      <c r="K644" s="114"/>
      <c r="L644" s="114"/>
      <c r="M644" s="114"/>
      <c r="N644" s="114"/>
      <c r="O644" s="114"/>
      <c r="P644" s="114"/>
      <c r="Q644" s="114"/>
      <c r="R644" s="114"/>
      <c r="S644" s="114"/>
      <c r="T644" s="116"/>
      <c r="U644" s="116"/>
      <c r="V644" s="116"/>
      <c r="W644" s="209"/>
      <c r="X644" s="114"/>
      <c r="Y644" s="114"/>
      <c r="Z644" s="114"/>
      <c r="AA644" s="114"/>
      <c r="AB644" s="114"/>
      <c r="AC644" s="114"/>
      <c r="AD644" s="114"/>
      <c r="AE644" s="114"/>
      <c r="AF644" s="114"/>
      <c r="AG644" s="114"/>
      <c r="AH644" s="114"/>
    </row>
    <row r="645" spans="1:34" ht="24" customHeight="1" x14ac:dyDescent="0.6">
      <c r="A645" s="114"/>
      <c r="B645" s="114"/>
      <c r="C645" s="114"/>
      <c r="D645" s="114"/>
      <c r="E645" s="114"/>
      <c r="F645" s="115"/>
      <c r="G645" s="138"/>
      <c r="H645" s="114"/>
      <c r="I645" s="114"/>
      <c r="J645" s="114"/>
      <c r="K645" s="114"/>
      <c r="L645" s="114"/>
      <c r="M645" s="114"/>
      <c r="N645" s="114"/>
      <c r="O645" s="114"/>
      <c r="P645" s="114"/>
      <c r="Q645" s="114"/>
      <c r="R645" s="114"/>
      <c r="S645" s="114"/>
      <c r="T645" s="116"/>
      <c r="U645" s="116"/>
      <c r="V645" s="116"/>
      <c r="W645" s="209"/>
      <c r="X645" s="114"/>
      <c r="Y645" s="114"/>
      <c r="Z645" s="114"/>
      <c r="AA645" s="114"/>
      <c r="AB645" s="114"/>
      <c r="AC645" s="114"/>
      <c r="AD645" s="114"/>
      <c r="AE645" s="114"/>
      <c r="AF645" s="114"/>
      <c r="AG645" s="114"/>
      <c r="AH645" s="114"/>
    </row>
    <row r="646" spans="1:34" ht="24" customHeight="1" x14ac:dyDescent="0.6">
      <c r="A646" s="114"/>
      <c r="B646" s="114"/>
      <c r="C646" s="114"/>
      <c r="D646" s="114"/>
      <c r="E646" s="114"/>
      <c r="F646" s="115"/>
      <c r="G646" s="138"/>
      <c r="H646" s="114"/>
      <c r="I646" s="114"/>
      <c r="J646" s="114"/>
      <c r="K646" s="114"/>
      <c r="L646" s="114"/>
      <c r="M646" s="114"/>
      <c r="N646" s="114"/>
      <c r="O646" s="114"/>
      <c r="P646" s="114"/>
      <c r="Q646" s="114"/>
      <c r="R646" s="114"/>
      <c r="S646" s="114"/>
      <c r="T646" s="116"/>
      <c r="U646" s="116"/>
      <c r="V646" s="116"/>
      <c r="W646" s="209"/>
      <c r="X646" s="114"/>
      <c r="Y646" s="114"/>
      <c r="Z646" s="114"/>
      <c r="AA646" s="114"/>
      <c r="AB646" s="114"/>
      <c r="AC646" s="114"/>
      <c r="AD646" s="114"/>
      <c r="AE646" s="114"/>
      <c r="AF646" s="114"/>
      <c r="AG646" s="114"/>
      <c r="AH646" s="114"/>
    </row>
    <row r="647" spans="1:34" ht="24" customHeight="1" x14ac:dyDescent="0.6">
      <c r="A647" s="114"/>
      <c r="B647" s="114"/>
      <c r="C647" s="114"/>
      <c r="D647" s="114"/>
      <c r="E647" s="114"/>
      <c r="F647" s="115"/>
      <c r="G647" s="138"/>
      <c r="H647" s="114"/>
      <c r="I647" s="114"/>
      <c r="J647" s="114"/>
      <c r="K647" s="114"/>
      <c r="L647" s="114"/>
      <c r="M647" s="114"/>
      <c r="N647" s="114"/>
      <c r="O647" s="114"/>
      <c r="P647" s="114"/>
      <c r="Q647" s="114"/>
      <c r="R647" s="114"/>
      <c r="S647" s="114"/>
      <c r="T647" s="116"/>
      <c r="U647" s="116"/>
      <c r="V647" s="116"/>
      <c r="W647" s="209"/>
      <c r="X647" s="114"/>
      <c r="Y647" s="114"/>
      <c r="Z647" s="114"/>
      <c r="AA647" s="114"/>
      <c r="AB647" s="114"/>
      <c r="AC647" s="114"/>
      <c r="AD647" s="114"/>
      <c r="AE647" s="114"/>
      <c r="AF647" s="114"/>
      <c r="AG647" s="114"/>
      <c r="AH647" s="114"/>
    </row>
    <row r="648" spans="1:34" ht="24" customHeight="1" x14ac:dyDescent="0.6">
      <c r="A648" s="114"/>
      <c r="B648" s="114"/>
      <c r="C648" s="114"/>
      <c r="D648" s="114"/>
      <c r="E648" s="114"/>
      <c r="F648" s="115"/>
      <c r="G648" s="138"/>
      <c r="H648" s="114"/>
      <c r="I648" s="114"/>
      <c r="J648" s="114"/>
      <c r="K648" s="114"/>
      <c r="L648" s="114"/>
      <c r="M648" s="114"/>
      <c r="N648" s="114"/>
      <c r="O648" s="114"/>
      <c r="P648" s="114"/>
      <c r="Q648" s="114"/>
      <c r="R648" s="114"/>
      <c r="S648" s="114"/>
      <c r="T648" s="116"/>
      <c r="U648" s="116"/>
      <c r="V648" s="116"/>
      <c r="W648" s="209"/>
      <c r="X648" s="114"/>
      <c r="Y648" s="114"/>
      <c r="Z648" s="114"/>
      <c r="AA648" s="114"/>
      <c r="AB648" s="114"/>
      <c r="AC648" s="114"/>
      <c r="AD648" s="114"/>
      <c r="AE648" s="114"/>
      <c r="AF648" s="114"/>
      <c r="AG648" s="114"/>
      <c r="AH648" s="114"/>
    </row>
    <row r="649" spans="1:34" ht="24" customHeight="1" x14ac:dyDescent="0.6">
      <c r="A649" s="114"/>
      <c r="B649" s="114"/>
      <c r="C649" s="114"/>
      <c r="D649" s="114"/>
      <c r="E649" s="114"/>
      <c r="F649" s="115"/>
      <c r="G649" s="138"/>
      <c r="H649" s="114"/>
      <c r="I649" s="114"/>
      <c r="J649" s="114"/>
      <c r="K649" s="114"/>
      <c r="L649" s="114"/>
      <c r="M649" s="114"/>
      <c r="N649" s="114"/>
      <c r="O649" s="114"/>
      <c r="P649" s="114"/>
      <c r="Q649" s="114"/>
      <c r="R649" s="114"/>
      <c r="S649" s="114"/>
      <c r="T649" s="116"/>
      <c r="U649" s="116"/>
      <c r="V649" s="116"/>
      <c r="W649" s="209"/>
      <c r="X649" s="114"/>
      <c r="Y649" s="114"/>
      <c r="Z649" s="114"/>
      <c r="AA649" s="114"/>
      <c r="AB649" s="114"/>
      <c r="AC649" s="114"/>
      <c r="AD649" s="114"/>
      <c r="AE649" s="114"/>
      <c r="AF649" s="114"/>
      <c r="AG649" s="114"/>
      <c r="AH649" s="114"/>
    </row>
    <row r="650" spans="1:34" ht="24" customHeight="1" x14ac:dyDescent="0.6">
      <c r="A650" s="114"/>
      <c r="B650" s="114"/>
      <c r="C650" s="114"/>
      <c r="D650" s="114"/>
      <c r="E650" s="114"/>
      <c r="F650" s="115"/>
      <c r="G650" s="138"/>
      <c r="H650" s="114"/>
      <c r="I650" s="114"/>
      <c r="J650" s="114"/>
      <c r="K650" s="114"/>
      <c r="L650" s="114"/>
      <c r="M650" s="114"/>
      <c r="N650" s="114"/>
      <c r="O650" s="114"/>
      <c r="P650" s="114"/>
      <c r="Q650" s="114"/>
      <c r="R650" s="114"/>
      <c r="S650" s="114"/>
      <c r="T650" s="116"/>
      <c r="U650" s="116"/>
      <c r="V650" s="116"/>
      <c r="W650" s="209"/>
      <c r="X650" s="114"/>
      <c r="Y650" s="114"/>
      <c r="Z650" s="114"/>
      <c r="AA650" s="114"/>
      <c r="AB650" s="114"/>
      <c r="AC650" s="114"/>
      <c r="AD650" s="114"/>
      <c r="AE650" s="114"/>
      <c r="AF650" s="114"/>
      <c r="AG650" s="114"/>
      <c r="AH650" s="114"/>
    </row>
    <row r="651" spans="1:34" ht="24" customHeight="1" x14ac:dyDescent="0.6">
      <c r="A651" s="114"/>
      <c r="B651" s="114"/>
      <c r="C651" s="114"/>
      <c r="D651" s="114"/>
      <c r="E651" s="114"/>
      <c r="F651" s="115"/>
      <c r="G651" s="138"/>
      <c r="H651" s="114"/>
      <c r="I651" s="114"/>
      <c r="J651" s="114"/>
      <c r="K651" s="114"/>
      <c r="L651" s="114"/>
      <c r="M651" s="114"/>
      <c r="N651" s="114"/>
      <c r="O651" s="114"/>
      <c r="P651" s="114"/>
      <c r="Q651" s="114"/>
      <c r="R651" s="114"/>
      <c r="S651" s="114"/>
      <c r="T651" s="116"/>
      <c r="U651" s="116"/>
      <c r="V651" s="116"/>
      <c r="W651" s="209"/>
      <c r="X651" s="114"/>
      <c r="Y651" s="114"/>
      <c r="Z651" s="114"/>
      <c r="AA651" s="114"/>
      <c r="AB651" s="114"/>
      <c r="AC651" s="114"/>
      <c r="AD651" s="114"/>
      <c r="AE651" s="114"/>
      <c r="AF651" s="114"/>
      <c r="AG651" s="114"/>
      <c r="AH651" s="114"/>
    </row>
    <row r="652" spans="1:34" ht="24" customHeight="1" x14ac:dyDescent="0.6">
      <c r="A652" s="114"/>
      <c r="B652" s="114"/>
      <c r="C652" s="114"/>
      <c r="D652" s="114"/>
      <c r="E652" s="114"/>
      <c r="F652" s="115"/>
      <c r="G652" s="138"/>
      <c r="H652" s="114"/>
      <c r="I652" s="114"/>
      <c r="J652" s="114"/>
      <c r="K652" s="114"/>
      <c r="L652" s="114"/>
      <c r="M652" s="114"/>
      <c r="N652" s="114"/>
      <c r="O652" s="114"/>
      <c r="P652" s="114"/>
      <c r="Q652" s="114"/>
      <c r="R652" s="114"/>
      <c r="S652" s="114"/>
      <c r="T652" s="116"/>
      <c r="U652" s="116"/>
      <c r="V652" s="116"/>
      <c r="W652" s="209"/>
      <c r="X652" s="114"/>
      <c r="Y652" s="114"/>
      <c r="Z652" s="114"/>
      <c r="AA652" s="114"/>
      <c r="AB652" s="114"/>
      <c r="AC652" s="114"/>
      <c r="AD652" s="114"/>
      <c r="AE652" s="114"/>
      <c r="AF652" s="114"/>
      <c r="AG652" s="114"/>
      <c r="AH652" s="114"/>
    </row>
    <row r="653" spans="1:34" ht="24" customHeight="1" x14ac:dyDescent="0.6">
      <c r="A653" s="114"/>
      <c r="B653" s="114"/>
      <c r="C653" s="114"/>
      <c r="D653" s="114"/>
      <c r="E653" s="114"/>
      <c r="F653" s="115"/>
      <c r="G653" s="138"/>
      <c r="H653" s="114"/>
      <c r="I653" s="114"/>
      <c r="J653" s="114"/>
      <c r="K653" s="114"/>
      <c r="L653" s="114"/>
      <c r="M653" s="114"/>
      <c r="N653" s="114"/>
      <c r="O653" s="114"/>
      <c r="P653" s="114"/>
      <c r="Q653" s="114"/>
      <c r="R653" s="114"/>
      <c r="S653" s="114"/>
      <c r="T653" s="116"/>
      <c r="U653" s="116"/>
      <c r="V653" s="116"/>
      <c r="W653" s="209"/>
      <c r="X653" s="114"/>
      <c r="Y653" s="114"/>
      <c r="Z653" s="114"/>
      <c r="AA653" s="114"/>
      <c r="AB653" s="114"/>
      <c r="AC653" s="114"/>
      <c r="AD653" s="114"/>
      <c r="AE653" s="114"/>
      <c r="AF653" s="114"/>
      <c r="AG653" s="114"/>
      <c r="AH653" s="114"/>
    </row>
    <row r="654" spans="1:34" ht="24" customHeight="1" x14ac:dyDescent="0.6">
      <c r="A654" s="114"/>
      <c r="B654" s="114"/>
      <c r="C654" s="114"/>
      <c r="D654" s="114"/>
      <c r="E654" s="114"/>
      <c r="F654" s="115"/>
      <c r="G654" s="138"/>
      <c r="H654" s="114"/>
      <c r="I654" s="114"/>
      <c r="J654" s="114"/>
      <c r="K654" s="114"/>
      <c r="L654" s="114"/>
      <c r="M654" s="114"/>
      <c r="N654" s="114"/>
      <c r="O654" s="114"/>
      <c r="P654" s="114"/>
      <c r="Q654" s="114"/>
      <c r="R654" s="114"/>
      <c r="S654" s="114"/>
      <c r="T654" s="116"/>
      <c r="U654" s="116"/>
      <c r="V654" s="116"/>
      <c r="W654" s="209"/>
      <c r="X654" s="114"/>
      <c r="Y654" s="114"/>
      <c r="Z654" s="114"/>
      <c r="AA654" s="114"/>
      <c r="AB654" s="114"/>
      <c r="AC654" s="114"/>
      <c r="AD654" s="114"/>
      <c r="AE654" s="114"/>
      <c r="AF654" s="114"/>
      <c r="AG654" s="114"/>
      <c r="AH654" s="114"/>
    </row>
    <row r="655" spans="1:34" ht="24" customHeight="1" x14ac:dyDescent="0.6">
      <c r="A655" s="114"/>
      <c r="B655" s="114"/>
      <c r="C655" s="114"/>
      <c r="D655" s="114"/>
      <c r="E655" s="114"/>
      <c r="F655" s="115"/>
      <c r="G655" s="138"/>
      <c r="H655" s="114"/>
      <c r="I655" s="114"/>
      <c r="J655" s="114"/>
      <c r="K655" s="114"/>
      <c r="L655" s="114"/>
      <c r="M655" s="114"/>
      <c r="N655" s="114"/>
      <c r="O655" s="114"/>
      <c r="P655" s="114"/>
      <c r="Q655" s="114"/>
      <c r="R655" s="114"/>
      <c r="S655" s="114"/>
      <c r="T655" s="116"/>
      <c r="U655" s="116"/>
      <c r="V655" s="116"/>
      <c r="W655" s="209"/>
      <c r="X655" s="114"/>
      <c r="Y655" s="114"/>
      <c r="Z655" s="114"/>
      <c r="AA655" s="114"/>
      <c r="AB655" s="114"/>
      <c r="AC655" s="114"/>
      <c r="AD655" s="114"/>
      <c r="AE655" s="114"/>
      <c r="AF655" s="114"/>
      <c r="AG655" s="114"/>
      <c r="AH655" s="114"/>
    </row>
    <row r="656" spans="1:34" ht="24" customHeight="1" x14ac:dyDescent="0.6">
      <c r="A656" s="114"/>
      <c r="B656" s="114"/>
      <c r="C656" s="114"/>
      <c r="D656" s="114"/>
      <c r="E656" s="114"/>
      <c r="F656" s="115"/>
      <c r="G656" s="138"/>
      <c r="H656" s="114"/>
      <c r="I656" s="114"/>
      <c r="J656" s="114"/>
      <c r="K656" s="114"/>
      <c r="L656" s="114"/>
      <c r="M656" s="114"/>
      <c r="N656" s="114"/>
      <c r="O656" s="114"/>
      <c r="P656" s="114"/>
      <c r="Q656" s="114"/>
      <c r="R656" s="114"/>
      <c r="S656" s="114"/>
      <c r="T656" s="116"/>
      <c r="U656" s="116"/>
      <c r="V656" s="116"/>
      <c r="W656" s="209"/>
      <c r="X656" s="114"/>
      <c r="Y656" s="114"/>
      <c r="Z656" s="114"/>
      <c r="AA656" s="114"/>
      <c r="AB656" s="114"/>
      <c r="AC656" s="114"/>
      <c r="AD656" s="114"/>
      <c r="AE656" s="114"/>
      <c r="AF656" s="114"/>
      <c r="AG656" s="114"/>
      <c r="AH656" s="114"/>
    </row>
    <row r="657" spans="1:34" ht="24" customHeight="1" x14ac:dyDescent="0.6">
      <c r="A657" s="114"/>
      <c r="B657" s="114"/>
      <c r="C657" s="114"/>
      <c r="D657" s="114"/>
      <c r="E657" s="114"/>
      <c r="F657" s="115"/>
      <c r="G657" s="138"/>
      <c r="H657" s="114"/>
      <c r="I657" s="114"/>
      <c r="J657" s="114"/>
      <c r="K657" s="114"/>
      <c r="L657" s="114"/>
      <c r="M657" s="114"/>
      <c r="N657" s="114"/>
      <c r="O657" s="114"/>
      <c r="P657" s="114"/>
      <c r="Q657" s="114"/>
      <c r="R657" s="114"/>
      <c r="S657" s="114"/>
      <c r="T657" s="116"/>
      <c r="U657" s="116"/>
      <c r="V657" s="116"/>
      <c r="W657" s="209"/>
      <c r="X657" s="114"/>
      <c r="Y657" s="114"/>
      <c r="Z657" s="114"/>
      <c r="AA657" s="114"/>
      <c r="AB657" s="114"/>
      <c r="AC657" s="114"/>
      <c r="AD657" s="114"/>
      <c r="AE657" s="114"/>
      <c r="AF657" s="114"/>
      <c r="AG657" s="114"/>
      <c r="AH657" s="114"/>
    </row>
    <row r="658" spans="1:34" ht="24" customHeight="1" x14ac:dyDescent="0.6">
      <c r="A658" s="114"/>
      <c r="B658" s="114"/>
      <c r="C658" s="114"/>
      <c r="D658" s="114"/>
      <c r="E658" s="114"/>
      <c r="F658" s="115"/>
      <c r="G658" s="138"/>
      <c r="H658" s="114"/>
      <c r="I658" s="114"/>
      <c r="J658" s="114"/>
      <c r="K658" s="114"/>
      <c r="L658" s="114"/>
      <c r="M658" s="114"/>
      <c r="N658" s="114"/>
      <c r="O658" s="114"/>
      <c r="P658" s="114"/>
      <c r="Q658" s="114"/>
      <c r="R658" s="114"/>
      <c r="S658" s="114"/>
      <c r="T658" s="116"/>
      <c r="U658" s="116"/>
      <c r="V658" s="116"/>
      <c r="W658" s="209"/>
      <c r="X658" s="114"/>
      <c r="Y658" s="114"/>
      <c r="Z658" s="114"/>
      <c r="AA658" s="114"/>
      <c r="AB658" s="114"/>
      <c r="AC658" s="114"/>
      <c r="AD658" s="114"/>
      <c r="AE658" s="114"/>
      <c r="AF658" s="114"/>
      <c r="AG658" s="114"/>
      <c r="AH658" s="114"/>
    </row>
    <row r="659" spans="1:34" ht="24" customHeight="1" x14ac:dyDescent="0.6">
      <c r="A659" s="114"/>
      <c r="B659" s="114"/>
      <c r="C659" s="114"/>
      <c r="D659" s="114"/>
      <c r="E659" s="114"/>
      <c r="F659" s="115"/>
      <c r="G659" s="138"/>
      <c r="H659" s="114"/>
      <c r="I659" s="114"/>
      <c r="J659" s="114"/>
      <c r="K659" s="114"/>
      <c r="L659" s="114"/>
      <c r="M659" s="114"/>
      <c r="N659" s="114"/>
      <c r="O659" s="114"/>
      <c r="P659" s="114"/>
      <c r="Q659" s="114"/>
      <c r="R659" s="114"/>
      <c r="S659" s="114"/>
      <c r="T659" s="116"/>
      <c r="U659" s="116"/>
      <c r="V659" s="116"/>
      <c r="W659" s="209"/>
      <c r="X659" s="114"/>
      <c r="Y659" s="114"/>
      <c r="Z659" s="114"/>
      <c r="AA659" s="114"/>
      <c r="AB659" s="114"/>
      <c r="AC659" s="114"/>
      <c r="AD659" s="114"/>
      <c r="AE659" s="114"/>
      <c r="AF659" s="114"/>
      <c r="AG659" s="114"/>
      <c r="AH659" s="114"/>
    </row>
    <row r="660" spans="1:34" ht="24" customHeight="1" x14ac:dyDescent="0.6">
      <c r="A660" s="114"/>
      <c r="B660" s="114"/>
      <c r="C660" s="114"/>
      <c r="D660" s="114"/>
      <c r="E660" s="114"/>
      <c r="F660" s="115"/>
      <c r="G660" s="138"/>
      <c r="H660" s="114"/>
      <c r="I660" s="114"/>
      <c r="J660" s="114"/>
      <c r="K660" s="114"/>
      <c r="L660" s="114"/>
      <c r="M660" s="114"/>
      <c r="N660" s="114"/>
      <c r="O660" s="114"/>
      <c r="P660" s="114"/>
      <c r="Q660" s="114"/>
      <c r="R660" s="114"/>
      <c r="S660" s="114"/>
      <c r="T660" s="116"/>
      <c r="U660" s="116"/>
      <c r="V660" s="116"/>
      <c r="W660" s="209"/>
      <c r="X660" s="114"/>
      <c r="Y660" s="114"/>
      <c r="Z660" s="114"/>
      <c r="AA660" s="114"/>
      <c r="AB660" s="114"/>
      <c r="AC660" s="114"/>
      <c r="AD660" s="114"/>
      <c r="AE660" s="114"/>
      <c r="AF660" s="114"/>
      <c r="AG660" s="114"/>
      <c r="AH660" s="114"/>
    </row>
    <row r="661" spans="1:34" ht="24" customHeight="1" x14ac:dyDescent="0.6">
      <c r="A661" s="114"/>
      <c r="B661" s="114"/>
      <c r="C661" s="114"/>
      <c r="D661" s="114"/>
      <c r="E661" s="114"/>
      <c r="F661" s="115"/>
      <c r="G661" s="138"/>
      <c r="H661" s="114"/>
      <c r="I661" s="114"/>
      <c r="J661" s="114"/>
      <c r="K661" s="114"/>
      <c r="L661" s="114"/>
      <c r="M661" s="114"/>
      <c r="N661" s="114"/>
      <c r="O661" s="114"/>
      <c r="P661" s="114"/>
      <c r="Q661" s="114"/>
      <c r="R661" s="114"/>
      <c r="S661" s="114"/>
      <c r="T661" s="116"/>
      <c r="U661" s="116"/>
      <c r="V661" s="116"/>
      <c r="W661" s="209"/>
      <c r="X661" s="114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</row>
    <row r="662" spans="1:34" ht="24" customHeight="1" x14ac:dyDescent="0.6">
      <c r="A662" s="114"/>
      <c r="B662" s="114"/>
      <c r="C662" s="114"/>
      <c r="D662" s="114"/>
      <c r="E662" s="114"/>
      <c r="F662" s="115"/>
      <c r="G662" s="138"/>
      <c r="H662" s="114"/>
      <c r="I662" s="114"/>
      <c r="J662" s="114"/>
      <c r="K662" s="114"/>
      <c r="L662" s="114"/>
      <c r="M662" s="114"/>
      <c r="N662" s="114"/>
      <c r="O662" s="114"/>
      <c r="P662" s="114"/>
      <c r="Q662" s="114"/>
      <c r="R662" s="114"/>
      <c r="S662" s="114"/>
      <c r="T662" s="116"/>
      <c r="U662" s="116"/>
      <c r="V662" s="116"/>
      <c r="W662" s="209"/>
      <c r="X662" s="114"/>
      <c r="Y662" s="114"/>
      <c r="Z662" s="114"/>
      <c r="AA662" s="114"/>
      <c r="AB662" s="114"/>
      <c r="AC662" s="114"/>
      <c r="AD662" s="114"/>
      <c r="AE662" s="114"/>
      <c r="AF662" s="114"/>
      <c r="AG662" s="114"/>
      <c r="AH662" s="114"/>
    </row>
    <row r="663" spans="1:34" ht="24" customHeight="1" x14ac:dyDescent="0.6">
      <c r="A663" s="114"/>
      <c r="B663" s="114"/>
      <c r="C663" s="114"/>
      <c r="D663" s="114"/>
      <c r="E663" s="114"/>
      <c r="F663" s="115"/>
      <c r="G663" s="138"/>
      <c r="H663" s="114"/>
      <c r="I663" s="114"/>
      <c r="J663" s="114"/>
      <c r="K663" s="114"/>
      <c r="L663" s="114"/>
      <c r="M663" s="114"/>
      <c r="N663" s="114"/>
      <c r="O663" s="114"/>
      <c r="P663" s="114"/>
      <c r="Q663" s="114"/>
      <c r="R663" s="114"/>
      <c r="S663" s="114"/>
      <c r="T663" s="116"/>
      <c r="U663" s="116"/>
      <c r="V663" s="116"/>
      <c r="W663" s="209"/>
      <c r="X663" s="114"/>
      <c r="Y663" s="114"/>
      <c r="Z663" s="114"/>
      <c r="AA663" s="114"/>
      <c r="AB663" s="114"/>
      <c r="AC663" s="114"/>
      <c r="AD663" s="114"/>
      <c r="AE663" s="114"/>
      <c r="AF663" s="114"/>
      <c r="AG663" s="114"/>
      <c r="AH663" s="114"/>
    </row>
    <row r="664" spans="1:34" ht="24" customHeight="1" x14ac:dyDescent="0.6">
      <c r="A664" s="114"/>
      <c r="B664" s="114"/>
      <c r="C664" s="114"/>
      <c r="D664" s="114"/>
      <c r="E664" s="114"/>
      <c r="F664" s="115"/>
      <c r="G664" s="138"/>
      <c r="H664" s="114"/>
      <c r="I664" s="114"/>
      <c r="J664" s="114"/>
      <c r="K664" s="114"/>
      <c r="L664" s="114"/>
      <c r="M664" s="114"/>
      <c r="N664" s="114"/>
      <c r="O664" s="114"/>
      <c r="P664" s="114"/>
      <c r="Q664" s="114"/>
      <c r="R664" s="114"/>
      <c r="S664" s="114"/>
      <c r="T664" s="116"/>
      <c r="U664" s="116"/>
      <c r="V664" s="116"/>
      <c r="W664" s="209"/>
      <c r="X664" s="114"/>
      <c r="Y664" s="114"/>
      <c r="Z664" s="114"/>
      <c r="AA664" s="114"/>
      <c r="AB664" s="114"/>
      <c r="AC664" s="114"/>
      <c r="AD664" s="114"/>
      <c r="AE664" s="114"/>
      <c r="AF664" s="114"/>
      <c r="AG664" s="114"/>
      <c r="AH664" s="114"/>
    </row>
    <row r="665" spans="1:34" ht="24" customHeight="1" x14ac:dyDescent="0.6">
      <c r="A665" s="114"/>
      <c r="B665" s="114"/>
      <c r="C665" s="114"/>
      <c r="D665" s="114"/>
      <c r="E665" s="114"/>
      <c r="F665" s="115"/>
      <c r="G665" s="138"/>
      <c r="H665" s="114"/>
      <c r="I665" s="114"/>
      <c r="J665" s="114"/>
      <c r="K665" s="114"/>
      <c r="L665" s="114"/>
      <c r="M665" s="114"/>
      <c r="N665" s="114"/>
      <c r="O665" s="114"/>
      <c r="P665" s="114"/>
      <c r="Q665" s="114"/>
      <c r="R665" s="114"/>
      <c r="S665" s="114"/>
      <c r="T665" s="116"/>
      <c r="U665" s="116"/>
      <c r="V665" s="116"/>
      <c r="W665" s="209"/>
      <c r="X665" s="114"/>
      <c r="Y665" s="114"/>
      <c r="Z665" s="114"/>
      <c r="AA665" s="114"/>
      <c r="AB665" s="114"/>
      <c r="AC665" s="114"/>
      <c r="AD665" s="114"/>
      <c r="AE665" s="114"/>
      <c r="AF665" s="114"/>
      <c r="AG665" s="114"/>
      <c r="AH665" s="114"/>
    </row>
    <row r="666" spans="1:34" ht="24" customHeight="1" x14ac:dyDescent="0.6">
      <c r="A666" s="114"/>
      <c r="B666" s="114"/>
      <c r="C666" s="114"/>
      <c r="D666" s="114"/>
      <c r="E666" s="114"/>
      <c r="F666" s="115"/>
      <c r="G666" s="138"/>
      <c r="H666" s="114"/>
      <c r="I666" s="114"/>
      <c r="J666" s="114"/>
      <c r="K666" s="114"/>
      <c r="L666" s="114"/>
      <c r="M666" s="114"/>
      <c r="N666" s="114"/>
      <c r="O666" s="114"/>
      <c r="P666" s="114"/>
      <c r="Q666" s="114"/>
      <c r="R666" s="114"/>
      <c r="S666" s="114"/>
      <c r="T666" s="116"/>
      <c r="U666" s="116"/>
      <c r="V666" s="116"/>
      <c r="W666" s="209"/>
      <c r="X666" s="114"/>
      <c r="Y666" s="114"/>
      <c r="Z666" s="114"/>
      <c r="AA666" s="114"/>
      <c r="AB666" s="114"/>
      <c r="AC666" s="114"/>
      <c r="AD666" s="114"/>
      <c r="AE666" s="114"/>
      <c r="AF666" s="114"/>
      <c r="AG666" s="114"/>
      <c r="AH666" s="114"/>
    </row>
    <row r="667" spans="1:34" ht="24" customHeight="1" x14ac:dyDescent="0.6">
      <c r="A667" s="114"/>
      <c r="B667" s="114"/>
      <c r="C667" s="114"/>
      <c r="D667" s="114"/>
      <c r="E667" s="114"/>
      <c r="F667" s="115"/>
      <c r="G667" s="138"/>
      <c r="H667" s="114"/>
      <c r="I667" s="114"/>
      <c r="J667" s="114"/>
      <c r="K667" s="114"/>
      <c r="L667" s="114"/>
      <c r="M667" s="114"/>
      <c r="N667" s="114"/>
      <c r="O667" s="114"/>
      <c r="P667" s="114"/>
      <c r="Q667" s="114"/>
      <c r="R667" s="114"/>
      <c r="S667" s="114"/>
      <c r="T667" s="116"/>
      <c r="U667" s="116"/>
      <c r="V667" s="116"/>
      <c r="W667" s="209"/>
      <c r="X667" s="114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</row>
    <row r="668" spans="1:34" ht="24" customHeight="1" x14ac:dyDescent="0.6">
      <c r="A668" s="114"/>
      <c r="B668" s="114"/>
      <c r="C668" s="114"/>
      <c r="D668" s="114"/>
      <c r="E668" s="114"/>
      <c r="F668" s="115"/>
      <c r="G668" s="138"/>
      <c r="H668" s="114"/>
      <c r="I668" s="114"/>
      <c r="J668" s="114"/>
      <c r="K668" s="114"/>
      <c r="L668" s="114"/>
      <c r="M668" s="114"/>
      <c r="N668" s="114"/>
      <c r="O668" s="114"/>
      <c r="P668" s="114"/>
      <c r="Q668" s="114"/>
      <c r="R668" s="114"/>
      <c r="S668" s="114"/>
      <c r="T668" s="116"/>
      <c r="U668" s="116"/>
      <c r="V668" s="116"/>
      <c r="W668" s="209"/>
      <c r="X668" s="114"/>
      <c r="Y668" s="114"/>
      <c r="Z668" s="114"/>
      <c r="AA668" s="114"/>
      <c r="AB668" s="114"/>
      <c r="AC668" s="114"/>
      <c r="AD668" s="114"/>
      <c r="AE668" s="114"/>
      <c r="AF668" s="114"/>
      <c r="AG668" s="114"/>
      <c r="AH668" s="114"/>
    </row>
    <row r="669" spans="1:34" ht="24" customHeight="1" x14ac:dyDescent="0.6">
      <c r="A669" s="114"/>
      <c r="B669" s="114"/>
      <c r="C669" s="114"/>
      <c r="D669" s="114"/>
      <c r="E669" s="114"/>
      <c r="F669" s="115"/>
      <c r="G669" s="138"/>
      <c r="H669" s="114"/>
      <c r="I669" s="114"/>
      <c r="J669" s="114"/>
      <c r="K669" s="114"/>
      <c r="L669" s="114"/>
      <c r="M669" s="114"/>
      <c r="N669" s="114"/>
      <c r="O669" s="114"/>
      <c r="P669" s="114"/>
      <c r="Q669" s="114"/>
      <c r="R669" s="114"/>
      <c r="S669" s="114"/>
      <c r="T669" s="116"/>
      <c r="U669" s="116"/>
      <c r="V669" s="116"/>
      <c r="W669" s="209"/>
      <c r="X669" s="114"/>
      <c r="Y669" s="114"/>
      <c r="Z669" s="114"/>
      <c r="AA669" s="114"/>
      <c r="AB669" s="114"/>
      <c r="AC669" s="114"/>
      <c r="AD669" s="114"/>
      <c r="AE669" s="114"/>
      <c r="AF669" s="114"/>
      <c r="AG669" s="114"/>
      <c r="AH669" s="114"/>
    </row>
    <row r="670" spans="1:34" ht="24" customHeight="1" x14ac:dyDescent="0.6">
      <c r="A670" s="114"/>
      <c r="B670" s="114"/>
      <c r="C670" s="114"/>
      <c r="D670" s="114"/>
      <c r="E670" s="114"/>
      <c r="F670" s="115"/>
      <c r="G670" s="138"/>
      <c r="H670" s="114"/>
      <c r="I670" s="114"/>
      <c r="J670" s="114"/>
      <c r="K670" s="114"/>
      <c r="L670" s="114"/>
      <c r="M670" s="114"/>
      <c r="N670" s="114"/>
      <c r="O670" s="114"/>
      <c r="P670" s="114"/>
      <c r="Q670" s="114"/>
      <c r="R670" s="114"/>
      <c r="S670" s="114"/>
      <c r="T670" s="116"/>
      <c r="U670" s="116"/>
      <c r="V670" s="116"/>
      <c r="W670" s="209"/>
      <c r="X670" s="114"/>
      <c r="Y670" s="114"/>
      <c r="Z670" s="114"/>
      <c r="AA670" s="114"/>
      <c r="AB670" s="114"/>
      <c r="AC670" s="114"/>
      <c r="AD670" s="114"/>
      <c r="AE670" s="114"/>
      <c r="AF670" s="114"/>
      <c r="AG670" s="114"/>
      <c r="AH670" s="114"/>
    </row>
    <row r="671" spans="1:34" ht="24" customHeight="1" x14ac:dyDescent="0.6">
      <c r="A671" s="114"/>
      <c r="B671" s="114"/>
      <c r="C671" s="114"/>
      <c r="D671" s="114"/>
      <c r="E671" s="114"/>
      <c r="F671" s="115"/>
      <c r="G671" s="138"/>
      <c r="H671" s="114"/>
      <c r="I671" s="114"/>
      <c r="J671" s="114"/>
      <c r="K671" s="114"/>
      <c r="L671" s="114"/>
      <c r="M671" s="114"/>
      <c r="N671" s="114"/>
      <c r="O671" s="114"/>
      <c r="P671" s="114"/>
      <c r="Q671" s="114"/>
      <c r="R671" s="114"/>
      <c r="S671" s="114"/>
      <c r="T671" s="116"/>
      <c r="U671" s="116"/>
      <c r="V671" s="116"/>
      <c r="W671" s="209"/>
      <c r="X671" s="114"/>
      <c r="Y671" s="114"/>
      <c r="Z671" s="114"/>
      <c r="AA671" s="114"/>
      <c r="AB671" s="114"/>
      <c r="AC671" s="114"/>
      <c r="AD671" s="114"/>
      <c r="AE671" s="114"/>
      <c r="AF671" s="114"/>
      <c r="AG671" s="114"/>
      <c r="AH671" s="114"/>
    </row>
    <row r="672" spans="1:34" ht="24" customHeight="1" x14ac:dyDescent="0.6">
      <c r="A672" s="114"/>
      <c r="B672" s="114"/>
      <c r="C672" s="114"/>
      <c r="D672" s="114"/>
      <c r="E672" s="114"/>
      <c r="F672" s="115"/>
      <c r="G672" s="138"/>
      <c r="H672" s="114"/>
      <c r="I672" s="114"/>
      <c r="J672" s="114"/>
      <c r="K672" s="114"/>
      <c r="L672" s="114"/>
      <c r="M672" s="114"/>
      <c r="N672" s="114"/>
      <c r="O672" s="114"/>
      <c r="P672" s="114"/>
      <c r="Q672" s="114"/>
      <c r="R672" s="114"/>
      <c r="S672" s="114"/>
      <c r="T672" s="116"/>
      <c r="U672" s="116"/>
      <c r="V672" s="116"/>
      <c r="W672" s="209"/>
      <c r="X672" s="114"/>
      <c r="Y672" s="114"/>
      <c r="Z672" s="114"/>
      <c r="AA672" s="114"/>
      <c r="AB672" s="114"/>
      <c r="AC672" s="114"/>
      <c r="AD672" s="114"/>
      <c r="AE672" s="114"/>
      <c r="AF672" s="114"/>
      <c r="AG672" s="114"/>
      <c r="AH672" s="114"/>
    </row>
    <row r="673" spans="1:34" ht="24" customHeight="1" x14ac:dyDescent="0.6">
      <c r="A673" s="114"/>
      <c r="B673" s="114"/>
      <c r="C673" s="114"/>
      <c r="D673" s="114"/>
      <c r="E673" s="114"/>
      <c r="F673" s="115"/>
      <c r="G673" s="138"/>
      <c r="H673" s="114"/>
      <c r="I673" s="114"/>
      <c r="J673" s="114"/>
      <c r="K673" s="114"/>
      <c r="L673" s="114"/>
      <c r="M673" s="114"/>
      <c r="N673" s="114"/>
      <c r="O673" s="114"/>
      <c r="P673" s="114"/>
      <c r="Q673" s="114"/>
      <c r="R673" s="114"/>
      <c r="S673" s="114"/>
      <c r="T673" s="116"/>
      <c r="U673" s="116"/>
      <c r="V673" s="116"/>
      <c r="W673" s="209"/>
      <c r="X673" s="114"/>
      <c r="Y673" s="114"/>
      <c r="Z673" s="114"/>
      <c r="AA673" s="114"/>
      <c r="AB673" s="114"/>
      <c r="AC673" s="114"/>
      <c r="AD673" s="114"/>
      <c r="AE673" s="114"/>
      <c r="AF673" s="114"/>
      <c r="AG673" s="114"/>
      <c r="AH673" s="114"/>
    </row>
    <row r="674" spans="1:34" ht="24" customHeight="1" x14ac:dyDescent="0.6">
      <c r="A674" s="114"/>
      <c r="B674" s="114"/>
      <c r="C674" s="114"/>
      <c r="D674" s="114"/>
      <c r="E674" s="114"/>
      <c r="F674" s="115"/>
      <c r="G674" s="138"/>
      <c r="H674" s="114"/>
      <c r="I674" s="114"/>
      <c r="J674" s="114"/>
      <c r="K674" s="114"/>
      <c r="L674" s="114"/>
      <c r="M674" s="114"/>
      <c r="N674" s="114"/>
      <c r="O674" s="114"/>
      <c r="P674" s="114"/>
      <c r="Q674" s="114"/>
      <c r="R674" s="114"/>
      <c r="S674" s="114"/>
      <c r="T674" s="116"/>
      <c r="U674" s="116"/>
      <c r="V674" s="116"/>
      <c r="W674" s="209"/>
      <c r="X674" s="114"/>
      <c r="Y674" s="114"/>
      <c r="Z674" s="114"/>
      <c r="AA674" s="114"/>
      <c r="AB674" s="114"/>
      <c r="AC674" s="114"/>
      <c r="AD674" s="114"/>
      <c r="AE674" s="114"/>
      <c r="AF674" s="114"/>
      <c r="AG674" s="114"/>
      <c r="AH674" s="114"/>
    </row>
    <row r="675" spans="1:34" ht="24" customHeight="1" x14ac:dyDescent="0.6">
      <c r="A675" s="114"/>
      <c r="B675" s="114"/>
      <c r="C675" s="114"/>
      <c r="D675" s="114"/>
      <c r="E675" s="114"/>
      <c r="F675" s="115"/>
      <c r="G675" s="138"/>
      <c r="H675" s="114"/>
      <c r="I675" s="114"/>
      <c r="J675" s="114"/>
      <c r="K675" s="114"/>
      <c r="L675" s="114"/>
      <c r="M675" s="114"/>
      <c r="N675" s="114"/>
      <c r="O675" s="114"/>
      <c r="P675" s="114"/>
      <c r="Q675" s="114"/>
      <c r="R675" s="114"/>
      <c r="S675" s="114"/>
      <c r="T675" s="116"/>
      <c r="U675" s="116"/>
      <c r="V675" s="116"/>
      <c r="W675" s="209"/>
      <c r="X675" s="114"/>
      <c r="Y675" s="114"/>
      <c r="Z675" s="114"/>
      <c r="AA675" s="114"/>
      <c r="AB675" s="114"/>
      <c r="AC675" s="114"/>
      <c r="AD675" s="114"/>
      <c r="AE675" s="114"/>
      <c r="AF675" s="114"/>
      <c r="AG675" s="114"/>
      <c r="AH675" s="114"/>
    </row>
    <row r="676" spans="1:34" ht="24" customHeight="1" x14ac:dyDescent="0.6">
      <c r="A676" s="114"/>
      <c r="B676" s="114"/>
      <c r="C676" s="114"/>
      <c r="D676" s="114"/>
      <c r="E676" s="114"/>
      <c r="F676" s="115"/>
      <c r="G676" s="138"/>
      <c r="H676" s="114"/>
      <c r="I676" s="114"/>
      <c r="J676" s="114"/>
      <c r="K676" s="114"/>
      <c r="L676" s="114"/>
      <c r="M676" s="114"/>
      <c r="N676" s="114"/>
      <c r="O676" s="114"/>
      <c r="P676" s="114"/>
      <c r="Q676" s="114"/>
      <c r="R676" s="114"/>
      <c r="S676" s="114"/>
      <c r="T676" s="116"/>
      <c r="U676" s="116"/>
      <c r="V676" s="116"/>
      <c r="W676" s="209"/>
      <c r="X676" s="114"/>
      <c r="Y676" s="114"/>
      <c r="Z676" s="114"/>
      <c r="AA676" s="114"/>
      <c r="AB676" s="114"/>
      <c r="AC676" s="114"/>
      <c r="AD676" s="114"/>
      <c r="AE676" s="114"/>
      <c r="AF676" s="114"/>
      <c r="AG676" s="114"/>
      <c r="AH676" s="114"/>
    </row>
    <row r="677" spans="1:34" ht="24" customHeight="1" x14ac:dyDescent="0.6">
      <c r="A677" s="114"/>
      <c r="B677" s="114"/>
      <c r="C677" s="114"/>
      <c r="D677" s="114"/>
      <c r="E677" s="114"/>
      <c r="F677" s="115"/>
      <c r="G677" s="138"/>
      <c r="H677" s="114"/>
      <c r="I677" s="114"/>
      <c r="J677" s="114"/>
      <c r="K677" s="114"/>
      <c r="L677" s="114"/>
      <c r="M677" s="114"/>
      <c r="N677" s="114"/>
      <c r="O677" s="114"/>
      <c r="P677" s="114"/>
      <c r="Q677" s="114"/>
      <c r="R677" s="114"/>
      <c r="S677" s="114"/>
      <c r="T677" s="116"/>
      <c r="U677" s="116"/>
      <c r="V677" s="116"/>
      <c r="W677" s="209"/>
      <c r="X677" s="114"/>
      <c r="Y677" s="114"/>
      <c r="Z677" s="114"/>
      <c r="AA677" s="114"/>
      <c r="AB677" s="114"/>
      <c r="AC677" s="114"/>
      <c r="AD677" s="114"/>
      <c r="AE677" s="114"/>
      <c r="AF677" s="114"/>
      <c r="AG677" s="114"/>
      <c r="AH677" s="114"/>
    </row>
    <row r="678" spans="1:34" ht="24" customHeight="1" x14ac:dyDescent="0.6">
      <c r="A678" s="114"/>
      <c r="B678" s="114"/>
      <c r="C678" s="114"/>
      <c r="D678" s="114"/>
      <c r="E678" s="114"/>
      <c r="F678" s="115"/>
      <c r="G678" s="138"/>
      <c r="H678" s="114"/>
      <c r="I678" s="114"/>
      <c r="J678" s="114"/>
      <c r="K678" s="114"/>
      <c r="L678" s="114"/>
      <c r="M678" s="114"/>
      <c r="N678" s="114"/>
      <c r="O678" s="114"/>
      <c r="P678" s="114"/>
      <c r="Q678" s="114"/>
      <c r="R678" s="114"/>
      <c r="S678" s="114"/>
      <c r="T678" s="116"/>
      <c r="U678" s="116"/>
      <c r="V678" s="116"/>
      <c r="W678" s="209"/>
      <c r="X678" s="114"/>
      <c r="Y678" s="114"/>
      <c r="Z678" s="114"/>
      <c r="AA678" s="114"/>
      <c r="AB678" s="114"/>
      <c r="AC678" s="114"/>
      <c r="AD678" s="114"/>
      <c r="AE678" s="114"/>
      <c r="AF678" s="114"/>
      <c r="AG678" s="114"/>
      <c r="AH678" s="114"/>
    </row>
    <row r="679" spans="1:34" ht="24" customHeight="1" x14ac:dyDescent="0.6">
      <c r="A679" s="114"/>
      <c r="B679" s="114"/>
      <c r="C679" s="114"/>
      <c r="D679" s="114"/>
      <c r="E679" s="114"/>
      <c r="F679" s="115"/>
      <c r="G679" s="138"/>
      <c r="H679" s="114"/>
      <c r="I679" s="114"/>
      <c r="J679" s="114"/>
      <c r="K679" s="114"/>
      <c r="L679" s="114"/>
      <c r="M679" s="114"/>
      <c r="N679" s="114"/>
      <c r="O679" s="114"/>
      <c r="P679" s="114"/>
      <c r="Q679" s="114"/>
      <c r="R679" s="114"/>
      <c r="S679" s="114"/>
      <c r="T679" s="116"/>
      <c r="U679" s="116"/>
      <c r="V679" s="116"/>
      <c r="W679" s="209"/>
      <c r="X679" s="114"/>
      <c r="Y679" s="114"/>
      <c r="Z679" s="114"/>
      <c r="AA679" s="114"/>
      <c r="AB679" s="114"/>
      <c r="AC679" s="114"/>
      <c r="AD679" s="114"/>
      <c r="AE679" s="114"/>
      <c r="AF679" s="114"/>
      <c r="AG679" s="114"/>
      <c r="AH679" s="114"/>
    </row>
    <row r="680" spans="1:34" ht="24" customHeight="1" x14ac:dyDescent="0.6">
      <c r="A680" s="114"/>
      <c r="B680" s="114"/>
      <c r="C680" s="114"/>
      <c r="D680" s="114"/>
      <c r="E680" s="114"/>
      <c r="F680" s="115"/>
      <c r="G680" s="138"/>
      <c r="H680" s="114"/>
      <c r="I680" s="114"/>
      <c r="J680" s="114"/>
      <c r="K680" s="114"/>
      <c r="L680" s="114"/>
      <c r="M680" s="114"/>
      <c r="N680" s="114"/>
      <c r="O680" s="114"/>
      <c r="P680" s="114"/>
      <c r="Q680" s="114"/>
      <c r="R680" s="114"/>
      <c r="S680" s="114"/>
      <c r="T680" s="116"/>
      <c r="U680" s="116"/>
      <c r="V680" s="116"/>
      <c r="W680" s="209"/>
      <c r="X680" s="114"/>
      <c r="Y680" s="114"/>
      <c r="Z680" s="114"/>
      <c r="AA680" s="114"/>
      <c r="AB680" s="114"/>
      <c r="AC680" s="114"/>
      <c r="AD680" s="114"/>
      <c r="AE680" s="114"/>
      <c r="AF680" s="114"/>
      <c r="AG680" s="114"/>
      <c r="AH680" s="114"/>
    </row>
    <row r="681" spans="1:34" ht="24" customHeight="1" x14ac:dyDescent="0.6">
      <c r="A681" s="114"/>
      <c r="B681" s="114"/>
      <c r="C681" s="114"/>
      <c r="D681" s="114"/>
      <c r="E681" s="114"/>
      <c r="F681" s="115"/>
      <c r="G681" s="138"/>
      <c r="H681" s="114"/>
      <c r="I681" s="114"/>
      <c r="J681" s="114"/>
      <c r="K681" s="114"/>
      <c r="L681" s="114"/>
      <c r="M681" s="114"/>
      <c r="N681" s="114"/>
      <c r="O681" s="114"/>
      <c r="P681" s="114"/>
      <c r="Q681" s="114"/>
      <c r="R681" s="114"/>
      <c r="S681" s="114"/>
      <c r="T681" s="116"/>
      <c r="U681" s="116"/>
      <c r="V681" s="116"/>
      <c r="W681" s="209"/>
      <c r="X681" s="114"/>
      <c r="Y681" s="114"/>
      <c r="Z681" s="114"/>
      <c r="AA681" s="114"/>
      <c r="AB681" s="114"/>
      <c r="AC681" s="114"/>
      <c r="AD681" s="114"/>
      <c r="AE681" s="114"/>
      <c r="AF681" s="114"/>
      <c r="AG681" s="114"/>
      <c r="AH681" s="114"/>
    </row>
    <row r="682" spans="1:34" ht="24" customHeight="1" x14ac:dyDescent="0.6">
      <c r="A682" s="114"/>
      <c r="B682" s="114"/>
      <c r="C682" s="114"/>
      <c r="D682" s="114"/>
      <c r="E682" s="114"/>
      <c r="F682" s="115"/>
      <c r="G682" s="138"/>
      <c r="H682" s="114"/>
      <c r="I682" s="114"/>
      <c r="J682" s="114"/>
      <c r="K682" s="114"/>
      <c r="L682" s="114"/>
      <c r="M682" s="114"/>
      <c r="N682" s="114"/>
      <c r="O682" s="114"/>
      <c r="P682" s="114"/>
      <c r="Q682" s="114"/>
      <c r="R682" s="114"/>
      <c r="S682" s="114"/>
      <c r="T682" s="116"/>
      <c r="U682" s="116"/>
      <c r="V682" s="116"/>
      <c r="W682" s="209"/>
      <c r="X682" s="114"/>
      <c r="Y682" s="114"/>
      <c r="Z682" s="114"/>
      <c r="AA682" s="114"/>
      <c r="AB682" s="114"/>
      <c r="AC682" s="114"/>
      <c r="AD682" s="114"/>
      <c r="AE682" s="114"/>
      <c r="AF682" s="114"/>
      <c r="AG682" s="114"/>
      <c r="AH682" s="114"/>
    </row>
    <row r="683" spans="1:34" ht="24" customHeight="1" x14ac:dyDescent="0.6">
      <c r="A683" s="114"/>
      <c r="B683" s="114"/>
      <c r="C683" s="114"/>
      <c r="D683" s="114"/>
      <c r="E683" s="114"/>
      <c r="F683" s="115"/>
      <c r="G683" s="138"/>
      <c r="H683" s="114"/>
      <c r="I683" s="114"/>
      <c r="J683" s="114"/>
      <c r="K683" s="114"/>
      <c r="L683" s="114"/>
      <c r="M683" s="114"/>
      <c r="N683" s="114"/>
      <c r="O683" s="114"/>
      <c r="P683" s="114"/>
      <c r="Q683" s="114"/>
      <c r="R683" s="114"/>
      <c r="S683" s="114"/>
      <c r="T683" s="116"/>
      <c r="U683" s="116"/>
      <c r="V683" s="116"/>
      <c r="W683" s="209"/>
      <c r="X683" s="114"/>
      <c r="Y683" s="114"/>
      <c r="Z683" s="114"/>
      <c r="AA683" s="114"/>
      <c r="AB683" s="114"/>
      <c r="AC683" s="114"/>
      <c r="AD683" s="114"/>
      <c r="AE683" s="114"/>
      <c r="AF683" s="114"/>
      <c r="AG683" s="114"/>
      <c r="AH683" s="114"/>
    </row>
    <row r="684" spans="1:34" ht="24" customHeight="1" x14ac:dyDescent="0.6">
      <c r="A684" s="114"/>
      <c r="B684" s="114"/>
      <c r="C684" s="114"/>
      <c r="D684" s="114"/>
      <c r="E684" s="114"/>
      <c r="F684" s="115"/>
      <c r="G684" s="138"/>
      <c r="H684" s="114"/>
      <c r="I684" s="114"/>
      <c r="J684" s="114"/>
      <c r="K684" s="114"/>
      <c r="L684" s="114"/>
      <c r="M684" s="114"/>
      <c r="N684" s="114"/>
      <c r="O684" s="114"/>
      <c r="P684" s="114"/>
      <c r="Q684" s="114"/>
      <c r="R684" s="114"/>
      <c r="S684" s="114"/>
      <c r="T684" s="116"/>
      <c r="U684" s="116"/>
      <c r="V684" s="116"/>
      <c r="W684" s="209"/>
      <c r="X684" s="114"/>
      <c r="Y684" s="114"/>
      <c r="Z684" s="114"/>
      <c r="AA684" s="114"/>
      <c r="AB684" s="114"/>
      <c r="AC684" s="114"/>
      <c r="AD684" s="114"/>
      <c r="AE684" s="114"/>
      <c r="AF684" s="114"/>
      <c r="AG684" s="114"/>
      <c r="AH684" s="114"/>
    </row>
    <row r="685" spans="1:34" ht="24" customHeight="1" x14ac:dyDescent="0.6">
      <c r="A685" s="114"/>
      <c r="B685" s="114"/>
      <c r="C685" s="114"/>
      <c r="D685" s="114"/>
      <c r="E685" s="114"/>
      <c r="F685" s="115"/>
      <c r="G685" s="138"/>
      <c r="H685" s="114"/>
      <c r="I685" s="114"/>
      <c r="J685" s="114"/>
      <c r="K685" s="114"/>
      <c r="L685" s="114"/>
      <c r="M685" s="114"/>
      <c r="N685" s="114"/>
      <c r="O685" s="114"/>
      <c r="P685" s="114"/>
      <c r="Q685" s="114"/>
      <c r="R685" s="114"/>
      <c r="S685" s="114"/>
      <c r="T685" s="116"/>
      <c r="U685" s="116"/>
      <c r="V685" s="116"/>
      <c r="W685" s="209"/>
      <c r="X685" s="114"/>
      <c r="Y685" s="114"/>
      <c r="Z685" s="114"/>
      <c r="AA685" s="114"/>
      <c r="AB685" s="114"/>
      <c r="AC685" s="114"/>
      <c r="AD685" s="114"/>
      <c r="AE685" s="114"/>
      <c r="AF685" s="114"/>
      <c r="AG685" s="114"/>
      <c r="AH685" s="114"/>
    </row>
    <row r="686" spans="1:34" ht="24" customHeight="1" x14ac:dyDescent="0.6">
      <c r="A686" s="114"/>
      <c r="B686" s="114"/>
      <c r="C686" s="114"/>
      <c r="D686" s="114"/>
      <c r="E686" s="114"/>
      <c r="F686" s="115"/>
      <c r="G686" s="138"/>
      <c r="H686" s="114"/>
      <c r="I686" s="114"/>
      <c r="J686" s="114"/>
      <c r="K686" s="114"/>
      <c r="L686" s="114"/>
      <c r="M686" s="114"/>
      <c r="N686" s="114"/>
      <c r="O686" s="114"/>
      <c r="P686" s="114"/>
      <c r="Q686" s="114"/>
      <c r="R686" s="114"/>
      <c r="S686" s="114"/>
      <c r="T686" s="116"/>
      <c r="U686" s="116"/>
      <c r="V686" s="116"/>
      <c r="W686" s="209"/>
      <c r="X686" s="114"/>
      <c r="Y686" s="114"/>
      <c r="Z686" s="114"/>
      <c r="AA686" s="114"/>
      <c r="AB686" s="114"/>
      <c r="AC686" s="114"/>
      <c r="AD686" s="114"/>
      <c r="AE686" s="114"/>
      <c r="AF686" s="114"/>
      <c r="AG686" s="114"/>
      <c r="AH686" s="114"/>
    </row>
    <row r="687" spans="1:34" ht="24" customHeight="1" x14ac:dyDescent="0.6">
      <c r="A687" s="114"/>
      <c r="B687" s="114"/>
      <c r="C687" s="114"/>
      <c r="D687" s="114"/>
      <c r="E687" s="114"/>
      <c r="F687" s="115"/>
      <c r="G687" s="138"/>
      <c r="H687" s="114"/>
      <c r="I687" s="114"/>
      <c r="J687" s="114"/>
      <c r="K687" s="114"/>
      <c r="L687" s="114"/>
      <c r="M687" s="114"/>
      <c r="N687" s="114"/>
      <c r="O687" s="114"/>
      <c r="P687" s="114"/>
      <c r="Q687" s="114"/>
      <c r="R687" s="114"/>
      <c r="S687" s="114"/>
      <c r="T687" s="116"/>
      <c r="U687" s="116"/>
      <c r="V687" s="116"/>
      <c r="W687" s="209"/>
      <c r="X687" s="114"/>
      <c r="Y687" s="114"/>
      <c r="Z687" s="114"/>
      <c r="AA687" s="114"/>
      <c r="AB687" s="114"/>
      <c r="AC687" s="114"/>
      <c r="AD687" s="114"/>
      <c r="AE687" s="114"/>
      <c r="AF687" s="114"/>
      <c r="AG687" s="114"/>
      <c r="AH687" s="114"/>
    </row>
    <row r="688" spans="1:34" ht="24" customHeight="1" x14ac:dyDescent="0.6">
      <c r="A688" s="114"/>
      <c r="B688" s="114"/>
      <c r="C688" s="114"/>
      <c r="D688" s="114"/>
      <c r="E688" s="114"/>
      <c r="F688" s="115"/>
      <c r="G688" s="138"/>
      <c r="H688" s="114"/>
      <c r="I688" s="114"/>
      <c r="J688" s="114"/>
      <c r="K688" s="114"/>
      <c r="L688" s="114"/>
      <c r="M688" s="114"/>
      <c r="N688" s="114"/>
      <c r="O688" s="114"/>
      <c r="P688" s="114"/>
      <c r="Q688" s="114"/>
      <c r="R688" s="114"/>
      <c r="S688" s="114"/>
      <c r="T688" s="116"/>
      <c r="U688" s="116"/>
      <c r="V688" s="116"/>
      <c r="W688" s="209"/>
      <c r="X688" s="114"/>
      <c r="Y688" s="114"/>
      <c r="Z688" s="114"/>
      <c r="AA688" s="114"/>
      <c r="AB688" s="114"/>
      <c r="AC688" s="114"/>
      <c r="AD688" s="114"/>
      <c r="AE688" s="114"/>
      <c r="AF688" s="114"/>
      <c r="AG688" s="114"/>
      <c r="AH688" s="114"/>
    </row>
    <row r="689" spans="1:34" ht="24" customHeight="1" x14ac:dyDescent="0.6">
      <c r="A689" s="114"/>
      <c r="B689" s="114"/>
      <c r="C689" s="114"/>
      <c r="D689" s="114"/>
      <c r="E689" s="114"/>
      <c r="F689" s="115"/>
      <c r="G689" s="138"/>
      <c r="H689" s="114"/>
      <c r="I689" s="114"/>
      <c r="J689" s="114"/>
      <c r="K689" s="114"/>
      <c r="L689" s="114"/>
      <c r="M689" s="114"/>
      <c r="N689" s="114"/>
      <c r="O689" s="114"/>
      <c r="P689" s="114"/>
      <c r="Q689" s="114"/>
      <c r="R689" s="114"/>
      <c r="S689" s="114"/>
      <c r="T689" s="116"/>
      <c r="U689" s="116"/>
      <c r="V689" s="116"/>
      <c r="W689" s="209"/>
      <c r="X689" s="114"/>
      <c r="Y689" s="114"/>
      <c r="Z689" s="114"/>
      <c r="AA689" s="114"/>
      <c r="AB689" s="114"/>
      <c r="AC689" s="114"/>
      <c r="AD689" s="114"/>
      <c r="AE689" s="114"/>
      <c r="AF689" s="114"/>
      <c r="AG689" s="114"/>
      <c r="AH689" s="114"/>
    </row>
    <row r="690" spans="1:34" ht="24" customHeight="1" x14ac:dyDescent="0.6">
      <c r="A690" s="114"/>
      <c r="B690" s="114"/>
      <c r="C690" s="114"/>
      <c r="D690" s="114"/>
      <c r="E690" s="114"/>
      <c r="F690" s="115"/>
      <c r="G690" s="138"/>
      <c r="H690" s="114"/>
      <c r="I690" s="114"/>
      <c r="J690" s="114"/>
      <c r="K690" s="114"/>
      <c r="L690" s="114"/>
      <c r="M690" s="114"/>
      <c r="N690" s="114"/>
      <c r="O690" s="114"/>
      <c r="P690" s="114"/>
      <c r="Q690" s="114"/>
      <c r="R690" s="114"/>
      <c r="S690" s="114"/>
      <c r="T690" s="116"/>
      <c r="U690" s="116"/>
      <c r="V690" s="116"/>
      <c r="W690" s="209"/>
      <c r="X690" s="114"/>
      <c r="Y690" s="114"/>
      <c r="Z690" s="114"/>
      <c r="AA690" s="114"/>
      <c r="AB690" s="114"/>
      <c r="AC690" s="114"/>
      <c r="AD690" s="114"/>
      <c r="AE690" s="114"/>
      <c r="AF690" s="114"/>
      <c r="AG690" s="114"/>
      <c r="AH690" s="114"/>
    </row>
    <row r="691" spans="1:34" ht="24" customHeight="1" x14ac:dyDescent="0.6">
      <c r="A691" s="114"/>
      <c r="B691" s="114"/>
      <c r="C691" s="114"/>
      <c r="D691" s="114"/>
      <c r="E691" s="114"/>
      <c r="F691" s="115"/>
      <c r="G691" s="138"/>
      <c r="H691" s="114"/>
      <c r="I691" s="114"/>
      <c r="J691" s="114"/>
      <c r="K691" s="114"/>
      <c r="L691" s="114"/>
      <c r="M691" s="114"/>
      <c r="N691" s="114"/>
      <c r="O691" s="114"/>
      <c r="P691" s="114"/>
      <c r="Q691" s="114"/>
      <c r="R691" s="114"/>
      <c r="S691" s="114"/>
      <c r="T691" s="116"/>
      <c r="U691" s="116"/>
      <c r="V691" s="116"/>
      <c r="W691" s="209"/>
      <c r="X691" s="114"/>
      <c r="Y691" s="114"/>
      <c r="Z691" s="114"/>
      <c r="AA691" s="114"/>
      <c r="AB691" s="114"/>
      <c r="AC691" s="114"/>
      <c r="AD691" s="114"/>
      <c r="AE691" s="114"/>
      <c r="AF691" s="114"/>
      <c r="AG691" s="114"/>
      <c r="AH691" s="114"/>
    </row>
    <row r="692" spans="1:34" ht="24" customHeight="1" x14ac:dyDescent="0.6">
      <c r="A692" s="114"/>
      <c r="B692" s="114"/>
      <c r="C692" s="114"/>
      <c r="D692" s="114"/>
      <c r="E692" s="114"/>
      <c r="F692" s="115"/>
      <c r="G692" s="138"/>
      <c r="H692" s="114"/>
      <c r="I692" s="114"/>
      <c r="J692" s="114"/>
      <c r="K692" s="114"/>
      <c r="L692" s="114"/>
      <c r="M692" s="114"/>
      <c r="N692" s="114"/>
      <c r="O692" s="114"/>
      <c r="P692" s="114"/>
      <c r="Q692" s="114"/>
      <c r="R692" s="114"/>
      <c r="S692" s="114"/>
      <c r="T692" s="116"/>
      <c r="U692" s="116"/>
      <c r="V692" s="116"/>
      <c r="W692" s="209"/>
      <c r="X692" s="114"/>
      <c r="Y692" s="114"/>
      <c r="Z692" s="114"/>
      <c r="AA692" s="114"/>
      <c r="AB692" s="114"/>
      <c r="AC692" s="114"/>
      <c r="AD692" s="114"/>
      <c r="AE692" s="114"/>
      <c r="AF692" s="114"/>
      <c r="AG692" s="114"/>
      <c r="AH692" s="114"/>
    </row>
    <row r="693" spans="1:34" ht="24" customHeight="1" x14ac:dyDescent="0.6">
      <c r="A693" s="114"/>
      <c r="B693" s="114"/>
      <c r="C693" s="114"/>
      <c r="D693" s="114"/>
      <c r="E693" s="114"/>
      <c r="F693" s="115"/>
      <c r="G693" s="138"/>
      <c r="H693" s="114"/>
      <c r="I693" s="114"/>
      <c r="J693" s="114"/>
      <c r="K693" s="114"/>
      <c r="L693" s="114"/>
      <c r="M693" s="114"/>
      <c r="N693" s="114"/>
      <c r="O693" s="114"/>
      <c r="P693" s="114"/>
      <c r="Q693" s="114"/>
      <c r="R693" s="114"/>
      <c r="S693" s="114"/>
      <c r="T693" s="116"/>
      <c r="U693" s="116"/>
      <c r="V693" s="116"/>
      <c r="W693" s="209"/>
      <c r="X693" s="114"/>
      <c r="Y693" s="114"/>
      <c r="Z693" s="114"/>
      <c r="AA693" s="114"/>
      <c r="AB693" s="114"/>
      <c r="AC693" s="114"/>
      <c r="AD693" s="114"/>
      <c r="AE693" s="114"/>
      <c r="AF693" s="114"/>
      <c r="AG693" s="114"/>
      <c r="AH693" s="114"/>
    </row>
    <row r="694" spans="1:34" ht="24" customHeight="1" x14ac:dyDescent="0.6">
      <c r="A694" s="114"/>
      <c r="B694" s="114"/>
      <c r="C694" s="114"/>
      <c r="D694" s="114"/>
      <c r="E694" s="114"/>
      <c r="F694" s="115"/>
      <c r="G694" s="138"/>
      <c r="H694" s="114"/>
      <c r="I694" s="114"/>
      <c r="J694" s="114"/>
      <c r="K694" s="114"/>
      <c r="L694" s="114"/>
      <c r="M694" s="114"/>
      <c r="N694" s="114"/>
      <c r="O694" s="114"/>
      <c r="P694" s="114"/>
      <c r="Q694" s="114"/>
      <c r="R694" s="114"/>
      <c r="S694" s="114"/>
      <c r="T694" s="116"/>
      <c r="U694" s="116"/>
      <c r="V694" s="116"/>
      <c r="W694" s="209"/>
      <c r="X694" s="114"/>
      <c r="Y694" s="114"/>
      <c r="Z694" s="114"/>
      <c r="AA694" s="114"/>
      <c r="AB694" s="114"/>
      <c r="AC694" s="114"/>
      <c r="AD694" s="114"/>
      <c r="AE694" s="114"/>
      <c r="AF694" s="114"/>
      <c r="AG694" s="114"/>
      <c r="AH694" s="114"/>
    </row>
    <row r="695" spans="1:34" ht="24" customHeight="1" x14ac:dyDescent="0.6">
      <c r="A695" s="114"/>
      <c r="B695" s="114"/>
      <c r="C695" s="114"/>
      <c r="D695" s="114"/>
      <c r="E695" s="114"/>
      <c r="F695" s="115"/>
      <c r="G695" s="138"/>
      <c r="H695" s="114"/>
      <c r="I695" s="114"/>
      <c r="J695" s="114"/>
      <c r="K695" s="114"/>
      <c r="L695" s="114"/>
      <c r="M695" s="114"/>
      <c r="N695" s="114"/>
      <c r="O695" s="114"/>
      <c r="P695" s="114"/>
      <c r="Q695" s="114"/>
      <c r="R695" s="114"/>
      <c r="S695" s="114"/>
      <c r="T695" s="116"/>
      <c r="U695" s="116"/>
      <c r="V695" s="116"/>
      <c r="W695" s="209"/>
      <c r="X695" s="114"/>
      <c r="Y695" s="114"/>
      <c r="Z695" s="114"/>
      <c r="AA695" s="114"/>
      <c r="AB695" s="114"/>
      <c r="AC695" s="114"/>
      <c r="AD695" s="114"/>
      <c r="AE695" s="114"/>
      <c r="AF695" s="114"/>
      <c r="AG695" s="114"/>
      <c r="AH695" s="114"/>
    </row>
    <row r="696" spans="1:34" ht="24" customHeight="1" x14ac:dyDescent="0.6">
      <c r="A696" s="114"/>
      <c r="B696" s="114"/>
      <c r="C696" s="114"/>
      <c r="D696" s="114"/>
      <c r="E696" s="114"/>
      <c r="F696" s="115"/>
      <c r="G696" s="138"/>
      <c r="H696" s="114"/>
      <c r="I696" s="114"/>
      <c r="J696" s="114"/>
      <c r="K696" s="114"/>
      <c r="L696" s="114"/>
      <c r="M696" s="114"/>
      <c r="N696" s="114"/>
      <c r="O696" s="114"/>
      <c r="P696" s="114"/>
      <c r="Q696" s="114"/>
      <c r="R696" s="114"/>
      <c r="S696" s="114"/>
      <c r="T696" s="116"/>
      <c r="U696" s="116"/>
      <c r="V696" s="116"/>
      <c r="W696" s="209"/>
      <c r="X696" s="114"/>
      <c r="Y696" s="114"/>
      <c r="Z696" s="114"/>
      <c r="AA696" s="114"/>
      <c r="AB696" s="114"/>
      <c r="AC696" s="114"/>
      <c r="AD696" s="114"/>
      <c r="AE696" s="114"/>
      <c r="AF696" s="114"/>
      <c r="AG696" s="114"/>
      <c r="AH696" s="114"/>
    </row>
    <row r="697" spans="1:34" ht="24" customHeight="1" x14ac:dyDescent="0.6">
      <c r="A697" s="114"/>
      <c r="B697" s="114"/>
      <c r="C697" s="114"/>
      <c r="D697" s="114"/>
      <c r="E697" s="114"/>
      <c r="F697" s="115"/>
      <c r="G697" s="138"/>
      <c r="H697" s="114"/>
      <c r="I697" s="114"/>
      <c r="J697" s="114"/>
      <c r="K697" s="114"/>
      <c r="L697" s="114"/>
      <c r="M697" s="114"/>
      <c r="N697" s="114"/>
      <c r="O697" s="114"/>
      <c r="P697" s="114"/>
      <c r="Q697" s="114"/>
      <c r="R697" s="114"/>
      <c r="S697" s="114"/>
      <c r="T697" s="116"/>
      <c r="U697" s="116"/>
      <c r="V697" s="116"/>
      <c r="W697" s="209"/>
      <c r="X697" s="114"/>
      <c r="Y697" s="114"/>
      <c r="Z697" s="114"/>
      <c r="AA697" s="114"/>
      <c r="AB697" s="114"/>
      <c r="AC697" s="114"/>
      <c r="AD697" s="114"/>
      <c r="AE697" s="114"/>
      <c r="AF697" s="114"/>
      <c r="AG697" s="114"/>
      <c r="AH697" s="114"/>
    </row>
    <row r="698" spans="1:34" ht="24" customHeight="1" x14ac:dyDescent="0.6">
      <c r="A698" s="114"/>
      <c r="B698" s="114"/>
      <c r="C698" s="114"/>
      <c r="D698" s="114"/>
      <c r="E698" s="114"/>
      <c r="F698" s="115"/>
      <c r="G698" s="138"/>
      <c r="H698" s="114"/>
      <c r="I698" s="114"/>
      <c r="J698" s="114"/>
      <c r="K698" s="114"/>
      <c r="L698" s="114"/>
      <c r="M698" s="114"/>
      <c r="N698" s="114"/>
      <c r="O698" s="114"/>
      <c r="P698" s="114"/>
      <c r="Q698" s="114"/>
      <c r="R698" s="114"/>
      <c r="S698" s="114"/>
      <c r="T698" s="116"/>
      <c r="U698" s="116"/>
      <c r="V698" s="116"/>
      <c r="W698" s="209"/>
      <c r="X698" s="114"/>
      <c r="Y698" s="114"/>
      <c r="Z698" s="114"/>
      <c r="AA698" s="114"/>
      <c r="AB698" s="114"/>
      <c r="AC698" s="114"/>
      <c r="AD698" s="114"/>
      <c r="AE698" s="114"/>
      <c r="AF698" s="114"/>
      <c r="AG698" s="114"/>
      <c r="AH698" s="114"/>
    </row>
    <row r="699" spans="1:34" ht="24" customHeight="1" x14ac:dyDescent="0.6">
      <c r="A699" s="114"/>
      <c r="B699" s="114"/>
      <c r="C699" s="114"/>
      <c r="D699" s="114"/>
      <c r="E699" s="114"/>
      <c r="F699" s="115"/>
      <c r="G699" s="138"/>
      <c r="H699" s="114"/>
      <c r="I699" s="114"/>
      <c r="J699" s="114"/>
      <c r="K699" s="114"/>
      <c r="L699" s="114"/>
      <c r="M699" s="114"/>
      <c r="N699" s="114"/>
      <c r="O699" s="114"/>
      <c r="P699" s="114"/>
      <c r="Q699" s="114"/>
      <c r="R699" s="114"/>
      <c r="S699" s="114"/>
      <c r="T699" s="116"/>
      <c r="U699" s="116"/>
      <c r="V699" s="116"/>
      <c r="W699" s="209"/>
      <c r="X699" s="114"/>
      <c r="Y699" s="114"/>
      <c r="Z699" s="114"/>
      <c r="AA699" s="114"/>
      <c r="AB699" s="114"/>
      <c r="AC699" s="114"/>
      <c r="AD699" s="114"/>
      <c r="AE699" s="114"/>
      <c r="AF699" s="114"/>
      <c r="AG699" s="114"/>
      <c r="AH699" s="114"/>
    </row>
    <row r="700" spans="1:34" ht="24" customHeight="1" x14ac:dyDescent="0.6">
      <c r="A700" s="114"/>
      <c r="B700" s="114"/>
      <c r="C700" s="114"/>
      <c r="D700" s="114"/>
      <c r="E700" s="114"/>
      <c r="F700" s="115"/>
      <c r="G700" s="138"/>
      <c r="H700" s="114"/>
      <c r="I700" s="114"/>
      <c r="J700" s="114"/>
      <c r="K700" s="114"/>
      <c r="L700" s="114"/>
      <c r="M700" s="114"/>
      <c r="N700" s="114"/>
      <c r="O700" s="114"/>
      <c r="P700" s="114"/>
      <c r="Q700" s="114"/>
      <c r="R700" s="114"/>
      <c r="S700" s="114"/>
      <c r="T700" s="116"/>
      <c r="U700" s="116"/>
      <c r="V700" s="116"/>
      <c r="W700" s="209"/>
      <c r="X700" s="114"/>
      <c r="Y700" s="114"/>
      <c r="Z700" s="114"/>
      <c r="AA700" s="114"/>
      <c r="AB700" s="114"/>
      <c r="AC700" s="114"/>
      <c r="AD700" s="114"/>
      <c r="AE700" s="114"/>
      <c r="AF700" s="114"/>
      <c r="AG700" s="114"/>
      <c r="AH700" s="114"/>
    </row>
    <row r="701" spans="1:34" ht="24" customHeight="1" x14ac:dyDescent="0.6">
      <c r="A701" s="114"/>
      <c r="B701" s="114"/>
      <c r="C701" s="114"/>
      <c r="D701" s="114"/>
      <c r="E701" s="114"/>
      <c r="F701" s="115"/>
      <c r="G701" s="138"/>
      <c r="H701" s="114"/>
      <c r="I701" s="114"/>
      <c r="J701" s="114"/>
      <c r="K701" s="114"/>
      <c r="L701" s="114"/>
      <c r="M701" s="114"/>
      <c r="N701" s="114"/>
      <c r="O701" s="114"/>
      <c r="P701" s="114"/>
      <c r="Q701" s="114"/>
      <c r="R701" s="114"/>
      <c r="S701" s="114"/>
      <c r="T701" s="116"/>
      <c r="U701" s="116"/>
      <c r="V701" s="116"/>
      <c r="W701" s="209"/>
      <c r="X701" s="114"/>
      <c r="Y701" s="114"/>
      <c r="Z701" s="114"/>
      <c r="AA701" s="114"/>
      <c r="AB701" s="114"/>
      <c r="AC701" s="114"/>
      <c r="AD701" s="114"/>
      <c r="AE701" s="114"/>
      <c r="AF701" s="114"/>
      <c r="AG701" s="114"/>
      <c r="AH701" s="114"/>
    </row>
    <row r="702" spans="1:34" ht="24" customHeight="1" x14ac:dyDescent="0.6">
      <c r="A702" s="114"/>
      <c r="B702" s="114"/>
      <c r="C702" s="114"/>
      <c r="D702" s="114"/>
      <c r="E702" s="114"/>
      <c r="F702" s="115"/>
      <c r="G702" s="138"/>
      <c r="H702" s="114"/>
      <c r="I702" s="114"/>
      <c r="J702" s="114"/>
      <c r="K702" s="114"/>
      <c r="L702" s="114"/>
      <c r="M702" s="114"/>
      <c r="N702" s="114"/>
      <c r="O702" s="114"/>
      <c r="P702" s="114"/>
      <c r="Q702" s="114"/>
      <c r="R702" s="114"/>
      <c r="S702" s="114"/>
      <c r="T702" s="116"/>
      <c r="U702" s="116"/>
      <c r="V702" s="116"/>
      <c r="W702" s="209"/>
      <c r="X702" s="114"/>
      <c r="Y702" s="114"/>
      <c r="Z702" s="114"/>
      <c r="AA702" s="114"/>
      <c r="AB702" s="114"/>
      <c r="AC702" s="114"/>
      <c r="AD702" s="114"/>
      <c r="AE702" s="114"/>
      <c r="AF702" s="114"/>
      <c r="AG702" s="114"/>
      <c r="AH702" s="114"/>
    </row>
    <row r="703" spans="1:34" ht="24" customHeight="1" x14ac:dyDescent="0.6">
      <c r="A703" s="114"/>
      <c r="B703" s="114"/>
      <c r="C703" s="114"/>
      <c r="D703" s="114"/>
      <c r="E703" s="114"/>
      <c r="F703" s="115"/>
      <c r="G703" s="138"/>
      <c r="H703" s="114"/>
      <c r="I703" s="114"/>
      <c r="J703" s="114"/>
      <c r="K703" s="114"/>
      <c r="L703" s="114"/>
      <c r="M703" s="114"/>
      <c r="N703" s="114"/>
      <c r="O703" s="114"/>
      <c r="P703" s="114"/>
      <c r="Q703" s="114"/>
      <c r="R703" s="114"/>
      <c r="S703" s="114"/>
      <c r="T703" s="116"/>
      <c r="U703" s="116"/>
      <c r="V703" s="116"/>
      <c r="W703" s="209"/>
      <c r="X703" s="114"/>
      <c r="Y703" s="114"/>
      <c r="Z703" s="114"/>
      <c r="AA703" s="114"/>
      <c r="AB703" s="114"/>
      <c r="AC703" s="114"/>
      <c r="AD703" s="114"/>
      <c r="AE703" s="114"/>
      <c r="AF703" s="114"/>
      <c r="AG703" s="114"/>
      <c r="AH703" s="114"/>
    </row>
    <row r="704" spans="1:34" ht="24" customHeight="1" x14ac:dyDescent="0.6">
      <c r="A704" s="114"/>
      <c r="B704" s="114"/>
      <c r="C704" s="114"/>
      <c r="D704" s="114"/>
      <c r="E704" s="114"/>
      <c r="F704" s="115"/>
      <c r="G704" s="138"/>
      <c r="H704" s="114"/>
      <c r="I704" s="114"/>
      <c r="J704" s="114"/>
      <c r="K704" s="114"/>
      <c r="L704" s="114"/>
      <c r="M704" s="114"/>
      <c r="N704" s="114"/>
      <c r="O704" s="114"/>
      <c r="P704" s="114"/>
      <c r="Q704" s="114"/>
      <c r="R704" s="114"/>
      <c r="S704" s="114"/>
      <c r="T704" s="116"/>
      <c r="U704" s="116"/>
      <c r="V704" s="116"/>
      <c r="W704" s="209"/>
      <c r="X704" s="114"/>
      <c r="Y704" s="114"/>
      <c r="Z704" s="114"/>
      <c r="AA704" s="114"/>
      <c r="AB704" s="114"/>
      <c r="AC704" s="114"/>
      <c r="AD704" s="114"/>
      <c r="AE704" s="114"/>
      <c r="AF704" s="114"/>
      <c r="AG704" s="114"/>
      <c r="AH704" s="114"/>
    </row>
    <row r="705" spans="1:34" ht="24" customHeight="1" x14ac:dyDescent="0.6">
      <c r="A705" s="114"/>
      <c r="B705" s="114"/>
      <c r="C705" s="114"/>
      <c r="D705" s="114"/>
      <c r="E705" s="114"/>
      <c r="F705" s="115"/>
      <c r="G705" s="138"/>
      <c r="H705" s="114"/>
      <c r="I705" s="114"/>
      <c r="J705" s="114"/>
      <c r="K705" s="114"/>
      <c r="L705" s="114"/>
      <c r="M705" s="114"/>
      <c r="N705" s="114"/>
      <c r="O705" s="114"/>
      <c r="P705" s="114"/>
      <c r="Q705" s="114"/>
      <c r="R705" s="114"/>
      <c r="S705" s="114"/>
      <c r="T705" s="116"/>
      <c r="U705" s="116"/>
      <c r="V705" s="116"/>
      <c r="W705" s="209"/>
      <c r="X705" s="114"/>
      <c r="Y705" s="114"/>
      <c r="Z705" s="114"/>
      <c r="AA705" s="114"/>
      <c r="AB705" s="114"/>
      <c r="AC705" s="114"/>
      <c r="AD705" s="114"/>
      <c r="AE705" s="114"/>
      <c r="AF705" s="114"/>
      <c r="AG705" s="114"/>
      <c r="AH705" s="114"/>
    </row>
    <row r="706" spans="1:34" ht="24" customHeight="1" x14ac:dyDescent="0.6">
      <c r="A706" s="114"/>
      <c r="B706" s="114"/>
      <c r="C706" s="114"/>
      <c r="D706" s="114"/>
      <c r="E706" s="114"/>
      <c r="F706" s="115"/>
      <c r="G706" s="138"/>
      <c r="H706" s="114"/>
      <c r="I706" s="114"/>
      <c r="J706" s="114"/>
      <c r="K706" s="114"/>
      <c r="L706" s="114"/>
      <c r="M706" s="114"/>
      <c r="N706" s="114"/>
      <c r="O706" s="114"/>
      <c r="P706" s="114"/>
      <c r="Q706" s="114"/>
      <c r="R706" s="114"/>
      <c r="S706" s="114"/>
      <c r="T706" s="116"/>
      <c r="U706" s="116"/>
      <c r="V706" s="116"/>
      <c r="W706" s="209"/>
      <c r="X706" s="114"/>
      <c r="Y706" s="114"/>
      <c r="Z706" s="114"/>
      <c r="AA706" s="114"/>
      <c r="AB706" s="114"/>
      <c r="AC706" s="114"/>
      <c r="AD706" s="114"/>
      <c r="AE706" s="114"/>
      <c r="AF706" s="114"/>
      <c r="AG706" s="114"/>
      <c r="AH706" s="114"/>
    </row>
    <row r="707" spans="1:34" ht="24" customHeight="1" x14ac:dyDescent="0.6">
      <c r="A707" s="114"/>
      <c r="B707" s="114"/>
      <c r="C707" s="114"/>
      <c r="D707" s="114"/>
      <c r="E707" s="114"/>
      <c r="F707" s="115"/>
      <c r="G707" s="138"/>
      <c r="H707" s="114"/>
      <c r="I707" s="114"/>
      <c r="J707" s="114"/>
      <c r="K707" s="114"/>
      <c r="L707" s="114"/>
      <c r="M707" s="114"/>
      <c r="N707" s="114"/>
      <c r="O707" s="114"/>
      <c r="P707" s="114"/>
      <c r="Q707" s="114"/>
      <c r="R707" s="114"/>
      <c r="S707" s="114"/>
      <c r="T707" s="116"/>
      <c r="U707" s="116"/>
      <c r="V707" s="116"/>
      <c r="W707" s="209"/>
      <c r="X707" s="114"/>
      <c r="Y707" s="114"/>
      <c r="Z707" s="114"/>
      <c r="AA707" s="114"/>
      <c r="AB707" s="114"/>
      <c r="AC707" s="114"/>
      <c r="AD707" s="114"/>
      <c r="AE707" s="114"/>
      <c r="AF707" s="114"/>
      <c r="AG707" s="114"/>
      <c r="AH707" s="114"/>
    </row>
    <row r="708" spans="1:34" ht="24" customHeight="1" x14ac:dyDescent="0.6">
      <c r="A708" s="114"/>
      <c r="B708" s="114"/>
      <c r="C708" s="114"/>
      <c r="D708" s="114"/>
      <c r="E708" s="114"/>
      <c r="F708" s="115"/>
      <c r="G708" s="138"/>
      <c r="H708" s="114"/>
      <c r="I708" s="114"/>
      <c r="J708" s="114"/>
      <c r="K708" s="114"/>
      <c r="L708" s="114"/>
      <c r="M708" s="114"/>
      <c r="N708" s="114"/>
      <c r="O708" s="114"/>
      <c r="P708" s="114"/>
      <c r="Q708" s="114"/>
      <c r="R708" s="114"/>
      <c r="S708" s="114"/>
      <c r="T708" s="116"/>
      <c r="U708" s="116"/>
      <c r="V708" s="116"/>
      <c r="W708" s="209"/>
      <c r="X708" s="114"/>
      <c r="Y708" s="114"/>
      <c r="Z708" s="114"/>
      <c r="AA708" s="114"/>
      <c r="AB708" s="114"/>
      <c r="AC708" s="114"/>
      <c r="AD708" s="114"/>
      <c r="AE708" s="114"/>
      <c r="AF708" s="114"/>
      <c r="AG708" s="114"/>
      <c r="AH708" s="114"/>
    </row>
    <row r="709" spans="1:34" ht="24" customHeight="1" x14ac:dyDescent="0.6">
      <c r="A709" s="114"/>
      <c r="B709" s="114"/>
      <c r="C709" s="114"/>
      <c r="D709" s="114"/>
      <c r="E709" s="114"/>
      <c r="F709" s="115"/>
      <c r="G709" s="138"/>
      <c r="H709" s="114"/>
      <c r="I709" s="114"/>
      <c r="J709" s="114"/>
      <c r="K709" s="114"/>
      <c r="L709" s="114"/>
      <c r="M709" s="114"/>
      <c r="N709" s="114"/>
      <c r="O709" s="114"/>
      <c r="P709" s="114"/>
      <c r="Q709" s="114"/>
      <c r="R709" s="114"/>
      <c r="S709" s="114"/>
      <c r="T709" s="116"/>
      <c r="U709" s="116"/>
      <c r="V709" s="116"/>
      <c r="W709" s="209"/>
      <c r="X709" s="114"/>
      <c r="Y709" s="114"/>
      <c r="Z709" s="114"/>
      <c r="AA709" s="114"/>
      <c r="AB709" s="114"/>
      <c r="AC709" s="114"/>
      <c r="AD709" s="114"/>
      <c r="AE709" s="114"/>
      <c r="AF709" s="114"/>
      <c r="AG709" s="114"/>
      <c r="AH709" s="114"/>
    </row>
    <row r="710" spans="1:34" ht="24" customHeight="1" x14ac:dyDescent="0.6">
      <c r="A710" s="114"/>
      <c r="B710" s="114"/>
      <c r="C710" s="114"/>
      <c r="D710" s="114"/>
      <c r="E710" s="114"/>
      <c r="F710" s="115"/>
      <c r="G710" s="138"/>
      <c r="H710" s="114"/>
      <c r="I710" s="114"/>
      <c r="J710" s="114"/>
      <c r="K710" s="114"/>
      <c r="L710" s="114"/>
      <c r="M710" s="114"/>
      <c r="N710" s="114"/>
      <c r="O710" s="114"/>
      <c r="P710" s="114"/>
      <c r="Q710" s="114"/>
      <c r="R710" s="114"/>
      <c r="S710" s="114"/>
      <c r="T710" s="116"/>
      <c r="U710" s="116"/>
      <c r="V710" s="116"/>
      <c r="W710" s="209"/>
      <c r="X710" s="114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</row>
    <row r="711" spans="1:34" ht="24" customHeight="1" x14ac:dyDescent="0.6">
      <c r="A711" s="114"/>
      <c r="B711" s="114"/>
      <c r="C711" s="114"/>
      <c r="D711" s="114"/>
      <c r="E711" s="114"/>
      <c r="F711" s="115"/>
      <c r="G711" s="138"/>
      <c r="H711" s="114"/>
      <c r="I711" s="114"/>
      <c r="J711" s="114"/>
      <c r="K711" s="114"/>
      <c r="L711" s="114"/>
      <c r="M711" s="114"/>
      <c r="N711" s="114"/>
      <c r="O711" s="114"/>
      <c r="P711" s="114"/>
      <c r="Q711" s="114"/>
      <c r="R711" s="114"/>
      <c r="S711" s="114"/>
      <c r="T711" s="116"/>
      <c r="U711" s="116"/>
      <c r="V711" s="116"/>
      <c r="W711" s="209"/>
      <c r="X711" s="114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</row>
    <row r="712" spans="1:34" ht="24" customHeight="1" x14ac:dyDescent="0.6">
      <c r="A712" s="114"/>
      <c r="B712" s="114"/>
      <c r="C712" s="114"/>
      <c r="D712" s="114"/>
      <c r="E712" s="114"/>
      <c r="F712" s="115"/>
      <c r="G712" s="138"/>
      <c r="H712" s="114"/>
      <c r="I712" s="114"/>
      <c r="J712" s="114"/>
      <c r="K712" s="114"/>
      <c r="L712" s="114"/>
      <c r="M712" s="114"/>
      <c r="N712" s="114"/>
      <c r="O712" s="114"/>
      <c r="P712" s="114"/>
      <c r="Q712" s="114"/>
      <c r="R712" s="114"/>
      <c r="S712" s="114"/>
      <c r="T712" s="116"/>
      <c r="U712" s="116"/>
      <c r="V712" s="116"/>
      <c r="W712" s="209"/>
      <c r="X712" s="114"/>
      <c r="Y712" s="114"/>
      <c r="Z712" s="114"/>
      <c r="AA712" s="114"/>
      <c r="AB712" s="114"/>
      <c r="AC712" s="114"/>
      <c r="AD712" s="114"/>
      <c r="AE712" s="114"/>
      <c r="AF712" s="114"/>
      <c r="AG712" s="114"/>
      <c r="AH712" s="114"/>
    </row>
    <row r="713" spans="1:34" ht="24" customHeight="1" x14ac:dyDescent="0.6">
      <c r="A713" s="114"/>
      <c r="B713" s="114"/>
      <c r="C713" s="114"/>
      <c r="D713" s="114"/>
      <c r="E713" s="114"/>
      <c r="F713" s="115"/>
      <c r="G713" s="138"/>
      <c r="H713" s="114"/>
      <c r="I713" s="114"/>
      <c r="J713" s="114"/>
      <c r="K713" s="114"/>
      <c r="L713" s="114"/>
      <c r="M713" s="114"/>
      <c r="N713" s="114"/>
      <c r="O713" s="114"/>
      <c r="P713" s="114"/>
      <c r="Q713" s="114"/>
      <c r="R713" s="114"/>
      <c r="S713" s="114"/>
      <c r="T713" s="116"/>
      <c r="U713" s="116"/>
      <c r="V713" s="116"/>
      <c r="W713" s="209"/>
      <c r="X713" s="114"/>
      <c r="Y713" s="114"/>
      <c r="Z713" s="114"/>
      <c r="AA713" s="114"/>
      <c r="AB713" s="114"/>
      <c r="AC713" s="114"/>
      <c r="AD713" s="114"/>
      <c r="AE713" s="114"/>
      <c r="AF713" s="114"/>
      <c r="AG713" s="114"/>
      <c r="AH713" s="114"/>
    </row>
    <row r="714" spans="1:34" ht="24" customHeight="1" x14ac:dyDescent="0.6">
      <c r="A714" s="114"/>
      <c r="B714" s="114"/>
      <c r="C714" s="114"/>
      <c r="D714" s="114"/>
      <c r="E714" s="114"/>
      <c r="F714" s="115"/>
      <c r="G714" s="138"/>
      <c r="H714" s="114"/>
      <c r="I714" s="114"/>
      <c r="J714" s="114"/>
      <c r="K714" s="114"/>
      <c r="L714" s="114"/>
      <c r="M714" s="114"/>
      <c r="N714" s="114"/>
      <c r="O714" s="114"/>
      <c r="P714" s="114"/>
      <c r="Q714" s="114"/>
      <c r="R714" s="114"/>
      <c r="S714" s="114"/>
      <c r="T714" s="116"/>
      <c r="U714" s="116"/>
      <c r="V714" s="116"/>
      <c r="W714" s="209"/>
      <c r="X714" s="114"/>
      <c r="Y714" s="114"/>
      <c r="Z714" s="114"/>
      <c r="AA714" s="114"/>
      <c r="AB714" s="114"/>
      <c r="AC714" s="114"/>
      <c r="AD714" s="114"/>
      <c r="AE714" s="114"/>
      <c r="AF714" s="114"/>
      <c r="AG714" s="114"/>
      <c r="AH714" s="114"/>
    </row>
    <row r="715" spans="1:34" ht="24" customHeight="1" x14ac:dyDescent="0.6">
      <c r="A715" s="114"/>
      <c r="B715" s="114"/>
      <c r="C715" s="114"/>
      <c r="D715" s="114"/>
      <c r="E715" s="114"/>
      <c r="F715" s="115"/>
      <c r="G715" s="138"/>
      <c r="H715" s="114"/>
      <c r="I715" s="114"/>
      <c r="J715" s="114"/>
      <c r="K715" s="114"/>
      <c r="L715" s="114"/>
      <c r="M715" s="114"/>
      <c r="N715" s="114"/>
      <c r="O715" s="114"/>
      <c r="P715" s="114"/>
      <c r="Q715" s="114"/>
      <c r="R715" s="114"/>
      <c r="S715" s="114"/>
      <c r="T715" s="116"/>
      <c r="U715" s="116"/>
      <c r="V715" s="116"/>
      <c r="W715" s="209"/>
      <c r="X715" s="114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</row>
    <row r="716" spans="1:34" ht="24" customHeight="1" x14ac:dyDescent="0.6">
      <c r="A716" s="114"/>
      <c r="B716" s="114"/>
      <c r="C716" s="114"/>
      <c r="D716" s="114"/>
      <c r="E716" s="114"/>
      <c r="F716" s="115"/>
      <c r="G716" s="138"/>
      <c r="H716" s="114"/>
      <c r="I716" s="114"/>
      <c r="J716" s="114"/>
      <c r="K716" s="114"/>
      <c r="L716" s="114"/>
      <c r="M716" s="114"/>
      <c r="N716" s="114"/>
      <c r="O716" s="114"/>
      <c r="P716" s="114"/>
      <c r="Q716" s="114"/>
      <c r="R716" s="114"/>
      <c r="S716" s="114"/>
      <c r="T716" s="116"/>
      <c r="U716" s="116"/>
      <c r="V716" s="116"/>
      <c r="W716" s="209"/>
      <c r="X716" s="114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</row>
    <row r="717" spans="1:34" ht="24" customHeight="1" x14ac:dyDescent="0.6">
      <c r="A717" s="114"/>
      <c r="B717" s="114"/>
      <c r="C717" s="114"/>
      <c r="D717" s="114"/>
      <c r="E717" s="114"/>
      <c r="F717" s="115"/>
      <c r="G717" s="138"/>
      <c r="H717" s="114"/>
      <c r="I717" s="114"/>
      <c r="J717" s="114"/>
      <c r="K717" s="114"/>
      <c r="L717" s="114"/>
      <c r="M717" s="114"/>
      <c r="N717" s="114"/>
      <c r="O717" s="114"/>
      <c r="P717" s="114"/>
      <c r="Q717" s="114"/>
      <c r="R717" s="114"/>
      <c r="S717" s="114"/>
      <c r="T717" s="116"/>
      <c r="U717" s="116"/>
      <c r="V717" s="116"/>
      <c r="W717" s="209"/>
      <c r="X717" s="114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</row>
    <row r="718" spans="1:34" ht="24" customHeight="1" x14ac:dyDescent="0.6">
      <c r="A718" s="114"/>
      <c r="B718" s="114"/>
      <c r="C718" s="114"/>
      <c r="D718" s="114"/>
      <c r="E718" s="114"/>
      <c r="F718" s="115"/>
      <c r="G718" s="138"/>
      <c r="H718" s="114"/>
      <c r="I718" s="114"/>
      <c r="J718" s="114"/>
      <c r="K718" s="114"/>
      <c r="L718" s="114"/>
      <c r="M718" s="114"/>
      <c r="N718" s="114"/>
      <c r="O718" s="114"/>
      <c r="P718" s="114"/>
      <c r="Q718" s="114"/>
      <c r="R718" s="114"/>
      <c r="S718" s="114"/>
      <c r="T718" s="116"/>
      <c r="U718" s="116"/>
      <c r="V718" s="116"/>
      <c r="W718" s="209"/>
      <c r="X718" s="114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4"/>
    </row>
    <row r="719" spans="1:34" ht="24" customHeight="1" x14ac:dyDescent="0.6">
      <c r="A719" s="114"/>
      <c r="B719" s="114"/>
      <c r="C719" s="114"/>
      <c r="D719" s="114"/>
      <c r="E719" s="114"/>
      <c r="F719" s="115"/>
      <c r="G719" s="138"/>
      <c r="H719" s="114"/>
      <c r="I719" s="114"/>
      <c r="J719" s="114"/>
      <c r="K719" s="114"/>
      <c r="L719" s="114"/>
      <c r="M719" s="114"/>
      <c r="N719" s="114"/>
      <c r="O719" s="114"/>
      <c r="P719" s="114"/>
      <c r="Q719" s="114"/>
      <c r="R719" s="114"/>
      <c r="S719" s="114"/>
      <c r="T719" s="116"/>
      <c r="U719" s="116"/>
      <c r="V719" s="116"/>
      <c r="W719" s="209"/>
      <c r="X719" s="114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4"/>
    </row>
    <row r="720" spans="1:34" ht="24" customHeight="1" x14ac:dyDescent="0.6">
      <c r="A720" s="114"/>
      <c r="B720" s="114"/>
      <c r="C720" s="114"/>
      <c r="D720" s="114"/>
      <c r="E720" s="114"/>
      <c r="F720" s="115"/>
      <c r="G720" s="138"/>
      <c r="H720" s="114"/>
      <c r="I720" s="114"/>
      <c r="J720" s="114"/>
      <c r="K720" s="114"/>
      <c r="L720" s="114"/>
      <c r="M720" s="114"/>
      <c r="N720" s="114"/>
      <c r="O720" s="114"/>
      <c r="P720" s="114"/>
      <c r="Q720" s="114"/>
      <c r="R720" s="114"/>
      <c r="S720" s="114"/>
      <c r="T720" s="116"/>
      <c r="U720" s="116"/>
      <c r="V720" s="116"/>
      <c r="W720" s="209"/>
      <c r="X720" s="114"/>
      <c r="Y720" s="114"/>
      <c r="Z720" s="114"/>
      <c r="AA720" s="114"/>
      <c r="AB720" s="114"/>
      <c r="AC720" s="114"/>
      <c r="AD720" s="114"/>
      <c r="AE720" s="114"/>
      <c r="AF720" s="114"/>
      <c r="AG720" s="114"/>
      <c r="AH720" s="114"/>
    </row>
    <row r="721" spans="1:34" ht="24" customHeight="1" x14ac:dyDescent="0.6">
      <c r="A721" s="114"/>
      <c r="B721" s="114"/>
      <c r="C721" s="114"/>
      <c r="D721" s="114"/>
      <c r="E721" s="114"/>
      <c r="F721" s="115"/>
      <c r="G721" s="138"/>
      <c r="H721" s="114"/>
      <c r="I721" s="114"/>
      <c r="J721" s="114"/>
      <c r="K721" s="114"/>
      <c r="L721" s="114"/>
      <c r="M721" s="114"/>
      <c r="N721" s="114"/>
      <c r="O721" s="114"/>
      <c r="P721" s="114"/>
      <c r="Q721" s="114"/>
      <c r="R721" s="114"/>
      <c r="S721" s="114"/>
      <c r="T721" s="116"/>
      <c r="U721" s="116"/>
      <c r="V721" s="116"/>
      <c r="W721" s="209"/>
      <c r="X721" s="114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</row>
    <row r="722" spans="1:34" ht="24" customHeight="1" x14ac:dyDescent="0.6">
      <c r="A722" s="114"/>
      <c r="B722" s="114"/>
      <c r="C722" s="114"/>
      <c r="D722" s="114"/>
      <c r="E722" s="114"/>
      <c r="F722" s="115"/>
      <c r="G722" s="138"/>
      <c r="H722" s="114"/>
      <c r="I722" s="114"/>
      <c r="J722" s="114"/>
      <c r="K722" s="114"/>
      <c r="L722" s="114"/>
      <c r="M722" s="114"/>
      <c r="N722" s="114"/>
      <c r="O722" s="114"/>
      <c r="P722" s="114"/>
      <c r="Q722" s="114"/>
      <c r="R722" s="114"/>
      <c r="S722" s="114"/>
      <c r="T722" s="116"/>
      <c r="U722" s="116"/>
      <c r="V722" s="116"/>
      <c r="W722" s="209"/>
      <c r="X722" s="114"/>
      <c r="Y722" s="114"/>
      <c r="Z722" s="114"/>
      <c r="AA722" s="114"/>
      <c r="AB722" s="114"/>
      <c r="AC722" s="114"/>
      <c r="AD722" s="114"/>
      <c r="AE722" s="114"/>
      <c r="AF722" s="114"/>
      <c r="AG722" s="114"/>
      <c r="AH722" s="114"/>
    </row>
    <row r="723" spans="1:34" ht="24" customHeight="1" x14ac:dyDescent="0.6">
      <c r="A723" s="114"/>
      <c r="B723" s="114"/>
      <c r="C723" s="114"/>
      <c r="D723" s="114"/>
      <c r="E723" s="114"/>
      <c r="F723" s="115"/>
      <c r="G723" s="138"/>
      <c r="H723" s="114"/>
      <c r="I723" s="114"/>
      <c r="J723" s="114"/>
      <c r="K723" s="114"/>
      <c r="L723" s="114"/>
      <c r="M723" s="114"/>
      <c r="N723" s="114"/>
      <c r="O723" s="114"/>
      <c r="P723" s="114"/>
      <c r="Q723" s="114"/>
      <c r="R723" s="114"/>
      <c r="S723" s="114"/>
      <c r="T723" s="116"/>
      <c r="U723" s="116"/>
      <c r="V723" s="116"/>
      <c r="W723" s="209"/>
      <c r="X723" s="114"/>
      <c r="Y723" s="114"/>
      <c r="Z723" s="114"/>
      <c r="AA723" s="114"/>
      <c r="AB723" s="114"/>
      <c r="AC723" s="114"/>
      <c r="AD723" s="114"/>
      <c r="AE723" s="114"/>
      <c r="AF723" s="114"/>
      <c r="AG723" s="114"/>
      <c r="AH723" s="114"/>
    </row>
    <row r="724" spans="1:34" ht="24" customHeight="1" x14ac:dyDescent="0.6">
      <c r="A724" s="114"/>
      <c r="B724" s="114"/>
      <c r="C724" s="114"/>
      <c r="D724" s="114"/>
      <c r="E724" s="114"/>
      <c r="F724" s="115"/>
      <c r="G724" s="138"/>
      <c r="H724" s="114"/>
      <c r="I724" s="114"/>
      <c r="J724" s="114"/>
      <c r="K724" s="114"/>
      <c r="L724" s="114"/>
      <c r="M724" s="114"/>
      <c r="N724" s="114"/>
      <c r="O724" s="114"/>
      <c r="P724" s="114"/>
      <c r="Q724" s="114"/>
      <c r="R724" s="114"/>
      <c r="S724" s="114"/>
      <c r="T724" s="116"/>
      <c r="U724" s="116"/>
      <c r="V724" s="116"/>
      <c r="W724" s="209"/>
      <c r="X724" s="114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</row>
    <row r="725" spans="1:34" ht="24" customHeight="1" x14ac:dyDescent="0.6">
      <c r="A725" s="114"/>
      <c r="B725" s="114"/>
      <c r="C725" s="114"/>
      <c r="D725" s="114"/>
      <c r="E725" s="114"/>
      <c r="F725" s="115"/>
      <c r="G725" s="138"/>
      <c r="H725" s="114"/>
      <c r="I725" s="114"/>
      <c r="J725" s="114"/>
      <c r="K725" s="114"/>
      <c r="L725" s="114"/>
      <c r="M725" s="114"/>
      <c r="N725" s="114"/>
      <c r="O725" s="114"/>
      <c r="P725" s="114"/>
      <c r="Q725" s="114"/>
      <c r="R725" s="114"/>
      <c r="S725" s="114"/>
      <c r="T725" s="116"/>
      <c r="U725" s="116"/>
      <c r="V725" s="116"/>
      <c r="W725" s="209"/>
      <c r="X725" s="114"/>
      <c r="Y725" s="114"/>
      <c r="Z725" s="114"/>
      <c r="AA725" s="114"/>
      <c r="AB725" s="114"/>
      <c r="AC725" s="114"/>
      <c r="AD725" s="114"/>
      <c r="AE725" s="114"/>
      <c r="AF725" s="114"/>
      <c r="AG725" s="114"/>
      <c r="AH725" s="114"/>
    </row>
    <row r="726" spans="1:34" ht="24" customHeight="1" x14ac:dyDescent="0.6">
      <c r="A726" s="114"/>
      <c r="B726" s="114"/>
      <c r="C726" s="114"/>
      <c r="D726" s="114"/>
      <c r="E726" s="114"/>
      <c r="F726" s="115"/>
      <c r="G726" s="138"/>
      <c r="H726" s="114"/>
      <c r="I726" s="114"/>
      <c r="J726" s="114"/>
      <c r="K726" s="114"/>
      <c r="L726" s="114"/>
      <c r="M726" s="114"/>
      <c r="N726" s="114"/>
      <c r="O726" s="114"/>
      <c r="P726" s="114"/>
      <c r="Q726" s="114"/>
      <c r="R726" s="114"/>
      <c r="S726" s="114"/>
      <c r="T726" s="116"/>
      <c r="U726" s="116"/>
      <c r="V726" s="116"/>
      <c r="W726" s="209"/>
      <c r="X726" s="114"/>
      <c r="Y726" s="114"/>
      <c r="Z726" s="114"/>
      <c r="AA726" s="114"/>
      <c r="AB726" s="114"/>
      <c r="AC726" s="114"/>
      <c r="AD726" s="114"/>
      <c r="AE726" s="114"/>
      <c r="AF726" s="114"/>
      <c r="AG726" s="114"/>
      <c r="AH726" s="114"/>
    </row>
    <row r="727" spans="1:34" ht="24" customHeight="1" x14ac:dyDescent="0.6">
      <c r="A727" s="114"/>
      <c r="B727" s="114"/>
      <c r="C727" s="114"/>
      <c r="D727" s="114"/>
      <c r="E727" s="114"/>
      <c r="F727" s="115"/>
      <c r="G727" s="138"/>
      <c r="H727" s="114"/>
      <c r="I727" s="114"/>
      <c r="J727" s="114"/>
      <c r="K727" s="114"/>
      <c r="L727" s="114"/>
      <c r="M727" s="114"/>
      <c r="N727" s="114"/>
      <c r="O727" s="114"/>
      <c r="P727" s="114"/>
      <c r="Q727" s="114"/>
      <c r="R727" s="114"/>
      <c r="S727" s="114"/>
      <c r="T727" s="116"/>
      <c r="U727" s="116"/>
      <c r="V727" s="116"/>
      <c r="W727" s="209"/>
      <c r="X727" s="114"/>
      <c r="Y727" s="114"/>
      <c r="Z727" s="114"/>
      <c r="AA727" s="114"/>
      <c r="AB727" s="114"/>
      <c r="AC727" s="114"/>
      <c r="AD727" s="114"/>
      <c r="AE727" s="114"/>
      <c r="AF727" s="114"/>
      <c r="AG727" s="114"/>
      <c r="AH727" s="114"/>
    </row>
    <row r="728" spans="1:34" ht="24" customHeight="1" x14ac:dyDescent="0.6">
      <c r="A728" s="114"/>
      <c r="B728" s="114"/>
      <c r="C728" s="114"/>
      <c r="D728" s="114"/>
      <c r="E728" s="114"/>
      <c r="F728" s="115"/>
      <c r="G728" s="138"/>
      <c r="H728" s="114"/>
      <c r="I728" s="114"/>
      <c r="J728" s="114"/>
      <c r="K728" s="114"/>
      <c r="L728" s="114"/>
      <c r="M728" s="114"/>
      <c r="N728" s="114"/>
      <c r="O728" s="114"/>
      <c r="P728" s="114"/>
      <c r="Q728" s="114"/>
      <c r="R728" s="114"/>
      <c r="S728" s="114"/>
      <c r="T728" s="116"/>
      <c r="U728" s="116"/>
      <c r="V728" s="116"/>
      <c r="W728" s="209"/>
      <c r="X728" s="114"/>
      <c r="Y728" s="114"/>
      <c r="Z728" s="114"/>
      <c r="AA728" s="114"/>
      <c r="AB728" s="114"/>
      <c r="AC728" s="114"/>
      <c r="AD728" s="114"/>
      <c r="AE728" s="114"/>
      <c r="AF728" s="114"/>
      <c r="AG728" s="114"/>
      <c r="AH728" s="114"/>
    </row>
    <row r="729" spans="1:34" ht="24" customHeight="1" x14ac:dyDescent="0.6">
      <c r="A729" s="114"/>
      <c r="B729" s="114"/>
      <c r="C729" s="114"/>
      <c r="D729" s="114"/>
      <c r="E729" s="114"/>
      <c r="F729" s="115"/>
      <c r="G729" s="138"/>
      <c r="H729" s="114"/>
      <c r="I729" s="114"/>
      <c r="J729" s="114"/>
      <c r="K729" s="114"/>
      <c r="L729" s="114"/>
      <c r="M729" s="114"/>
      <c r="N729" s="114"/>
      <c r="O729" s="114"/>
      <c r="P729" s="114"/>
      <c r="Q729" s="114"/>
      <c r="R729" s="114"/>
      <c r="S729" s="114"/>
      <c r="T729" s="116"/>
      <c r="U729" s="116"/>
      <c r="V729" s="116"/>
      <c r="W729" s="209"/>
      <c r="X729" s="114"/>
      <c r="Y729" s="114"/>
      <c r="Z729" s="114"/>
      <c r="AA729" s="114"/>
      <c r="AB729" s="114"/>
      <c r="AC729" s="114"/>
      <c r="AD729" s="114"/>
      <c r="AE729" s="114"/>
      <c r="AF729" s="114"/>
      <c r="AG729" s="114"/>
      <c r="AH729" s="114"/>
    </row>
    <row r="730" spans="1:34" ht="24" customHeight="1" x14ac:dyDescent="0.6">
      <c r="A730" s="114"/>
      <c r="B730" s="114"/>
      <c r="C730" s="114"/>
      <c r="D730" s="114"/>
      <c r="E730" s="114"/>
      <c r="F730" s="115"/>
      <c r="G730" s="138"/>
      <c r="H730" s="114"/>
      <c r="I730" s="114"/>
      <c r="J730" s="114"/>
      <c r="K730" s="114"/>
      <c r="L730" s="114"/>
      <c r="M730" s="114"/>
      <c r="N730" s="114"/>
      <c r="O730" s="114"/>
      <c r="P730" s="114"/>
      <c r="Q730" s="114"/>
      <c r="R730" s="114"/>
      <c r="S730" s="114"/>
      <c r="T730" s="116"/>
      <c r="U730" s="116"/>
      <c r="V730" s="116"/>
      <c r="W730" s="209"/>
      <c r="X730" s="114"/>
      <c r="Y730" s="114"/>
      <c r="Z730" s="114"/>
      <c r="AA730" s="114"/>
      <c r="AB730" s="114"/>
      <c r="AC730" s="114"/>
      <c r="AD730" s="114"/>
      <c r="AE730" s="114"/>
      <c r="AF730" s="114"/>
      <c r="AG730" s="114"/>
      <c r="AH730" s="114"/>
    </row>
    <row r="731" spans="1:34" ht="24" customHeight="1" x14ac:dyDescent="0.6">
      <c r="A731" s="114"/>
      <c r="B731" s="114"/>
      <c r="C731" s="114"/>
      <c r="D731" s="114"/>
      <c r="E731" s="114"/>
      <c r="F731" s="115"/>
      <c r="G731" s="138"/>
      <c r="H731" s="114"/>
      <c r="I731" s="114"/>
      <c r="J731" s="114"/>
      <c r="K731" s="114"/>
      <c r="L731" s="114"/>
      <c r="M731" s="114"/>
      <c r="N731" s="114"/>
      <c r="O731" s="114"/>
      <c r="P731" s="114"/>
      <c r="Q731" s="114"/>
      <c r="R731" s="114"/>
      <c r="S731" s="114"/>
      <c r="T731" s="116"/>
      <c r="U731" s="116"/>
      <c r="V731" s="116"/>
      <c r="W731" s="209"/>
      <c r="X731" s="114"/>
      <c r="Y731" s="114"/>
      <c r="Z731" s="114"/>
      <c r="AA731" s="114"/>
      <c r="AB731" s="114"/>
      <c r="AC731" s="114"/>
      <c r="AD731" s="114"/>
      <c r="AE731" s="114"/>
      <c r="AF731" s="114"/>
      <c r="AG731" s="114"/>
      <c r="AH731" s="114"/>
    </row>
    <row r="732" spans="1:34" ht="24" customHeight="1" x14ac:dyDescent="0.6">
      <c r="A732" s="114"/>
      <c r="B732" s="114"/>
      <c r="C732" s="114"/>
      <c r="D732" s="114"/>
      <c r="E732" s="114"/>
      <c r="F732" s="115"/>
      <c r="G732" s="138"/>
      <c r="H732" s="114"/>
      <c r="I732" s="114"/>
      <c r="J732" s="114"/>
      <c r="K732" s="114"/>
      <c r="L732" s="114"/>
      <c r="M732" s="114"/>
      <c r="N732" s="114"/>
      <c r="O732" s="114"/>
      <c r="P732" s="114"/>
      <c r="Q732" s="114"/>
      <c r="R732" s="114"/>
      <c r="S732" s="114"/>
      <c r="T732" s="116"/>
      <c r="U732" s="116"/>
      <c r="V732" s="116"/>
      <c r="W732" s="209"/>
      <c r="X732" s="114"/>
      <c r="Y732" s="114"/>
      <c r="Z732" s="114"/>
      <c r="AA732" s="114"/>
      <c r="AB732" s="114"/>
      <c r="AC732" s="114"/>
      <c r="AD732" s="114"/>
      <c r="AE732" s="114"/>
      <c r="AF732" s="114"/>
      <c r="AG732" s="114"/>
      <c r="AH732" s="114"/>
    </row>
    <row r="733" spans="1:34" ht="24" customHeight="1" x14ac:dyDescent="0.6">
      <c r="A733" s="114"/>
      <c r="B733" s="114"/>
      <c r="C733" s="114"/>
      <c r="D733" s="114"/>
      <c r="E733" s="114"/>
      <c r="F733" s="115"/>
      <c r="G733" s="138"/>
      <c r="H733" s="114"/>
      <c r="I733" s="114"/>
      <c r="J733" s="114"/>
      <c r="K733" s="114"/>
      <c r="L733" s="114"/>
      <c r="M733" s="114"/>
      <c r="N733" s="114"/>
      <c r="O733" s="114"/>
      <c r="P733" s="114"/>
      <c r="Q733" s="114"/>
      <c r="R733" s="114"/>
      <c r="S733" s="114"/>
      <c r="T733" s="116"/>
      <c r="U733" s="116"/>
      <c r="V733" s="116"/>
      <c r="W733" s="209"/>
      <c r="X733" s="114"/>
      <c r="Y733" s="114"/>
      <c r="Z733" s="114"/>
      <c r="AA733" s="114"/>
      <c r="AB733" s="114"/>
      <c r="AC733" s="114"/>
      <c r="AD733" s="114"/>
      <c r="AE733" s="114"/>
      <c r="AF733" s="114"/>
      <c r="AG733" s="114"/>
      <c r="AH733" s="114"/>
    </row>
    <row r="734" spans="1:34" ht="24" customHeight="1" x14ac:dyDescent="0.6">
      <c r="A734" s="114"/>
      <c r="B734" s="114"/>
      <c r="C734" s="114"/>
      <c r="D734" s="114"/>
      <c r="E734" s="114"/>
      <c r="F734" s="115"/>
      <c r="G734" s="138"/>
      <c r="H734" s="114"/>
      <c r="I734" s="114"/>
      <c r="J734" s="114"/>
      <c r="K734" s="114"/>
      <c r="L734" s="114"/>
      <c r="M734" s="114"/>
      <c r="N734" s="114"/>
      <c r="O734" s="114"/>
      <c r="P734" s="114"/>
      <c r="Q734" s="114"/>
      <c r="R734" s="114"/>
      <c r="S734" s="114"/>
      <c r="T734" s="116"/>
      <c r="U734" s="116"/>
      <c r="V734" s="116"/>
      <c r="W734" s="209"/>
      <c r="X734" s="114"/>
      <c r="Y734" s="114"/>
      <c r="Z734" s="114"/>
      <c r="AA734" s="114"/>
      <c r="AB734" s="114"/>
      <c r="AC734" s="114"/>
      <c r="AD734" s="114"/>
      <c r="AE734" s="114"/>
      <c r="AF734" s="114"/>
      <c r="AG734" s="114"/>
      <c r="AH734" s="114"/>
    </row>
    <row r="735" spans="1:34" ht="24" customHeight="1" x14ac:dyDescent="0.6">
      <c r="A735" s="114"/>
      <c r="B735" s="114"/>
      <c r="C735" s="114"/>
      <c r="D735" s="114"/>
      <c r="E735" s="114"/>
      <c r="F735" s="115"/>
      <c r="G735" s="138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114"/>
      <c r="S735" s="114"/>
      <c r="T735" s="116"/>
      <c r="U735" s="116"/>
      <c r="V735" s="116"/>
      <c r="W735" s="209"/>
      <c r="X735" s="114"/>
      <c r="Y735" s="114"/>
      <c r="Z735" s="114"/>
      <c r="AA735" s="114"/>
      <c r="AB735" s="114"/>
      <c r="AC735" s="114"/>
      <c r="AD735" s="114"/>
      <c r="AE735" s="114"/>
      <c r="AF735" s="114"/>
      <c r="AG735" s="114"/>
      <c r="AH735" s="114"/>
    </row>
    <row r="736" spans="1:34" ht="24" customHeight="1" x14ac:dyDescent="0.6">
      <c r="A736" s="114"/>
      <c r="B736" s="114"/>
      <c r="C736" s="114"/>
      <c r="D736" s="114"/>
      <c r="E736" s="114"/>
      <c r="F736" s="115"/>
      <c r="G736" s="138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114"/>
      <c r="S736" s="114"/>
      <c r="T736" s="116"/>
      <c r="U736" s="116"/>
      <c r="V736" s="116"/>
      <c r="W736" s="209"/>
      <c r="X736" s="114"/>
      <c r="Y736" s="114"/>
      <c r="Z736" s="114"/>
      <c r="AA736" s="114"/>
      <c r="AB736" s="114"/>
      <c r="AC736" s="114"/>
      <c r="AD736" s="114"/>
      <c r="AE736" s="114"/>
      <c r="AF736" s="114"/>
      <c r="AG736" s="114"/>
      <c r="AH736" s="114"/>
    </row>
    <row r="737" spans="1:34" ht="24" customHeight="1" x14ac:dyDescent="0.6">
      <c r="A737" s="114"/>
      <c r="B737" s="114"/>
      <c r="C737" s="114"/>
      <c r="D737" s="114"/>
      <c r="E737" s="114"/>
      <c r="F737" s="115"/>
      <c r="G737" s="138"/>
      <c r="H737" s="114"/>
      <c r="I737" s="114"/>
      <c r="J737" s="114"/>
      <c r="K737" s="114"/>
      <c r="L737" s="114"/>
      <c r="M737" s="114"/>
      <c r="N737" s="114"/>
      <c r="O737" s="114"/>
      <c r="P737" s="114"/>
      <c r="Q737" s="114"/>
      <c r="R737" s="114"/>
      <c r="S737" s="114"/>
      <c r="T737" s="116"/>
      <c r="U737" s="116"/>
      <c r="V737" s="116"/>
      <c r="W737" s="209"/>
      <c r="X737" s="114"/>
      <c r="Y737" s="114"/>
      <c r="Z737" s="114"/>
      <c r="AA737" s="114"/>
      <c r="AB737" s="114"/>
      <c r="AC737" s="114"/>
      <c r="AD737" s="114"/>
      <c r="AE737" s="114"/>
      <c r="AF737" s="114"/>
      <c r="AG737" s="114"/>
      <c r="AH737" s="114"/>
    </row>
    <row r="738" spans="1:34" ht="24" customHeight="1" x14ac:dyDescent="0.6">
      <c r="A738" s="114"/>
      <c r="B738" s="114"/>
      <c r="C738" s="114"/>
      <c r="D738" s="114"/>
      <c r="E738" s="114"/>
      <c r="F738" s="115"/>
      <c r="G738" s="138"/>
      <c r="H738" s="114"/>
      <c r="I738" s="114"/>
      <c r="J738" s="114"/>
      <c r="K738" s="114"/>
      <c r="L738" s="114"/>
      <c r="M738" s="114"/>
      <c r="N738" s="114"/>
      <c r="O738" s="114"/>
      <c r="P738" s="114"/>
      <c r="Q738" s="114"/>
      <c r="R738" s="114"/>
      <c r="S738" s="114"/>
      <c r="T738" s="116"/>
      <c r="U738" s="116"/>
      <c r="V738" s="116"/>
      <c r="W738" s="209"/>
      <c r="X738" s="114"/>
      <c r="Y738" s="114"/>
      <c r="Z738" s="114"/>
      <c r="AA738" s="114"/>
      <c r="AB738" s="114"/>
      <c r="AC738" s="114"/>
      <c r="AD738" s="114"/>
      <c r="AE738" s="114"/>
      <c r="AF738" s="114"/>
      <c r="AG738" s="114"/>
      <c r="AH738" s="114"/>
    </row>
    <row r="739" spans="1:34" ht="24" customHeight="1" x14ac:dyDescent="0.6">
      <c r="A739" s="114"/>
      <c r="B739" s="114"/>
      <c r="C739" s="114"/>
      <c r="D739" s="114"/>
      <c r="E739" s="114"/>
      <c r="F739" s="115"/>
      <c r="G739" s="138"/>
      <c r="H739" s="114"/>
      <c r="I739" s="114"/>
      <c r="J739" s="114"/>
      <c r="K739" s="114"/>
      <c r="L739" s="114"/>
      <c r="M739" s="114"/>
      <c r="N739" s="114"/>
      <c r="O739" s="114"/>
      <c r="P739" s="114"/>
      <c r="Q739" s="114"/>
      <c r="R739" s="114"/>
      <c r="S739" s="114"/>
      <c r="T739" s="116"/>
      <c r="U739" s="116"/>
      <c r="V739" s="116"/>
      <c r="W739" s="209"/>
      <c r="X739" s="114"/>
      <c r="Y739" s="114"/>
      <c r="Z739" s="114"/>
      <c r="AA739" s="114"/>
      <c r="AB739" s="114"/>
      <c r="AC739" s="114"/>
      <c r="AD739" s="114"/>
      <c r="AE739" s="114"/>
      <c r="AF739" s="114"/>
      <c r="AG739" s="114"/>
      <c r="AH739" s="114"/>
    </row>
    <row r="740" spans="1:34" ht="24" customHeight="1" x14ac:dyDescent="0.6">
      <c r="A740" s="114"/>
      <c r="B740" s="114"/>
      <c r="C740" s="114"/>
      <c r="D740" s="114"/>
      <c r="E740" s="114"/>
      <c r="F740" s="115"/>
      <c r="G740" s="138"/>
      <c r="H740" s="114"/>
      <c r="I740" s="114"/>
      <c r="J740" s="114"/>
      <c r="K740" s="114"/>
      <c r="L740" s="114"/>
      <c r="M740" s="114"/>
      <c r="N740" s="114"/>
      <c r="O740" s="114"/>
      <c r="P740" s="114"/>
      <c r="Q740" s="114"/>
      <c r="R740" s="114"/>
      <c r="S740" s="114"/>
      <c r="T740" s="116"/>
      <c r="U740" s="116"/>
      <c r="V740" s="116"/>
      <c r="W740" s="209"/>
      <c r="X740" s="114"/>
      <c r="Y740" s="114"/>
      <c r="Z740" s="114"/>
      <c r="AA740" s="114"/>
      <c r="AB740" s="114"/>
      <c r="AC740" s="114"/>
      <c r="AD740" s="114"/>
      <c r="AE740" s="114"/>
      <c r="AF740" s="114"/>
      <c r="AG740" s="114"/>
      <c r="AH740" s="114"/>
    </row>
    <row r="741" spans="1:34" ht="24" customHeight="1" x14ac:dyDescent="0.6">
      <c r="A741" s="114"/>
      <c r="B741" s="114"/>
      <c r="C741" s="114"/>
      <c r="D741" s="114"/>
      <c r="E741" s="114"/>
      <c r="F741" s="115"/>
      <c r="G741" s="138"/>
      <c r="H741" s="114"/>
      <c r="I741" s="114"/>
      <c r="J741" s="114"/>
      <c r="K741" s="114"/>
      <c r="L741" s="114"/>
      <c r="M741" s="114"/>
      <c r="N741" s="114"/>
      <c r="O741" s="114"/>
      <c r="P741" s="114"/>
      <c r="Q741" s="114"/>
      <c r="R741" s="114"/>
      <c r="S741" s="114"/>
      <c r="T741" s="116"/>
      <c r="U741" s="116"/>
      <c r="V741" s="116"/>
      <c r="W741" s="209"/>
      <c r="X741" s="114"/>
      <c r="Y741" s="114"/>
      <c r="Z741" s="114"/>
      <c r="AA741" s="114"/>
      <c r="AB741" s="114"/>
      <c r="AC741" s="114"/>
      <c r="AD741" s="114"/>
      <c r="AE741" s="114"/>
      <c r="AF741" s="114"/>
      <c r="AG741" s="114"/>
      <c r="AH741" s="114"/>
    </row>
    <row r="742" spans="1:34" ht="24" customHeight="1" x14ac:dyDescent="0.6">
      <c r="A742" s="114"/>
      <c r="B742" s="114"/>
      <c r="C742" s="114"/>
      <c r="D742" s="114"/>
      <c r="E742" s="114"/>
      <c r="F742" s="115"/>
      <c r="G742" s="138"/>
      <c r="H742" s="114"/>
      <c r="I742" s="114"/>
      <c r="J742" s="114"/>
      <c r="K742" s="114"/>
      <c r="L742" s="114"/>
      <c r="M742" s="114"/>
      <c r="N742" s="114"/>
      <c r="O742" s="114"/>
      <c r="P742" s="114"/>
      <c r="Q742" s="114"/>
      <c r="R742" s="114"/>
      <c r="S742" s="114"/>
      <c r="T742" s="116"/>
      <c r="U742" s="116"/>
      <c r="V742" s="116"/>
      <c r="W742" s="209"/>
      <c r="X742" s="114"/>
      <c r="Y742" s="114"/>
      <c r="Z742" s="114"/>
      <c r="AA742" s="114"/>
      <c r="AB742" s="114"/>
      <c r="AC742" s="114"/>
      <c r="AD742" s="114"/>
      <c r="AE742" s="114"/>
      <c r="AF742" s="114"/>
      <c r="AG742" s="114"/>
      <c r="AH742" s="114"/>
    </row>
    <row r="743" spans="1:34" ht="24" customHeight="1" x14ac:dyDescent="0.6">
      <c r="A743" s="114"/>
      <c r="B743" s="114"/>
      <c r="C743" s="114"/>
      <c r="D743" s="114"/>
      <c r="E743" s="114"/>
      <c r="F743" s="115"/>
      <c r="G743" s="138"/>
      <c r="H743" s="114"/>
      <c r="I743" s="114"/>
      <c r="J743" s="114"/>
      <c r="K743" s="114"/>
      <c r="L743" s="114"/>
      <c r="M743" s="114"/>
      <c r="N743" s="114"/>
      <c r="O743" s="114"/>
      <c r="P743" s="114"/>
      <c r="Q743" s="114"/>
      <c r="R743" s="114"/>
      <c r="S743" s="114"/>
      <c r="T743" s="116"/>
      <c r="U743" s="116"/>
      <c r="V743" s="116"/>
      <c r="W743" s="209"/>
      <c r="X743" s="114"/>
      <c r="Y743" s="114"/>
      <c r="Z743" s="114"/>
      <c r="AA743" s="114"/>
      <c r="AB743" s="114"/>
      <c r="AC743" s="114"/>
      <c r="AD743" s="114"/>
      <c r="AE743" s="114"/>
      <c r="AF743" s="114"/>
      <c r="AG743" s="114"/>
      <c r="AH743" s="114"/>
    </row>
    <row r="744" spans="1:34" ht="24" customHeight="1" x14ac:dyDescent="0.6">
      <c r="A744" s="114"/>
      <c r="B744" s="114"/>
      <c r="C744" s="114"/>
      <c r="D744" s="114"/>
      <c r="E744" s="114"/>
      <c r="F744" s="115"/>
      <c r="G744" s="138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114"/>
      <c r="S744" s="114"/>
      <c r="T744" s="116"/>
      <c r="U744" s="116"/>
      <c r="V744" s="116"/>
      <c r="W744" s="209"/>
      <c r="X744" s="114"/>
      <c r="Y744" s="114"/>
      <c r="Z744" s="114"/>
      <c r="AA744" s="114"/>
      <c r="AB744" s="114"/>
      <c r="AC744" s="114"/>
      <c r="AD744" s="114"/>
      <c r="AE744" s="114"/>
      <c r="AF744" s="114"/>
      <c r="AG744" s="114"/>
      <c r="AH744" s="114"/>
    </row>
    <row r="745" spans="1:34" ht="24" customHeight="1" x14ac:dyDescent="0.6">
      <c r="A745" s="114"/>
      <c r="B745" s="114"/>
      <c r="C745" s="114"/>
      <c r="D745" s="114"/>
      <c r="E745" s="114"/>
      <c r="F745" s="115"/>
      <c r="G745" s="138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114"/>
      <c r="S745" s="114"/>
      <c r="T745" s="116"/>
      <c r="U745" s="116"/>
      <c r="V745" s="116"/>
      <c r="W745" s="209"/>
      <c r="X745" s="114"/>
      <c r="Y745" s="114"/>
      <c r="Z745" s="114"/>
      <c r="AA745" s="114"/>
      <c r="AB745" s="114"/>
      <c r="AC745" s="114"/>
      <c r="AD745" s="114"/>
      <c r="AE745" s="114"/>
      <c r="AF745" s="114"/>
      <c r="AG745" s="114"/>
      <c r="AH745" s="114"/>
    </row>
    <row r="746" spans="1:34" ht="24" customHeight="1" x14ac:dyDescent="0.6">
      <c r="A746" s="114"/>
      <c r="B746" s="114"/>
      <c r="C746" s="114"/>
      <c r="D746" s="114"/>
      <c r="E746" s="114"/>
      <c r="F746" s="115"/>
      <c r="G746" s="138"/>
      <c r="H746" s="114"/>
      <c r="I746" s="114"/>
      <c r="J746" s="114"/>
      <c r="K746" s="114"/>
      <c r="L746" s="114"/>
      <c r="M746" s="114"/>
      <c r="N746" s="114"/>
      <c r="O746" s="114"/>
      <c r="P746" s="114"/>
      <c r="Q746" s="114"/>
      <c r="R746" s="114"/>
      <c r="S746" s="114"/>
      <c r="T746" s="116"/>
      <c r="U746" s="116"/>
      <c r="V746" s="116"/>
      <c r="W746" s="209"/>
      <c r="X746" s="114"/>
      <c r="Y746" s="114"/>
      <c r="Z746" s="114"/>
      <c r="AA746" s="114"/>
      <c r="AB746" s="114"/>
      <c r="AC746" s="114"/>
      <c r="AD746" s="114"/>
      <c r="AE746" s="114"/>
      <c r="AF746" s="114"/>
      <c r="AG746" s="114"/>
      <c r="AH746" s="114"/>
    </row>
    <row r="747" spans="1:34" ht="24" customHeight="1" x14ac:dyDescent="0.6">
      <c r="A747" s="114"/>
      <c r="B747" s="114"/>
      <c r="C747" s="114"/>
      <c r="D747" s="114"/>
      <c r="E747" s="114"/>
      <c r="F747" s="115"/>
      <c r="G747" s="138"/>
      <c r="H747" s="114"/>
      <c r="I747" s="114"/>
      <c r="J747" s="114"/>
      <c r="K747" s="114"/>
      <c r="L747" s="114"/>
      <c r="M747" s="114"/>
      <c r="N747" s="114"/>
      <c r="O747" s="114"/>
      <c r="P747" s="114"/>
      <c r="Q747" s="114"/>
      <c r="R747" s="114"/>
      <c r="S747" s="114"/>
      <c r="T747" s="116"/>
      <c r="U747" s="116"/>
      <c r="V747" s="116"/>
      <c r="W747" s="209"/>
      <c r="X747" s="114"/>
      <c r="Y747" s="114"/>
      <c r="Z747" s="114"/>
      <c r="AA747" s="114"/>
      <c r="AB747" s="114"/>
      <c r="AC747" s="114"/>
      <c r="AD747" s="114"/>
      <c r="AE747" s="114"/>
      <c r="AF747" s="114"/>
      <c r="AG747" s="114"/>
      <c r="AH747" s="114"/>
    </row>
    <row r="748" spans="1:34" ht="24" customHeight="1" x14ac:dyDescent="0.6">
      <c r="A748" s="114"/>
      <c r="B748" s="114"/>
      <c r="C748" s="114"/>
      <c r="D748" s="114"/>
      <c r="E748" s="114"/>
      <c r="F748" s="115"/>
      <c r="G748" s="138"/>
      <c r="H748" s="114"/>
      <c r="I748" s="114"/>
      <c r="J748" s="114"/>
      <c r="K748" s="114"/>
      <c r="L748" s="114"/>
      <c r="M748" s="114"/>
      <c r="N748" s="114"/>
      <c r="O748" s="114"/>
      <c r="P748" s="114"/>
      <c r="Q748" s="114"/>
      <c r="R748" s="114"/>
      <c r="S748" s="114"/>
      <c r="T748" s="116"/>
      <c r="U748" s="116"/>
      <c r="V748" s="116"/>
      <c r="W748" s="209"/>
      <c r="X748" s="114"/>
      <c r="Y748" s="114"/>
      <c r="Z748" s="114"/>
      <c r="AA748" s="114"/>
      <c r="AB748" s="114"/>
      <c r="AC748" s="114"/>
      <c r="AD748" s="114"/>
      <c r="AE748" s="114"/>
      <c r="AF748" s="114"/>
      <c r="AG748" s="114"/>
      <c r="AH748" s="114"/>
    </row>
    <row r="749" spans="1:34" ht="24" customHeight="1" x14ac:dyDescent="0.6">
      <c r="A749" s="114"/>
      <c r="B749" s="114"/>
      <c r="C749" s="114"/>
      <c r="D749" s="114"/>
      <c r="E749" s="114"/>
      <c r="F749" s="115"/>
      <c r="G749" s="138"/>
      <c r="H749" s="114"/>
      <c r="I749" s="114"/>
      <c r="J749" s="114"/>
      <c r="K749" s="114"/>
      <c r="L749" s="114"/>
      <c r="M749" s="114"/>
      <c r="N749" s="114"/>
      <c r="O749" s="114"/>
      <c r="P749" s="114"/>
      <c r="Q749" s="114"/>
      <c r="R749" s="114"/>
      <c r="S749" s="114"/>
      <c r="T749" s="116"/>
      <c r="U749" s="116"/>
      <c r="V749" s="116"/>
      <c r="W749" s="209"/>
      <c r="X749" s="114"/>
      <c r="Y749" s="114"/>
      <c r="Z749" s="114"/>
      <c r="AA749" s="114"/>
      <c r="AB749" s="114"/>
      <c r="AC749" s="114"/>
      <c r="AD749" s="114"/>
      <c r="AE749" s="114"/>
      <c r="AF749" s="114"/>
      <c r="AG749" s="114"/>
      <c r="AH749" s="114"/>
    </row>
    <row r="750" spans="1:34" ht="24" customHeight="1" x14ac:dyDescent="0.6">
      <c r="A750" s="114"/>
      <c r="B750" s="114"/>
      <c r="C750" s="114"/>
      <c r="D750" s="114"/>
      <c r="E750" s="114"/>
      <c r="F750" s="115"/>
      <c r="G750" s="138"/>
      <c r="H750" s="114"/>
      <c r="I750" s="114"/>
      <c r="J750" s="114"/>
      <c r="K750" s="114"/>
      <c r="L750" s="114"/>
      <c r="M750" s="114"/>
      <c r="N750" s="114"/>
      <c r="O750" s="114"/>
      <c r="P750" s="114"/>
      <c r="Q750" s="114"/>
      <c r="R750" s="114"/>
      <c r="S750" s="114"/>
      <c r="T750" s="116"/>
      <c r="U750" s="116"/>
      <c r="V750" s="116"/>
      <c r="W750" s="209"/>
      <c r="X750" s="114"/>
      <c r="Y750" s="114"/>
      <c r="Z750" s="114"/>
      <c r="AA750" s="114"/>
      <c r="AB750" s="114"/>
      <c r="AC750" s="114"/>
      <c r="AD750" s="114"/>
      <c r="AE750" s="114"/>
      <c r="AF750" s="114"/>
      <c r="AG750" s="114"/>
      <c r="AH750" s="114"/>
    </row>
    <row r="751" spans="1:34" ht="24" customHeight="1" x14ac:dyDescent="0.6">
      <c r="A751" s="114"/>
      <c r="B751" s="114"/>
      <c r="C751" s="114"/>
      <c r="D751" s="114"/>
      <c r="E751" s="114"/>
      <c r="F751" s="115"/>
      <c r="G751" s="138"/>
      <c r="H751" s="114"/>
      <c r="I751" s="114"/>
      <c r="J751" s="114"/>
      <c r="K751" s="114"/>
      <c r="L751" s="114"/>
      <c r="M751" s="114"/>
      <c r="N751" s="114"/>
      <c r="O751" s="114"/>
      <c r="P751" s="114"/>
      <c r="Q751" s="114"/>
      <c r="R751" s="114"/>
      <c r="S751" s="114"/>
      <c r="T751" s="116"/>
      <c r="U751" s="116"/>
      <c r="V751" s="116"/>
      <c r="W751" s="209"/>
      <c r="X751" s="114"/>
      <c r="Y751" s="114"/>
      <c r="Z751" s="114"/>
      <c r="AA751" s="114"/>
      <c r="AB751" s="114"/>
      <c r="AC751" s="114"/>
      <c r="AD751" s="114"/>
      <c r="AE751" s="114"/>
      <c r="AF751" s="114"/>
      <c r="AG751" s="114"/>
      <c r="AH751" s="114"/>
    </row>
    <row r="752" spans="1:34" ht="24" customHeight="1" x14ac:dyDescent="0.6">
      <c r="A752" s="114"/>
      <c r="B752" s="114"/>
      <c r="C752" s="114"/>
      <c r="D752" s="114"/>
      <c r="E752" s="114"/>
      <c r="F752" s="115"/>
      <c r="G752" s="138"/>
      <c r="H752" s="114"/>
      <c r="I752" s="114"/>
      <c r="J752" s="114"/>
      <c r="K752" s="114"/>
      <c r="L752" s="114"/>
      <c r="M752" s="114"/>
      <c r="N752" s="114"/>
      <c r="O752" s="114"/>
      <c r="P752" s="114"/>
      <c r="Q752" s="114"/>
      <c r="R752" s="114"/>
      <c r="S752" s="114"/>
      <c r="T752" s="116"/>
      <c r="U752" s="116"/>
      <c r="V752" s="116"/>
      <c r="W752" s="209"/>
      <c r="X752" s="114"/>
      <c r="Y752" s="114"/>
      <c r="Z752" s="114"/>
      <c r="AA752" s="114"/>
      <c r="AB752" s="114"/>
      <c r="AC752" s="114"/>
      <c r="AD752" s="114"/>
      <c r="AE752" s="114"/>
      <c r="AF752" s="114"/>
      <c r="AG752" s="114"/>
      <c r="AH752" s="114"/>
    </row>
    <row r="753" spans="1:34" ht="24" customHeight="1" x14ac:dyDescent="0.6">
      <c r="A753" s="114"/>
      <c r="B753" s="114"/>
      <c r="C753" s="114"/>
      <c r="D753" s="114"/>
      <c r="E753" s="114"/>
      <c r="F753" s="115"/>
      <c r="G753" s="138"/>
      <c r="H753" s="114"/>
      <c r="I753" s="114"/>
      <c r="J753" s="114"/>
      <c r="K753" s="114"/>
      <c r="L753" s="114"/>
      <c r="M753" s="114"/>
      <c r="N753" s="114"/>
      <c r="O753" s="114"/>
      <c r="P753" s="114"/>
      <c r="Q753" s="114"/>
      <c r="R753" s="114"/>
      <c r="S753" s="114"/>
      <c r="T753" s="116"/>
      <c r="U753" s="116"/>
      <c r="V753" s="116"/>
      <c r="W753" s="209"/>
      <c r="X753" s="114"/>
      <c r="Y753" s="114"/>
      <c r="Z753" s="114"/>
      <c r="AA753" s="114"/>
      <c r="AB753" s="114"/>
      <c r="AC753" s="114"/>
      <c r="AD753" s="114"/>
      <c r="AE753" s="114"/>
      <c r="AF753" s="114"/>
      <c r="AG753" s="114"/>
      <c r="AH753" s="114"/>
    </row>
    <row r="754" spans="1:34" ht="24" customHeight="1" x14ac:dyDescent="0.6">
      <c r="A754" s="114"/>
      <c r="B754" s="114"/>
      <c r="C754" s="114"/>
      <c r="D754" s="114"/>
      <c r="E754" s="114"/>
      <c r="F754" s="115"/>
      <c r="G754" s="138"/>
      <c r="H754" s="114"/>
      <c r="I754" s="114"/>
      <c r="J754" s="114"/>
      <c r="K754" s="114"/>
      <c r="L754" s="114"/>
      <c r="M754" s="114"/>
      <c r="N754" s="114"/>
      <c r="O754" s="114"/>
      <c r="P754" s="114"/>
      <c r="Q754" s="114"/>
      <c r="R754" s="114"/>
      <c r="S754" s="114"/>
      <c r="T754" s="116"/>
      <c r="U754" s="116"/>
      <c r="V754" s="116"/>
      <c r="W754" s="209"/>
      <c r="X754" s="114"/>
      <c r="Y754" s="114"/>
      <c r="Z754" s="114"/>
      <c r="AA754" s="114"/>
      <c r="AB754" s="114"/>
      <c r="AC754" s="114"/>
      <c r="AD754" s="114"/>
      <c r="AE754" s="114"/>
      <c r="AF754" s="114"/>
      <c r="AG754" s="114"/>
      <c r="AH754" s="114"/>
    </row>
    <row r="755" spans="1:34" ht="24" customHeight="1" x14ac:dyDescent="0.6">
      <c r="A755" s="114"/>
      <c r="B755" s="114"/>
      <c r="C755" s="114"/>
      <c r="D755" s="114"/>
      <c r="E755" s="114"/>
      <c r="F755" s="115"/>
      <c r="G755" s="138"/>
      <c r="H755" s="114"/>
      <c r="I755" s="114"/>
      <c r="J755" s="114"/>
      <c r="K755" s="114"/>
      <c r="L755" s="114"/>
      <c r="M755" s="114"/>
      <c r="N755" s="114"/>
      <c r="O755" s="114"/>
      <c r="P755" s="114"/>
      <c r="Q755" s="114"/>
      <c r="R755" s="114"/>
      <c r="S755" s="114"/>
      <c r="T755" s="116"/>
      <c r="U755" s="116"/>
      <c r="V755" s="116"/>
      <c r="W755" s="209"/>
      <c r="X755" s="114"/>
      <c r="Y755" s="114"/>
      <c r="Z755" s="114"/>
      <c r="AA755" s="114"/>
      <c r="AB755" s="114"/>
      <c r="AC755" s="114"/>
      <c r="AD755" s="114"/>
      <c r="AE755" s="114"/>
      <c r="AF755" s="114"/>
      <c r="AG755" s="114"/>
      <c r="AH755" s="114"/>
    </row>
    <row r="756" spans="1:34" ht="24" customHeight="1" x14ac:dyDescent="0.6">
      <c r="A756" s="114"/>
      <c r="B756" s="114"/>
      <c r="C756" s="114"/>
      <c r="D756" s="114"/>
      <c r="E756" s="114"/>
      <c r="F756" s="115"/>
      <c r="G756" s="138"/>
      <c r="H756" s="114"/>
      <c r="I756" s="114"/>
      <c r="J756" s="114"/>
      <c r="K756" s="114"/>
      <c r="L756" s="114"/>
      <c r="M756" s="114"/>
      <c r="N756" s="114"/>
      <c r="O756" s="114"/>
      <c r="P756" s="114"/>
      <c r="Q756" s="114"/>
      <c r="R756" s="114"/>
      <c r="S756" s="114"/>
      <c r="T756" s="116"/>
      <c r="U756" s="116"/>
      <c r="V756" s="116"/>
      <c r="W756" s="209"/>
      <c r="X756" s="114"/>
      <c r="Y756" s="114"/>
      <c r="Z756" s="114"/>
      <c r="AA756" s="114"/>
      <c r="AB756" s="114"/>
      <c r="AC756" s="114"/>
      <c r="AD756" s="114"/>
      <c r="AE756" s="114"/>
      <c r="AF756" s="114"/>
      <c r="AG756" s="114"/>
      <c r="AH756" s="114"/>
    </row>
    <row r="757" spans="1:34" ht="24" customHeight="1" x14ac:dyDescent="0.6">
      <c r="A757" s="114"/>
      <c r="B757" s="114"/>
      <c r="C757" s="114"/>
      <c r="D757" s="114"/>
      <c r="E757" s="114"/>
      <c r="F757" s="115"/>
      <c r="G757" s="138"/>
      <c r="H757" s="114"/>
      <c r="I757" s="114"/>
      <c r="J757" s="114"/>
      <c r="K757" s="114"/>
      <c r="L757" s="114"/>
      <c r="M757" s="114"/>
      <c r="N757" s="114"/>
      <c r="O757" s="114"/>
      <c r="P757" s="114"/>
      <c r="Q757" s="114"/>
      <c r="R757" s="114"/>
      <c r="S757" s="114"/>
      <c r="T757" s="116"/>
      <c r="U757" s="116"/>
      <c r="V757" s="116"/>
      <c r="W757" s="209"/>
      <c r="X757" s="114"/>
      <c r="Y757" s="114"/>
      <c r="Z757" s="114"/>
      <c r="AA757" s="114"/>
      <c r="AB757" s="114"/>
      <c r="AC757" s="114"/>
      <c r="AD757" s="114"/>
      <c r="AE757" s="114"/>
      <c r="AF757" s="114"/>
      <c r="AG757" s="114"/>
      <c r="AH757" s="114"/>
    </row>
    <row r="758" spans="1:34" ht="24" customHeight="1" x14ac:dyDescent="0.6">
      <c r="A758" s="114"/>
      <c r="B758" s="114"/>
      <c r="C758" s="114"/>
      <c r="D758" s="114"/>
      <c r="E758" s="114"/>
      <c r="F758" s="115"/>
      <c r="G758" s="138"/>
      <c r="H758" s="114"/>
      <c r="I758" s="114"/>
      <c r="J758" s="114"/>
      <c r="K758" s="114"/>
      <c r="L758" s="114"/>
      <c r="M758" s="114"/>
      <c r="N758" s="114"/>
      <c r="O758" s="114"/>
      <c r="P758" s="114"/>
      <c r="Q758" s="114"/>
      <c r="R758" s="114"/>
      <c r="S758" s="114"/>
      <c r="T758" s="116"/>
      <c r="U758" s="116"/>
      <c r="V758" s="116"/>
      <c r="W758" s="209"/>
      <c r="X758" s="114"/>
      <c r="Y758" s="114"/>
      <c r="Z758" s="114"/>
      <c r="AA758" s="114"/>
      <c r="AB758" s="114"/>
      <c r="AC758" s="114"/>
      <c r="AD758" s="114"/>
      <c r="AE758" s="114"/>
      <c r="AF758" s="114"/>
      <c r="AG758" s="114"/>
      <c r="AH758" s="114"/>
    </row>
    <row r="759" spans="1:34" ht="24" customHeight="1" x14ac:dyDescent="0.6">
      <c r="A759" s="114"/>
      <c r="B759" s="114"/>
      <c r="C759" s="114"/>
      <c r="D759" s="114"/>
      <c r="E759" s="114"/>
      <c r="F759" s="115"/>
      <c r="G759" s="138"/>
      <c r="H759" s="114"/>
      <c r="I759" s="114"/>
      <c r="J759" s="114"/>
      <c r="K759" s="114"/>
      <c r="L759" s="114"/>
      <c r="M759" s="114"/>
      <c r="N759" s="114"/>
      <c r="O759" s="114"/>
      <c r="P759" s="114"/>
      <c r="Q759" s="114"/>
      <c r="R759" s="114"/>
      <c r="S759" s="114"/>
      <c r="T759" s="116"/>
      <c r="U759" s="116"/>
      <c r="V759" s="116"/>
      <c r="W759" s="209"/>
      <c r="X759" s="114"/>
      <c r="Y759" s="114"/>
      <c r="Z759" s="114"/>
      <c r="AA759" s="114"/>
      <c r="AB759" s="114"/>
      <c r="AC759" s="114"/>
      <c r="AD759" s="114"/>
      <c r="AE759" s="114"/>
      <c r="AF759" s="114"/>
      <c r="AG759" s="114"/>
      <c r="AH759" s="114"/>
    </row>
    <row r="760" spans="1:34" ht="24" customHeight="1" x14ac:dyDescent="0.6">
      <c r="A760" s="114"/>
      <c r="B760" s="114"/>
      <c r="C760" s="114"/>
      <c r="D760" s="114"/>
      <c r="E760" s="114"/>
      <c r="F760" s="115"/>
      <c r="G760" s="138"/>
      <c r="H760" s="114"/>
      <c r="I760" s="114"/>
      <c r="J760" s="114"/>
      <c r="K760" s="114"/>
      <c r="L760" s="114"/>
      <c r="M760" s="114"/>
      <c r="N760" s="114"/>
      <c r="O760" s="114"/>
      <c r="P760" s="114"/>
      <c r="Q760" s="114"/>
      <c r="R760" s="114"/>
      <c r="S760" s="114"/>
      <c r="T760" s="116"/>
      <c r="U760" s="116"/>
      <c r="V760" s="116"/>
      <c r="W760" s="209"/>
      <c r="X760" s="114"/>
      <c r="Y760" s="114"/>
      <c r="Z760" s="114"/>
      <c r="AA760" s="114"/>
      <c r="AB760" s="114"/>
      <c r="AC760" s="114"/>
      <c r="AD760" s="114"/>
      <c r="AE760" s="114"/>
      <c r="AF760" s="114"/>
      <c r="AG760" s="114"/>
      <c r="AH760" s="114"/>
    </row>
    <row r="761" spans="1:34" ht="24" customHeight="1" x14ac:dyDescent="0.6">
      <c r="A761" s="114"/>
      <c r="B761" s="114"/>
      <c r="C761" s="114"/>
      <c r="D761" s="114"/>
      <c r="E761" s="114"/>
      <c r="F761" s="115"/>
      <c r="G761" s="138"/>
      <c r="H761" s="114"/>
      <c r="I761" s="114"/>
      <c r="J761" s="114"/>
      <c r="K761" s="114"/>
      <c r="L761" s="114"/>
      <c r="M761" s="114"/>
      <c r="N761" s="114"/>
      <c r="O761" s="114"/>
      <c r="P761" s="114"/>
      <c r="Q761" s="114"/>
      <c r="R761" s="114"/>
      <c r="S761" s="114"/>
      <c r="T761" s="116"/>
      <c r="U761" s="116"/>
      <c r="V761" s="116"/>
      <c r="W761" s="209"/>
      <c r="X761" s="114"/>
      <c r="Y761" s="114"/>
      <c r="Z761" s="114"/>
      <c r="AA761" s="114"/>
      <c r="AB761" s="114"/>
      <c r="AC761" s="114"/>
      <c r="AD761" s="114"/>
      <c r="AE761" s="114"/>
      <c r="AF761" s="114"/>
      <c r="AG761" s="114"/>
      <c r="AH761" s="114"/>
    </row>
    <row r="762" spans="1:34" ht="24" customHeight="1" x14ac:dyDescent="0.6">
      <c r="A762" s="114"/>
      <c r="B762" s="114"/>
      <c r="C762" s="114"/>
      <c r="D762" s="114"/>
      <c r="E762" s="114"/>
      <c r="F762" s="115"/>
      <c r="G762" s="138"/>
      <c r="H762" s="114"/>
      <c r="I762" s="114"/>
      <c r="J762" s="114"/>
      <c r="K762" s="114"/>
      <c r="L762" s="114"/>
      <c r="M762" s="114"/>
      <c r="N762" s="114"/>
      <c r="O762" s="114"/>
      <c r="P762" s="114"/>
      <c r="Q762" s="114"/>
      <c r="R762" s="114"/>
      <c r="S762" s="114"/>
      <c r="T762" s="116"/>
      <c r="U762" s="116"/>
      <c r="V762" s="116"/>
      <c r="W762" s="209"/>
      <c r="X762" s="114"/>
      <c r="Y762" s="114"/>
      <c r="Z762" s="114"/>
      <c r="AA762" s="114"/>
      <c r="AB762" s="114"/>
      <c r="AC762" s="114"/>
      <c r="AD762" s="114"/>
      <c r="AE762" s="114"/>
      <c r="AF762" s="114"/>
      <c r="AG762" s="114"/>
      <c r="AH762" s="114"/>
    </row>
    <row r="763" spans="1:34" ht="24" customHeight="1" x14ac:dyDescent="0.6">
      <c r="A763" s="114"/>
      <c r="B763" s="114"/>
      <c r="C763" s="114"/>
      <c r="D763" s="114"/>
      <c r="E763" s="114"/>
      <c r="F763" s="115"/>
      <c r="G763" s="138"/>
      <c r="H763" s="114"/>
      <c r="I763" s="114"/>
      <c r="J763" s="114"/>
      <c r="K763" s="114"/>
      <c r="L763" s="114"/>
      <c r="M763" s="114"/>
      <c r="N763" s="114"/>
      <c r="O763" s="114"/>
      <c r="P763" s="114"/>
      <c r="Q763" s="114"/>
      <c r="R763" s="114"/>
      <c r="S763" s="114"/>
      <c r="T763" s="116"/>
      <c r="U763" s="116"/>
      <c r="V763" s="116"/>
      <c r="W763" s="209"/>
      <c r="X763" s="114"/>
      <c r="Y763" s="114"/>
      <c r="Z763" s="114"/>
      <c r="AA763" s="114"/>
      <c r="AB763" s="114"/>
      <c r="AC763" s="114"/>
      <c r="AD763" s="114"/>
      <c r="AE763" s="114"/>
      <c r="AF763" s="114"/>
      <c r="AG763" s="114"/>
      <c r="AH763" s="114"/>
    </row>
    <row r="764" spans="1:34" ht="24" customHeight="1" x14ac:dyDescent="0.6">
      <c r="A764" s="114"/>
      <c r="B764" s="114"/>
      <c r="C764" s="114"/>
      <c r="D764" s="114"/>
      <c r="E764" s="114"/>
      <c r="F764" s="115"/>
      <c r="G764" s="138"/>
      <c r="H764" s="114"/>
      <c r="I764" s="114"/>
      <c r="J764" s="114"/>
      <c r="K764" s="114"/>
      <c r="L764" s="114"/>
      <c r="M764" s="114"/>
      <c r="N764" s="114"/>
      <c r="O764" s="114"/>
      <c r="P764" s="114"/>
      <c r="Q764" s="114"/>
      <c r="R764" s="114"/>
      <c r="S764" s="114"/>
      <c r="T764" s="116"/>
      <c r="U764" s="116"/>
      <c r="V764" s="116"/>
      <c r="W764" s="209"/>
      <c r="X764" s="114"/>
      <c r="Y764" s="114"/>
      <c r="Z764" s="114"/>
      <c r="AA764" s="114"/>
      <c r="AB764" s="114"/>
      <c r="AC764" s="114"/>
      <c r="AD764" s="114"/>
      <c r="AE764" s="114"/>
      <c r="AF764" s="114"/>
      <c r="AG764" s="114"/>
      <c r="AH764" s="114"/>
    </row>
    <row r="765" spans="1:34" ht="24" customHeight="1" x14ac:dyDescent="0.6">
      <c r="A765" s="114"/>
      <c r="B765" s="114"/>
      <c r="C765" s="114"/>
      <c r="D765" s="114"/>
      <c r="E765" s="114"/>
      <c r="F765" s="115"/>
      <c r="G765" s="138"/>
      <c r="H765" s="114"/>
      <c r="I765" s="114"/>
      <c r="J765" s="114"/>
      <c r="K765" s="114"/>
      <c r="L765" s="114"/>
      <c r="M765" s="114"/>
      <c r="N765" s="114"/>
      <c r="O765" s="114"/>
      <c r="P765" s="114"/>
      <c r="Q765" s="114"/>
      <c r="R765" s="114"/>
      <c r="S765" s="114"/>
      <c r="T765" s="116"/>
      <c r="U765" s="116"/>
      <c r="V765" s="116"/>
      <c r="W765" s="209"/>
      <c r="X765" s="114"/>
      <c r="Y765" s="114"/>
      <c r="Z765" s="114"/>
      <c r="AA765" s="114"/>
      <c r="AB765" s="114"/>
      <c r="AC765" s="114"/>
      <c r="AD765" s="114"/>
      <c r="AE765" s="114"/>
      <c r="AF765" s="114"/>
      <c r="AG765" s="114"/>
      <c r="AH765" s="114"/>
    </row>
    <row r="766" spans="1:34" ht="24" customHeight="1" x14ac:dyDescent="0.6">
      <c r="A766" s="114"/>
      <c r="B766" s="114"/>
      <c r="C766" s="114"/>
      <c r="D766" s="114"/>
      <c r="E766" s="114"/>
      <c r="F766" s="115"/>
      <c r="G766" s="138"/>
      <c r="H766" s="114"/>
      <c r="I766" s="114"/>
      <c r="J766" s="114"/>
      <c r="K766" s="114"/>
      <c r="L766" s="114"/>
      <c r="M766" s="114"/>
      <c r="N766" s="114"/>
      <c r="O766" s="114"/>
      <c r="P766" s="114"/>
      <c r="Q766" s="114"/>
      <c r="R766" s="114"/>
      <c r="S766" s="114"/>
      <c r="T766" s="116"/>
      <c r="U766" s="116"/>
      <c r="V766" s="116"/>
      <c r="W766" s="209"/>
      <c r="X766" s="114"/>
      <c r="Y766" s="114"/>
      <c r="Z766" s="114"/>
      <c r="AA766" s="114"/>
      <c r="AB766" s="114"/>
      <c r="AC766" s="114"/>
      <c r="AD766" s="114"/>
      <c r="AE766" s="114"/>
      <c r="AF766" s="114"/>
      <c r="AG766" s="114"/>
      <c r="AH766" s="114"/>
    </row>
    <row r="767" spans="1:34" ht="24" customHeight="1" x14ac:dyDescent="0.6">
      <c r="A767" s="114"/>
      <c r="B767" s="114"/>
      <c r="C767" s="114"/>
      <c r="D767" s="114"/>
      <c r="E767" s="114"/>
      <c r="F767" s="115"/>
      <c r="G767" s="138"/>
      <c r="H767" s="114"/>
      <c r="I767" s="114"/>
      <c r="J767" s="114"/>
      <c r="K767" s="114"/>
      <c r="L767" s="114"/>
      <c r="M767" s="114"/>
      <c r="N767" s="114"/>
      <c r="O767" s="114"/>
      <c r="P767" s="114"/>
      <c r="Q767" s="114"/>
      <c r="R767" s="114"/>
      <c r="S767" s="114"/>
      <c r="T767" s="116"/>
      <c r="U767" s="116"/>
      <c r="V767" s="116"/>
      <c r="W767" s="209"/>
      <c r="X767" s="114"/>
      <c r="Y767" s="114"/>
      <c r="Z767" s="114"/>
      <c r="AA767" s="114"/>
      <c r="AB767" s="114"/>
      <c r="AC767" s="114"/>
      <c r="AD767" s="114"/>
      <c r="AE767" s="114"/>
      <c r="AF767" s="114"/>
      <c r="AG767" s="114"/>
      <c r="AH767" s="114"/>
    </row>
    <row r="768" spans="1:34" ht="24" customHeight="1" x14ac:dyDescent="0.6">
      <c r="A768" s="114"/>
      <c r="B768" s="114"/>
      <c r="C768" s="114"/>
      <c r="D768" s="114"/>
      <c r="E768" s="114"/>
      <c r="F768" s="115"/>
      <c r="G768" s="138"/>
      <c r="H768" s="114"/>
      <c r="I768" s="114"/>
      <c r="J768" s="114"/>
      <c r="K768" s="114"/>
      <c r="L768" s="114"/>
      <c r="M768" s="114"/>
      <c r="N768" s="114"/>
      <c r="O768" s="114"/>
      <c r="P768" s="114"/>
      <c r="Q768" s="114"/>
      <c r="R768" s="114"/>
      <c r="S768" s="114"/>
      <c r="T768" s="116"/>
      <c r="U768" s="116"/>
      <c r="V768" s="116"/>
      <c r="W768" s="209"/>
      <c r="X768" s="114"/>
      <c r="Y768" s="114"/>
      <c r="Z768" s="114"/>
      <c r="AA768" s="114"/>
      <c r="AB768" s="114"/>
      <c r="AC768" s="114"/>
      <c r="AD768" s="114"/>
      <c r="AE768" s="114"/>
      <c r="AF768" s="114"/>
      <c r="AG768" s="114"/>
      <c r="AH768" s="114"/>
    </row>
    <row r="769" spans="1:34" ht="24" customHeight="1" x14ac:dyDescent="0.6">
      <c r="A769" s="114"/>
      <c r="B769" s="114"/>
      <c r="C769" s="114"/>
      <c r="D769" s="114"/>
      <c r="E769" s="114"/>
      <c r="F769" s="115"/>
      <c r="G769" s="138"/>
      <c r="H769" s="114"/>
      <c r="I769" s="114"/>
      <c r="J769" s="114"/>
      <c r="K769" s="114"/>
      <c r="L769" s="114"/>
      <c r="M769" s="114"/>
      <c r="N769" s="114"/>
      <c r="O769" s="114"/>
      <c r="P769" s="114"/>
      <c r="Q769" s="114"/>
      <c r="R769" s="114"/>
      <c r="S769" s="114"/>
      <c r="T769" s="116"/>
      <c r="U769" s="116"/>
      <c r="V769" s="116"/>
      <c r="W769" s="209"/>
      <c r="X769" s="114"/>
      <c r="Y769" s="114"/>
      <c r="Z769" s="114"/>
      <c r="AA769" s="114"/>
      <c r="AB769" s="114"/>
      <c r="AC769" s="114"/>
      <c r="AD769" s="114"/>
      <c r="AE769" s="114"/>
      <c r="AF769" s="114"/>
      <c r="AG769" s="114"/>
      <c r="AH769" s="114"/>
    </row>
    <row r="770" spans="1:34" ht="24" customHeight="1" x14ac:dyDescent="0.6">
      <c r="A770" s="114"/>
      <c r="B770" s="114"/>
      <c r="C770" s="114"/>
      <c r="D770" s="114"/>
      <c r="E770" s="114"/>
      <c r="F770" s="115"/>
      <c r="G770" s="138"/>
      <c r="H770" s="114"/>
      <c r="I770" s="114"/>
      <c r="J770" s="114"/>
      <c r="K770" s="114"/>
      <c r="L770" s="114"/>
      <c r="M770" s="114"/>
      <c r="N770" s="114"/>
      <c r="O770" s="114"/>
      <c r="P770" s="114"/>
      <c r="Q770" s="114"/>
      <c r="R770" s="114"/>
      <c r="S770" s="114"/>
      <c r="T770" s="116"/>
      <c r="U770" s="116"/>
      <c r="V770" s="116"/>
      <c r="W770" s="209"/>
      <c r="X770" s="114"/>
      <c r="Y770" s="114"/>
      <c r="Z770" s="114"/>
      <c r="AA770" s="114"/>
      <c r="AB770" s="114"/>
      <c r="AC770" s="114"/>
      <c r="AD770" s="114"/>
      <c r="AE770" s="114"/>
      <c r="AF770" s="114"/>
      <c r="AG770" s="114"/>
      <c r="AH770" s="114"/>
    </row>
    <row r="771" spans="1:34" ht="24" customHeight="1" x14ac:dyDescent="0.6">
      <c r="A771" s="114"/>
      <c r="B771" s="114"/>
      <c r="C771" s="114"/>
      <c r="D771" s="114"/>
      <c r="E771" s="114"/>
      <c r="F771" s="115"/>
      <c r="G771" s="138"/>
      <c r="H771" s="114"/>
      <c r="I771" s="114"/>
      <c r="J771" s="114"/>
      <c r="K771" s="114"/>
      <c r="L771" s="114"/>
      <c r="M771" s="114"/>
      <c r="N771" s="114"/>
      <c r="O771" s="114"/>
      <c r="P771" s="114"/>
      <c r="Q771" s="114"/>
      <c r="R771" s="114"/>
      <c r="S771" s="114"/>
      <c r="T771" s="116"/>
      <c r="U771" s="116"/>
      <c r="V771" s="116"/>
      <c r="W771" s="209"/>
      <c r="X771" s="114"/>
      <c r="Y771" s="114"/>
      <c r="Z771" s="114"/>
      <c r="AA771" s="114"/>
      <c r="AB771" s="114"/>
      <c r="AC771" s="114"/>
      <c r="AD771" s="114"/>
      <c r="AE771" s="114"/>
      <c r="AF771" s="114"/>
      <c r="AG771" s="114"/>
      <c r="AH771" s="114"/>
    </row>
    <row r="772" spans="1:34" ht="24" customHeight="1" x14ac:dyDescent="0.6">
      <c r="A772" s="114"/>
      <c r="B772" s="114"/>
      <c r="C772" s="114"/>
      <c r="D772" s="114"/>
      <c r="E772" s="114"/>
      <c r="F772" s="115"/>
      <c r="G772" s="138"/>
      <c r="H772" s="114"/>
      <c r="I772" s="114"/>
      <c r="J772" s="114"/>
      <c r="K772" s="114"/>
      <c r="L772" s="114"/>
      <c r="M772" s="114"/>
      <c r="N772" s="114"/>
      <c r="O772" s="114"/>
      <c r="P772" s="114"/>
      <c r="Q772" s="114"/>
      <c r="R772" s="114"/>
      <c r="S772" s="114"/>
      <c r="T772" s="116"/>
      <c r="U772" s="116"/>
      <c r="V772" s="116"/>
      <c r="W772" s="209"/>
      <c r="X772" s="114"/>
      <c r="Y772" s="114"/>
      <c r="Z772" s="114"/>
      <c r="AA772" s="114"/>
      <c r="AB772" s="114"/>
      <c r="AC772" s="114"/>
      <c r="AD772" s="114"/>
      <c r="AE772" s="114"/>
      <c r="AF772" s="114"/>
      <c r="AG772" s="114"/>
      <c r="AH772" s="114"/>
    </row>
    <row r="773" spans="1:34" ht="24" customHeight="1" x14ac:dyDescent="0.6">
      <c r="A773" s="114"/>
      <c r="B773" s="114"/>
      <c r="C773" s="114"/>
      <c r="D773" s="114"/>
      <c r="E773" s="114"/>
      <c r="F773" s="115"/>
      <c r="G773" s="138"/>
      <c r="H773" s="114"/>
      <c r="I773" s="114"/>
      <c r="J773" s="114"/>
      <c r="K773" s="114"/>
      <c r="L773" s="114"/>
      <c r="M773" s="114"/>
      <c r="N773" s="114"/>
      <c r="O773" s="114"/>
      <c r="P773" s="114"/>
      <c r="Q773" s="114"/>
      <c r="R773" s="114"/>
      <c r="S773" s="114"/>
      <c r="T773" s="116"/>
      <c r="U773" s="116"/>
      <c r="V773" s="116"/>
      <c r="W773" s="209"/>
      <c r="X773" s="114"/>
      <c r="Y773" s="114"/>
      <c r="Z773" s="114"/>
      <c r="AA773" s="114"/>
      <c r="AB773" s="114"/>
      <c r="AC773" s="114"/>
      <c r="AD773" s="114"/>
      <c r="AE773" s="114"/>
      <c r="AF773" s="114"/>
      <c r="AG773" s="114"/>
      <c r="AH773" s="114"/>
    </row>
    <row r="774" spans="1:34" ht="24" customHeight="1" x14ac:dyDescent="0.6">
      <c r="A774" s="114"/>
      <c r="B774" s="114"/>
      <c r="C774" s="114"/>
      <c r="D774" s="114"/>
      <c r="E774" s="114"/>
      <c r="F774" s="115"/>
      <c r="G774" s="138"/>
      <c r="H774" s="114"/>
      <c r="I774" s="114"/>
      <c r="J774" s="114"/>
      <c r="K774" s="114"/>
      <c r="L774" s="114"/>
      <c r="M774" s="114"/>
      <c r="N774" s="114"/>
      <c r="O774" s="114"/>
      <c r="P774" s="114"/>
      <c r="Q774" s="114"/>
      <c r="R774" s="114"/>
      <c r="S774" s="114"/>
      <c r="T774" s="116"/>
      <c r="U774" s="116"/>
      <c r="V774" s="116"/>
      <c r="W774" s="209"/>
      <c r="X774" s="114"/>
      <c r="Y774" s="114"/>
      <c r="Z774" s="114"/>
      <c r="AA774" s="114"/>
      <c r="AB774" s="114"/>
      <c r="AC774" s="114"/>
      <c r="AD774" s="114"/>
      <c r="AE774" s="114"/>
      <c r="AF774" s="114"/>
      <c r="AG774" s="114"/>
      <c r="AH774" s="114"/>
    </row>
    <row r="775" spans="1:34" ht="24" customHeight="1" x14ac:dyDescent="0.6">
      <c r="A775" s="114"/>
      <c r="B775" s="114"/>
      <c r="C775" s="114"/>
      <c r="D775" s="114"/>
      <c r="E775" s="114"/>
      <c r="F775" s="115"/>
      <c r="G775" s="138"/>
      <c r="H775" s="114"/>
      <c r="I775" s="114"/>
      <c r="J775" s="114"/>
      <c r="K775" s="114"/>
      <c r="L775" s="114"/>
      <c r="M775" s="114"/>
      <c r="N775" s="114"/>
      <c r="O775" s="114"/>
      <c r="P775" s="114"/>
      <c r="Q775" s="114"/>
      <c r="R775" s="114"/>
      <c r="S775" s="114"/>
      <c r="T775" s="116"/>
      <c r="U775" s="116"/>
      <c r="V775" s="116"/>
      <c r="W775" s="209"/>
      <c r="X775" s="114"/>
      <c r="Y775" s="114"/>
      <c r="Z775" s="114"/>
      <c r="AA775" s="114"/>
      <c r="AB775" s="114"/>
      <c r="AC775" s="114"/>
      <c r="AD775" s="114"/>
      <c r="AE775" s="114"/>
      <c r="AF775" s="114"/>
      <c r="AG775" s="114"/>
      <c r="AH775" s="114"/>
    </row>
    <row r="776" spans="1:34" ht="24" customHeight="1" x14ac:dyDescent="0.6">
      <c r="A776" s="114"/>
      <c r="B776" s="114"/>
      <c r="C776" s="114"/>
      <c r="D776" s="114"/>
      <c r="E776" s="114"/>
      <c r="F776" s="115"/>
      <c r="G776" s="138"/>
      <c r="H776" s="114"/>
      <c r="I776" s="114"/>
      <c r="J776" s="114"/>
      <c r="K776" s="114"/>
      <c r="L776" s="114"/>
      <c r="M776" s="114"/>
      <c r="N776" s="114"/>
      <c r="O776" s="114"/>
      <c r="P776" s="114"/>
      <c r="Q776" s="114"/>
      <c r="R776" s="114"/>
      <c r="S776" s="114"/>
      <c r="T776" s="116"/>
      <c r="U776" s="116"/>
      <c r="V776" s="116"/>
      <c r="W776" s="209"/>
      <c r="X776" s="114"/>
      <c r="Y776" s="114"/>
      <c r="Z776" s="114"/>
      <c r="AA776" s="114"/>
      <c r="AB776" s="114"/>
      <c r="AC776" s="114"/>
      <c r="AD776" s="114"/>
      <c r="AE776" s="114"/>
      <c r="AF776" s="114"/>
      <c r="AG776" s="114"/>
      <c r="AH776" s="114"/>
    </row>
    <row r="777" spans="1:34" ht="24" customHeight="1" x14ac:dyDescent="0.6">
      <c r="A777" s="114"/>
      <c r="B777" s="114"/>
      <c r="C777" s="114"/>
      <c r="D777" s="114"/>
      <c r="E777" s="114"/>
      <c r="F777" s="115"/>
      <c r="G777" s="138"/>
      <c r="H777" s="114"/>
      <c r="I777" s="114"/>
      <c r="J777" s="114"/>
      <c r="K777" s="114"/>
      <c r="L777" s="114"/>
      <c r="M777" s="114"/>
      <c r="N777" s="114"/>
      <c r="O777" s="114"/>
      <c r="P777" s="114"/>
      <c r="Q777" s="114"/>
      <c r="R777" s="114"/>
      <c r="S777" s="114"/>
      <c r="T777" s="116"/>
      <c r="U777" s="116"/>
      <c r="V777" s="116"/>
      <c r="W777" s="209"/>
      <c r="X777" s="114"/>
      <c r="Y777" s="114"/>
      <c r="Z777" s="114"/>
      <c r="AA777" s="114"/>
      <c r="AB777" s="114"/>
      <c r="AC777" s="114"/>
      <c r="AD777" s="114"/>
      <c r="AE777" s="114"/>
      <c r="AF777" s="114"/>
      <c r="AG777" s="114"/>
      <c r="AH777" s="114"/>
    </row>
    <row r="778" spans="1:34" ht="24" customHeight="1" x14ac:dyDescent="0.6">
      <c r="A778" s="114"/>
      <c r="B778" s="114"/>
      <c r="C778" s="114"/>
      <c r="D778" s="114"/>
      <c r="E778" s="114"/>
      <c r="F778" s="115"/>
      <c r="G778" s="138"/>
      <c r="H778" s="114"/>
      <c r="I778" s="114"/>
      <c r="J778" s="114"/>
      <c r="K778" s="114"/>
      <c r="L778" s="114"/>
      <c r="M778" s="114"/>
      <c r="N778" s="114"/>
      <c r="O778" s="114"/>
      <c r="P778" s="114"/>
      <c r="Q778" s="114"/>
      <c r="R778" s="114"/>
      <c r="S778" s="114"/>
      <c r="T778" s="116"/>
      <c r="U778" s="116"/>
      <c r="V778" s="116"/>
      <c r="W778" s="209"/>
      <c r="X778" s="114"/>
      <c r="Y778" s="114"/>
      <c r="Z778" s="114"/>
      <c r="AA778" s="114"/>
      <c r="AB778" s="114"/>
      <c r="AC778" s="114"/>
      <c r="AD778" s="114"/>
      <c r="AE778" s="114"/>
      <c r="AF778" s="114"/>
      <c r="AG778" s="114"/>
      <c r="AH778" s="114"/>
    </row>
    <row r="779" spans="1:34" ht="24" customHeight="1" x14ac:dyDescent="0.6">
      <c r="A779" s="114"/>
      <c r="B779" s="114"/>
      <c r="C779" s="114"/>
      <c r="D779" s="114"/>
      <c r="E779" s="114"/>
      <c r="F779" s="115"/>
      <c r="G779" s="138"/>
      <c r="H779" s="114"/>
      <c r="I779" s="114"/>
      <c r="J779" s="114"/>
      <c r="K779" s="114"/>
      <c r="L779" s="114"/>
      <c r="M779" s="114"/>
      <c r="N779" s="114"/>
      <c r="O779" s="114"/>
      <c r="P779" s="114"/>
      <c r="Q779" s="114"/>
      <c r="R779" s="114"/>
      <c r="S779" s="114"/>
      <c r="T779" s="116"/>
      <c r="U779" s="116"/>
      <c r="V779" s="116"/>
      <c r="W779" s="209"/>
      <c r="X779" s="114"/>
      <c r="Y779" s="114"/>
      <c r="Z779" s="114"/>
      <c r="AA779" s="114"/>
      <c r="AB779" s="114"/>
      <c r="AC779" s="114"/>
      <c r="AD779" s="114"/>
      <c r="AE779" s="114"/>
      <c r="AF779" s="114"/>
      <c r="AG779" s="114"/>
      <c r="AH779" s="114"/>
    </row>
    <row r="780" spans="1:34" ht="24" customHeight="1" x14ac:dyDescent="0.6">
      <c r="A780" s="114"/>
      <c r="B780" s="114"/>
      <c r="C780" s="114"/>
      <c r="D780" s="114"/>
      <c r="E780" s="114"/>
      <c r="F780" s="115"/>
      <c r="G780" s="138"/>
      <c r="H780" s="114"/>
      <c r="I780" s="114"/>
      <c r="J780" s="114"/>
      <c r="K780" s="114"/>
      <c r="L780" s="114"/>
      <c r="M780" s="114"/>
      <c r="N780" s="114"/>
      <c r="O780" s="114"/>
      <c r="P780" s="114"/>
      <c r="Q780" s="114"/>
      <c r="R780" s="114"/>
      <c r="S780" s="114"/>
      <c r="T780" s="116"/>
      <c r="U780" s="116"/>
      <c r="V780" s="116"/>
      <c r="W780" s="209"/>
      <c r="X780" s="114"/>
      <c r="Y780" s="114"/>
      <c r="Z780" s="114"/>
      <c r="AA780" s="114"/>
      <c r="AB780" s="114"/>
      <c r="AC780" s="114"/>
      <c r="AD780" s="114"/>
      <c r="AE780" s="114"/>
      <c r="AF780" s="114"/>
      <c r="AG780" s="114"/>
      <c r="AH780" s="114"/>
    </row>
    <row r="781" spans="1:34" ht="24" customHeight="1" x14ac:dyDescent="0.6">
      <c r="A781" s="114"/>
      <c r="B781" s="114"/>
      <c r="C781" s="114"/>
      <c r="D781" s="114"/>
      <c r="E781" s="114"/>
      <c r="F781" s="115"/>
      <c r="G781" s="138"/>
      <c r="H781" s="114"/>
      <c r="I781" s="114"/>
      <c r="J781" s="114"/>
      <c r="K781" s="114"/>
      <c r="L781" s="114"/>
      <c r="M781" s="114"/>
      <c r="N781" s="114"/>
      <c r="O781" s="114"/>
      <c r="P781" s="114"/>
      <c r="Q781" s="114"/>
      <c r="R781" s="114"/>
      <c r="S781" s="114"/>
      <c r="T781" s="116"/>
      <c r="U781" s="116"/>
      <c r="V781" s="116"/>
      <c r="W781" s="209"/>
      <c r="X781" s="114"/>
      <c r="Y781" s="114"/>
      <c r="Z781" s="114"/>
      <c r="AA781" s="114"/>
      <c r="AB781" s="114"/>
      <c r="AC781" s="114"/>
      <c r="AD781" s="114"/>
      <c r="AE781" s="114"/>
      <c r="AF781" s="114"/>
      <c r="AG781" s="114"/>
      <c r="AH781" s="114"/>
    </row>
    <row r="782" spans="1:34" ht="24" customHeight="1" x14ac:dyDescent="0.6">
      <c r="A782" s="114"/>
      <c r="B782" s="114"/>
      <c r="C782" s="114"/>
      <c r="D782" s="114"/>
      <c r="E782" s="114"/>
      <c r="F782" s="115"/>
      <c r="G782" s="138"/>
      <c r="H782" s="114"/>
      <c r="I782" s="114"/>
      <c r="J782" s="114"/>
      <c r="K782" s="114"/>
      <c r="L782" s="114"/>
      <c r="M782" s="114"/>
      <c r="N782" s="114"/>
      <c r="O782" s="114"/>
      <c r="P782" s="114"/>
      <c r="Q782" s="114"/>
      <c r="R782" s="114"/>
      <c r="S782" s="114"/>
      <c r="T782" s="116"/>
      <c r="U782" s="116"/>
      <c r="V782" s="116"/>
      <c r="W782" s="209"/>
      <c r="X782" s="114"/>
      <c r="Y782" s="114"/>
      <c r="Z782" s="114"/>
      <c r="AA782" s="114"/>
      <c r="AB782" s="114"/>
      <c r="AC782" s="114"/>
      <c r="AD782" s="114"/>
      <c r="AE782" s="114"/>
      <c r="AF782" s="114"/>
      <c r="AG782" s="114"/>
      <c r="AH782" s="114"/>
    </row>
    <row r="783" spans="1:34" ht="24" customHeight="1" x14ac:dyDescent="0.6">
      <c r="A783" s="114"/>
      <c r="B783" s="114"/>
      <c r="C783" s="114"/>
      <c r="D783" s="114"/>
      <c r="E783" s="114"/>
      <c r="F783" s="115"/>
      <c r="G783" s="138"/>
      <c r="H783" s="114"/>
      <c r="I783" s="114"/>
      <c r="J783" s="114"/>
      <c r="K783" s="114"/>
      <c r="L783" s="114"/>
      <c r="M783" s="114"/>
      <c r="N783" s="114"/>
      <c r="O783" s="114"/>
      <c r="P783" s="114"/>
      <c r="Q783" s="114"/>
      <c r="R783" s="114"/>
      <c r="S783" s="114"/>
      <c r="T783" s="116"/>
      <c r="U783" s="116"/>
      <c r="V783" s="116"/>
      <c r="W783" s="209"/>
      <c r="X783" s="114"/>
      <c r="Y783" s="114"/>
      <c r="Z783" s="114"/>
      <c r="AA783" s="114"/>
      <c r="AB783" s="114"/>
      <c r="AC783" s="114"/>
      <c r="AD783" s="114"/>
      <c r="AE783" s="114"/>
      <c r="AF783" s="114"/>
      <c r="AG783" s="114"/>
      <c r="AH783" s="114"/>
    </row>
    <row r="784" spans="1:34" ht="24" customHeight="1" x14ac:dyDescent="0.6">
      <c r="A784" s="114"/>
      <c r="B784" s="114"/>
      <c r="C784" s="114"/>
      <c r="D784" s="114"/>
      <c r="E784" s="114"/>
      <c r="F784" s="115"/>
      <c r="G784" s="138"/>
      <c r="H784" s="114"/>
      <c r="I784" s="114"/>
      <c r="J784" s="114"/>
      <c r="K784" s="114"/>
      <c r="L784" s="114"/>
      <c r="M784" s="114"/>
      <c r="N784" s="114"/>
      <c r="O784" s="114"/>
      <c r="P784" s="114"/>
      <c r="Q784" s="114"/>
      <c r="R784" s="114"/>
      <c r="S784" s="114"/>
      <c r="T784" s="116"/>
      <c r="U784" s="116"/>
      <c r="V784" s="116"/>
      <c r="W784" s="209"/>
      <c r="X784" s="114"/>
      <c r="Y784" s="114"/>
      <c r="Z784" s="114"/>
      <c r="AA784" s="114"/>
      <c r="AB784" s="114"/>
      <c r="AC784" s="114"/>
      <c r="AD784" s="114"/>
      <c r="AE784" s="114"/>
      <c r="AF784" s="114"/>
      <c r="AG784" s="114"/>
      <c r="AH784" s="114"/>
    </row>
    <row r="785" spans="1:34" ht="24" customHeight="1" x14ac:dyDescent="0.6">
      <c r="A785" s="114"/>
      <c r="B785" s="114"/>
      <c r="C785" s="114"/>
      <c r="D785" s="114"/>
      <c r="E785" s="114"/>
      <c r="F785" s="115"/>
      <c r="G785" s="138"/>
      <c r="H785" s="114"/>
      <c r="I785" s="114"/>
      <c r="J785" s="114"/>
      <c r="K785" s="114"/>
      <c r="L785" s="114"/>
      <c r="M785" s="114"/>
      <c r="N785" s="114"/>
      <c r="O785" s="114"/>
      <c r="P785" s="114"/>
      <c r="Q785" s="114"/>
      <c r="R785" s="114"/>
      <c r="S785" s="114"/>
      <c r="T785" s="116"/>
      <c r="U785" s="116"/>
      <c r="V785" s="116"/>
      <c r="W785" s="209"/>
      <c r="X785" s="114"/>
      <c r="Y785" s="114"/>
      <c r="Z785" s="114"/>
      <c r="AA785" s="114"/>
      <c r="AB785" s="114"/>
      <c r="AC785" s="114"/>
      <c r="AD785" s="114"/>
      <c r="AE785" s="114"/>
      <c r="AF785" s="114"/>
      <c r="AG785" s="114"/>
      <c r="AH785" s="114"/>
    </row>
    <row r="786" spans="1:34" ht="24" customHeight="1" x14ac:dyDescent="0.6">
      <c r="A786" s="114"/>
      <c r="B786" s="114"/>
      <c r="C786" s="114"/>
      <c r="D786" s="114"/>
      <c r="E786" s="114"/>
      <c r="F786" s="115"/>
      <c r="G786" s="138"/>
      <c r="H786" s="114"/>
      <c r="I786" s="114"/>
      <c r="J786" s="114"/>
      <c r="K786" s="114"/>
      <c r="L786" s="114"/>
      <c r="M786" s="114"/>
      <c r="N786" s="114"/>
      <c r="O786" s="114"/>
      <c r="P786" s="114"/>
      <c r="Q786" s="114"/>
      <c r="R786" s="114"/>
      <c r="S786" s="114"/>
      <c r="T786" s="116"/>
      <c r="U786" s="116"/>
      <c r="V786" s="116"/>
      <c r="W786" s="209"/>
      <c r="X786" s="114"/>
      <c r="Y786" s="114"/>
      <c r="Z786" s="114"/>
      <c r="AA786" s="114"/>
      <c r="AB786" s="114"/>
      <c r="AC786" s="114"/>
      <c r="AD786" s="114"/>
      <c r="AE786" s="114"/>
      <c r="AF786" s="114"/>
      <c r="AG786" s="114"/>
      <c r="AH786" s="114"/>
    </row>
    <row r="787" spans="1:34" ht="24" customHeight="1" x14ac:dyDescent="0.6">
      <c r="A787" s="114"/>
      <c r="B787" s="114"/>
      <c r="C787" s="114"/>
      <c r="D787" s="114"/>
      <c r="E787" s="114"/>
      <c r="F787" s="115"/>
      <c r="G787" s="138"/>
      <c r="H787" s="114"/>
      <c r="I787" s="114"/>
      <c r="J787" s="114"/>
      <c r="K787" s="114"/>
      <c r="L787" s="114"/>
      <c r="M787" s="114"/>
      <c r="N787" s="114"/>
      <c r="O787" s="114"/>
      <c r="P787" s="114"/>
      <c r="Q787" s="114"/>
      <c r="R787" s="114"/>
      <c r="S787" s="114"/>
      <c r="T787" s="116"/>
      <c r="U787" s="116"/>
      <c r="V787" s="116"/>
      <c r="W787" s="209"/>
      <c r="X787" s="114"/>
      <c r="Y787" s="114"/>
      <c r="Z787" s="114"/>
      <c r="AA787" s="114"/>
      <c r="AB787" s="114"/>
      <c r="AC787" s="114"/>
      <c r="AD787" s="114"/>
      <c r="AE787" s="114"/>
      <c r="AF787" s="114"/>
      <c r="AG787" s="114"/>
      <c r="AH787" s="114"/>
    </row>
    <row r="788" spans="1:34" ht="24" customHeight="1" x14ac:dyDescent="0.6">
      <c r="A788" s="114"/>
      <c r="B788" s="114"/>
      <c r="C788" s="114"/>
      <c r="D788" s="114"/>
      <c r="E788" s="114"/>
      <c r="F788" s="115"/>
      <c r="G788" s="138"/>
      <c r="H788" s="114"/>
      <c r="I788" s="114"/>
      <c r="J788" s="114"/>
      <c r="K788" s="114"/>
      <c r="L788" s="114"/>
      <c r="M788" s="114"/>
      <c r="N788" s="114"/>
      <c r="O788" s="114"/>
      <c r="P788" s="114"/>
      <c r="Q788" s="114"/>
      <c r="R788" s="114"/>
      <c r="S788" s="114"/>
      <c r="T788" s="116"/>
      <c r="U788" s="116"/>
      <c r="V788" s="116"/>
      <c r="W788" s="209"/>
      <c r="X788" s="114"/>
      <c r="Y788" s="114"/>
      <c r="Z788" s="114"/>
      <c r="AA788" s="114"/>
      <c r="AB788" s="114"/>
      <c r="AC788" s="114"/>
      <c r="AD788" s="114"/>
      <c r="AE788" s="114"/>
      <c r="AF788" s="114"/>
      <c r="AG788" s="114"/>
      <c r="AH788" s="114"/>
    </row>
    <row r="789" spans="1:34" ht="24" customHeight="1" x14ac:dyDescent="0.6">
      <c r="A789" s="114"/>
      <c r="B789" s="114"/>
      <c r="C789" s="114"/>
      <c r="D789" s="114"/>
      <c r="E789" s="114"/>
      <c r="F789" s="115"/>
      <c r="G789" s="138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114"/>
      <c r="S789" s="114"/>
      <c r="T789" s="116"/>
      <c r="U789" s="116"/>
      <c r="V789" s="116"/>
      <c r="W789" s="209"/>
      <c r="X789" s="114"/>
      <c r="Y789" s="114"/>
      <c r="Z789" s="114"/>
      <c r="AA789" s="114"/>
      <c r="AB789" s="114"/>
      <c r="AC789" s="114"/>
      <c r="AD789" s="114"/>
      <c r="AE789" s="114"/>
      <c r="AF789" s="114"/>
      <c r="AG789" s="114"/>
      <c r="AH789" s="114"/>
    </row>
    <row r="790" spans="1:34" ht="24" customHeight="1" x14ac:dyDescent="0.6">
      <c r="A790" s="114"/>
      <c r="B790" s="114"/>
      <c r="C790" s="114"/>
      <c r="D790" s="114"/>
      <c r="E790" s="114"/>
      <c r="F790" s="115"/>
      <c r="G790" s="138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114"/>
      <c r="S790" s="114"/>
      <c r="T790" s="116"/>
      <c r="U790" s="116"/>
      <c r="V790" s="116"/>
      <c r="W790" s="209"/>
      <c r="X790" s="114"/>
      <c r="Y790" s="114"/>
      <c r="Z790" s="114"/>
      <c r="AA790" s="114"/>
      <c r="AB790" s="114"/>
      <c r="AC790" s="114"/>
      <c r="AD790" s="114"/>
      <c r="AE790" s="114"/>
      <c r="AF790" s="114"/>
      <c r="AG790" s="114"/>
      <c r="AH790" s="114"/>
    </row>
    <row r="791" spans="1:34" ht="24" customHeight="1" x14ac:dyDescent="0.6">
      <c r="A791" s="114"/>
      <c r="B791" s="114"/>
      <c r="C791" s="114"/>
      <c r="D791" s="114"/>
      <c r="E791" s="114"/>
      <c r="F791" s="115"/>
      <c r="G791" s="138"/>
      <c r="H791" s="114"/>
      <c r="I791" s="114"/>
      <c r="J791" s="114"/>
      <c r="K791" s="114"/>
      <c r="L791" s="114"/>
      <c r="M791" s="114"/>
      <c r="N791" s="114"/>
      <c r="O791" s="114"/>
      <c r="P791" s="114"/>
      <c r="Q791" s="114"/>
      <c r="R791" s="114"/>
      <c r="S791" s="114"/>
      <c r="T791" s="116"/>
      <c r="U791" s="116"/>
      <c r="V791" s="116"/>
      <c r="W791" s="209"/>
      <c r="X791" s="114"/>
      <c r="Y791" s="114"/>
      <c r="Z791" s="114"/>
      <c r="AA791" s="114"/>
      <c r="AB791" s="114"/>
      <c r="AC791" s="114"/>
      <c r="AD791" s="114"/>
      <c r="AE791" s="114"/>
      <c r="AF791" s="114"/>
      <c r="AG791" s="114"/>
      <c r="AH791" s="114"/>
    </row>
    <row r="792" spans="1:34" ht="24" customHeight="1" x14ac:dyDescent="0.6">
      <c r="A792" s="114"/>
      <c r="B792" s="114"/>
      <c r="C792" s="114"/>
      <c r="D792" s="114"/>
      <c r="E792" s="114"/>
      <c r="F792" s="115"/>
      <c r="G792" s="138"/>
      <c r="H792" s="114"/>
      <c r="I792" s="114"/>
      <c r="J792" s="114"/>
      <c r="K792" s="114"/>
      <c r="L792" s="114"/>
      <c r="M792" s="114"/>
      <c r="N792" s="114"/>
      <c r="O792" s="114"/>
      <c r="P792" s="114"/>
      <c r="Q792" s="114"/>
      <c r="R792" s="114"/>
      <c r="S792" s="114"/>
      <c r="T792" s="116"/>
      <c r="U792" s="116"/>
      <c r="V792" s="116"/>
      <c r="W792" s="209"/>
      <c r="X792" s="114"/>
      <c r="Y792" s="114"/>
      <c r="Z792" s="114"/>
      <c r="AA792" s="114"/>
      <c r="AB792" s="114"/>
      <c r="AC792" s="114"/>
      <c r="AD792" s="114"/>
      <c r="AE792" s="114"/>
      <c r="AF792" s="114"/>
      <c r="AG792" s="114"/>
      <c r="AH792" s="114"/>
    </row>
    <row r="793" spans="1:34" ht="24" customHeight="1" x14ac:dyDescent="0.6">
      <c r="A793" s="114"/>
      <c r="B793" s="114"/>
      <c r="C793" s="114"/>
      <c r="D793" s="114"/>
      <c r="E793" s="114"/>
      <c r="F793" s="115"/>
      <c r="G793" s="138"/>
      <c r="H793" s="114"/>
      <c r="I793" s="114"/>
      <c r="J793" s="114"/>
      <c r="K793" s="114"/>
      <c r="L793" s="114"/>
      <c r="M793" s="114"/>
      <c r="N793" s="114"/>
      <c r="O793" s="114"/>
      <c r="P793" s="114"/>
      <c r="Q793" s="114"/>
      <c r="R793" s="114"/>
      <c r="S793" s="114"/>
      <c r="T793" s="116"/>
      <c r="U793" s="116"/>
      <c r="V793" s="116"/>
      <c r="W793" s="209"/>
      <c r="X793" s="114"/>
      <c r="Y793" s="114"/>
      <c r="Z793" s="114"/>
      <c r="AA793" s="114"/>
      <c r="AB793" s="114"/>
      <c r="AC793" s="114"/>
      <c r="AD793" s="114"/>
      <c r="AE793" s="114"/>
      <c r="AF793" s="114"/>
      <c r="AG793" s="114"/>
      <c r="AH793" s="114"/>
    </row>
    <row r="794" spans="1:34" ht="24" customHeight="1" x14ac:dyDescent="0.6">
      <c r="A794" s="114"/>
      <c r="B794" s="114"/>
      <c r="C794" s="114"/>
      <c r="D794" s="114"/>
      <c r="E794" s="114"/>
      <c r="F794" s="115"/>
      <c r="G794" s="138"/>
      <c r="H794" s="114"/>
      <c r="I794" s="114"/>
      <c r="J794" s="114"/>
      <c r="K794" s="114"/>
      <c r="L794" s="114"/>
      <c r="M794" s="114"/>
      <c r="N794" s="114"/>
      <c r="O794" s="114"/>
      <c r="P794" s="114"/>
      <c r="Q794" s="114"/>
      <c r="R794" s="114"/>
      <c r="S794" s="114"/>
      <c r="T794" s="116"/>
      <c r="U794" s="116"/>
      <c r="V794" s="116"/>
      <c r="W794" s="209"/>
      <c r="X794" s="114"/>
      <c r="Y794" s="114"/>
      <c r="Z794" s="114"/>
      <c r="AA794" s="114"/>
      <c r="AB794" s="114"/>
      <c r="AC794" s="114"/>
      <c r="AD794" s="114"/>
      <c r="AE794" s="114"/>
      <c r="AF794" s="114"/>
      <c r="AG794" s="114"/>
      <c r="AH794" s="114"/>
    </row>
    <row r="795" spans="1:34" ht="24" customHeight="1" x14ac:dyDescent="0.6">
      <c r="A795" s="114"/>
      <c r="B795" s="114"/>
      <c r="C795" s="114"/>
      <c r="D795" s="114"/>
      <c r="E795" s="114"/>
      <c r="F795" s="115"/>
      <c r="G795" s="138"/>
      <c r="H795" s="114"/>
      <c r="I795" s="114"/>
      <c r="J795" s="114"/>
      <c r="K795" s="114"/>
      <c r="L795" s="114"/>
      <c r="M795" s="114"/>
      <c r="N795" s="114"/>
      <c r="O795" s="114"/>
      <c r="P795" s="114"/>
      <c r="Q795" s="114"/>
      <c r="R795" s="114"/>
      <c r="S795" s="114"/>
      <c r="T795" s="116"/>
      <c r="U795" s="116"/>
      <c r="V795" s="116"/>
      <c r="W795" s="209"/>
      <c r="X795" s="114"/>
      <c r="Y795" s="114"/>
      <c r="Z795" s="114"/>
      <c r="AA795" s="114"/>
      <c r="AB795" s="114"/>
      <c r="AC795" s="114"/>
      <c r="AD795" s="114"/>
      <c r="AE795" s="114"/>
      <c r="AF795" s="114"/>
      <c r="AG795" s="114"/>
      <c r="AH795" s="114"/>
    </row>
    <row r="796" spans="1:34" ht="24" customHeight="1" x14ac:dyDescent="0.6">
      <c r="A796" s="114"/>
      <c r="B796" s="114"/>
      <c r="C796" s="114"/>
      <c r="D796" s="114"/>
      <c r="E796" s="114"/>
      <c r="F796" s="115"/>
      <c r="G796" s="138"/>
      <c r="H796" s="114"/>
      <c r="I796" s="114"/>
      <c r="J796" s="114"/>
      <c r="K796" s="114"/>
      <c r="L796" s="114"/>
      <c r="M796" s="114"/>
      <c r="N796" s="114"/>
      <c r="O796" s="114"/>
      <c r="P796" s="114"/>
      <c r="Q796" s="114"/>
      <c r="R796" s="114"/>
      <c r="S796" s="114"/>
      <c r="T796" s="116"/>
      <c r="U796" s="116"/>
      <c r="V796" s="116"/>
      <c r="W796" s="209"/>
      <c r="X796" s="114"/>
      <c r="Y796" s="114"/>
      <c r="Z796" s="114"/>
      <c r="AA796" s="114"/>
      <c r="AB796" s="114"/>
      <c r="AC796" s="114"/>
      <c r="AD796" s="114"/>
      <c r="AE796" s="114"/>
      <c r="AF796" s="114"/>
      <c r="AG796" s="114"/>
      <c r="AH796" s="114"/>
    </row>
    <row r="797" spans="1:34" ht="24" customHeight="1" x14ac:dyDescent="0.6">
      <c r="A797" s="114"/>
      <c r="B797" s="114"/>
      <c r="C797" s="114"/>
      <c r="D797" s="114"/>
      <c r="E797" s="114"/>
      <c r="F797" s="115"/>
      <c r="G797" s="138"/>
      <c r="H797" s="114"/>
      <c r="I797" s="114"/>
      <c r="J797" s="114"/>
      <c r="K797" s="114"/>
      <c r="L797" s="114"/>
      <c r="M797" s="114"/>
      <c r="N797" s="114"/>
      <c r="O797" s="114"/>
      <c r="P797" s="114"/>
      <c r="Q797" s="114"/>
      <c r="R797" s="114"/>
      <c r="S797" s="114"/>
      <c r="T797" s="116"/>
      <c r="U797" s="116"/>
      <c r="V797" s="116"/>
      <c r="W797" s="209"/>
      <c r="X797" s="114"/>
      <c r="Y797" s="114"/>
      <c r="Z797" s="114"/>
      <c r="AA797" s="114"/>
      <c r="AB797" s="114"/>
      <c r="AC797" s="114"/>
      <c r="AD797" s="114"/>
      <c r="AE797" s="114"/>
      <c r="AF797" s="114"/>
      <c r="AG797" s="114"/>
      <c r="AH797" s="114"/>
    </row>
    <row r="798" spans="1:34" ht="24" customHeight="1" x14ac:dyDescent="0.6">
      <c r="A798" s="114"/>
      <c r="B798" s="114"/>
      <c r="C798" s="114"/>
      <c r="D798" s="114"/>
      <c r="E798" s="114"/>
      <c r="F798" s="115"/>
      <c r="G798" s="138"/>
      <c r="H798" s="114"/>
      <c r="I798" s="114"/>
      <c r="J798" s="114"/>
      <c r="K798" s="114"/>
      <c r="L798" s="114"/>
      <c r="M798" s="114"/>
      <c r="N798" s="114"/>
      <c r="O798" s="114"/>
      <c r="P798" s="114"/>
      <c r="Q798" s="114"/>
      <c r="R798" s="114"/>
      <c r="S798" s="114"/>
      <c r="T798" s="116"/>
      <c r="U798" s="116"/>
      <c r="V798" s="116"/>
      <c r="W798" s="209"/>
      <c r="X798" s="114"/>
      <c r="Y798" s="114"/>
      <c r="Z798" s="114"/>
      <c r="AA798" s="114"/>
      <c r="AB798" s="114"/>
      <c r="AC798" s="114"/>
      <c r="AD798" s="114"/>
      <c r="AE798" s="114"/>
      <c r="AF798" s="114"/>
      <c r="AG798" s="114"/>
      <c r="AH798" s="114"/>
    </row>
    <row r="799" spans="1:34" ht="24" customHeight="1" x14ac:dyDescent="0.6">
      <c r="A799" s="114"/>
      <c r="B799" s="114"/>
      <c r="C799" s="114"/>
      <c r="D799" s="114"/>
      <c r="E799" s="114"/>
      <c r="F799" s="115"/>
      <c r="G799" s="138"/>
      <c r="H799" s="114"/>
      <c r="I799" s="114"/>
      <c r="J799" s="114"/>
      <c r="K799" s="114"/>
      <c r="L799" s="114"/>
      <c r="M799" s="114"/>
      <c r="N799" s="114"/>
      <c r="O799" s="114"/>
      <c r="P799" s="114"/>
      <c r="Q799" s="114"/>
      <c r="R799" s="114"/>
      <c r="S799" s="114"/>
      <c r="T799" s="116"/>
      <c r="U799" s="116"/>
      <c r="V799" s="116"/>
      <c r="W799" s="209"/>
      <c r="X799" s="114"/>
      <c r="Y799" s="114"/>
      <c r="Z799" s="114"/>
      <c r="AA799" s="114"/>
      <c r="AB799" s="114"/>
      <c r="AC799" s="114"/>
      <c r="AD799" s="114"/>
      <c r="AE799" s="114"/>
      <c r="AF799" s="114"/>
      <c r="AG799" s="114"/>
      <c r="AH799" s="114"/>
    </row>
    <row r="800" spans="1:34" ht="24" customHeight="1" x14ac:dyDescent="0.6">
      <c r="A800" s="114"/>
      <c r="B800" s="114"/>
      <c r="C800" s="114"/>
      <c r="D800" s="114"/>
      <c r="E800" s="114"/>
      <c r="F800" s="115"/>
      <c r="G800" s="138"/>
      <c r="H800" s="114"/>
      <c r="I800" s="114"/>
      <c r="J800" s="114"/>
      <c r="K800" s="114"/>
      <c r="L800" s="114"/>
      <c r="M800" s="114"/>
      <c r="N800" s="114"/>
      <c r="O800" s="114"/>
      <c r="P800" s="114"/>
      <c r="Q800" s="114"/>
      <c r="R800" s="114"/>
      <c r="S800" s="114"/>
      <c r="T800" s="116"/>
      <c r="U800" s="116"/>
      <c r="V800" s="116"/>
      <c r="W800" s="209"/>
      <c r="X800" s="114"/>
      <c r="Y800" s="114"/>
      <c r="Z800" s="114"/>
      <c r="AA800" s="114"/>
      <c r="AB800" s="114"/>
      <c r="AC800" s="114"/>
      <c r="AD800" s="114"/>
      <c r="AE800" s="114"/>
      <c r="AF800" s="114"/>
      <c r="AG800" s="114"/>
      <c r="AH800" s="114"/>
    </row>
    <row r="801" spans="1:34" ht="24" customHeight="1" x14ac:dyDescent="0.6">
      <c r="A801" s="114"/>
      <c r="B801" s="114"/>
      <c r="C801" s="114"/>
      <c r="D801" s="114"/>
      <c r="E801" s="114"/>
      <c r="F801" s="115"/>
      <c r="G801" s="138"/>
      <c r="H801" s="114"/>
      <c r="I801" s="114"/>
      <c r="J801" s="114"/>
      <c r="K801" s="114"/>
      <c r="L801" s="114"/>
      <c r="M801" s="114"/>
      <c r="N801" s="114"/>
      <c r="O801" s="114"/>
      <c r="P801" s="114"/>
      <c r="Q801" s="114"/>
      <c r="R801" s="114"/>
      <c r="S801" s="114"/>
      <c r="T801" s="116"/>
      <c r="U801" s="116"/>
      <c r="V801" s="116"/>
      <c r="W801" s="209"/>
      <c r="X801" s="114"/>
      <c r="Y801" s="114"/>
      <c r="Z801" s="114"/>
      <c r="AA801" s="114"/>
      <c r="AB801" s="114"/>
      <c r="AC801" s="114"/>
      <c r="AD801" s="114"/>
      <c r="AE801" s="114"/>
      <c r="AF801" s="114"/>
      <c r="AG801" s="114"/>
      <c r="AH801" s="114"/>
    </row>
    <row r="802" spans="1:34" ht="24" customHeight="1" x14ac:dyDescent="0.6">
      <c r="A802" s="114"/>
      <c r="B802" s="114"/>
      <c r="C802" s="114"/>
      <c r="D802" s="114"/>
      <c r="E802" s="114"/>
      <c r="F802" s="115"/>
      <c r="G802" s="138"/>
      <c r="H802" s="114"/>
      <c r="I802" s="114"/>
      <c r="J802" s="114"/>
      <c r="K802" s="114"/>
      <c r="L802" s="114"/>
      <c r="M802" s="114"/>
      <c r="N802" s="114"/>
      <c r="O802" s="114"/>
      <c r="P802" s="114"/>
      <c r="Q802" s="114"/>
      <c r="R802" s="114"/>
      <c r="S802" s="114"/>
      <c r="T802" s="116"/>
      <c r="U802" s="116"/>
      <c r="V802" s="116"/>
      <c r="W802" s="209"/>
      <c r="X802" s="114"/>
      <c r="Y802" s="114"/>
      <c r="Z802" s="114"/>
      <c r="AA802" s="114"/>
      <c r="AB802" s="114"/>
      <c r="AC802" s="114"/>
      <c r="AD802" s="114"/>
      <c r="AE802" s="114"/>
      <c r="AF802" s="114"/>
      <c r="AG802" s="114"/>
      <c r="AH802" s="114"/>
    </row>
    <row r="803" spans="1:34" ht="24" customHeight="1" x14ac:dyDescent="0.6">
      <c r="A803" s="114"/>
      <c r="B803" s="114"/>
      <c r="C803" s="114"/>
      <c r="D803" s="114"/>
      <c r="E803" s="114"/>
      <c r="F803" s="115"/>
      <c r="G803" s="138"/>
      <c r="H803" s="114"/>
      <c r="I803" s="114"/>
      <c r="J803" s="114"/>
      <c r="K803" s="114"/>
      <c r="L803" s="114"/>
      <c r="M803" s="114"/>
      <c r="N803" s="114"/>
      <c r="O803" s="114"/>
      <c r="P803" s="114"/>
      <c r="Q803" s="114"/>
      <c r="R803" s="114"/>
      <c r="S803" s="114"/>
      <c r="T803" s="116"/>
      <c r="U803" s="116"/>
      <c r="V803" s="116"/>
      <c r="W803" s="209"/>
      <c r="X803" s="114"/>
      <c r="Y803" s="114"/>
      <c r="Z803" s="114"/>
      <c r="AA803" s="114"/>
      <c r="AB803" s="114"/>
      <c r="AC803" s="114"/>
      <c r="AD803" s="114"/>
      <c r="AE803" s="114"/>
      <c r="AF803" s="114"/>
      <c r="AG803" s="114"/>
      <c r="AH803" s="114"/>
    </row>
    <row r="804" spans="1:34" ht="24" customHeight="1" x14ac:dyDescent="0.6">
      <c r="A804" s="114"/>
      <c r="B804" s="114"/>
      <c r="C804" s="114"/>
      <c r="D804" s="114"/>
      <c r="E804" s="114"/>
      <c r="F804" s="115"/>
      <c r="G804" s="138"/>
      <c r="H804" s="114"/>
      <c r="I804" s="114"/>
      <c r="J804" s="114"/>
      <c r="K804" s="114"/>
      <c r="L804" s="114"/>
      <c r="M804" s="114"/>
      <c r="N804" s="114"/>
      <c r="O804" s="114"/>
      <c r="P804" s="114"/>
      <c r="Q804" s="114"/>
      <c r="R804" s="114"/>
      <c r="S804" s="114"/>
      <c r="T804" s="116"/>
      <c r="U804" s="116"/>
      <c r="V804" s="116"/>
      <c r="W804" s="209"/>
      <c r="X804" s="114"/>
      <c r="Y804" s="114"/>
      <c r="Z804" s="114"/>
      <c r="AA804" s="114"/>
      <c r="AB804" s="114"/>
      <c r="AC804" s="114"/>
      <c r="AD804" s="114"/>
      <c r="AE804" s="114"/>
      <c r="AF804" s="114"/>
      <c r="AG804" s="114"/>
      <c r="AH804" s="114"/>
    </row>
    <row r="805" spans="1:34" ht="24" customHeight="1" x14ac:dyDescent="0.6">
      <c r="A805" s="114"/>
      <c r="B805" s="114"/>
      <c r="C805" s="114"/>
      <c r="D805" s="114"/>
      <c r="E805" s="114"/>
      <c r="F805" s="115"/>
      <c r="G805" s="138"/>
      <c r="H805" s="114"/>
      <c r="I805" s="114"/>
      <c r="J805" s="114"/>
      <c r="K805" s="114"/>
      <c r="L805" s="114"/>
      <c r="M805" s="114"/>
      <c r="N805" s="114"/>
      <c r="O805" s="114"/>
      <c r="P805" s="114"/>
      <c r="Q805" s="114"/>
      <c r="R805" s="114"/>
      <c r="S805" s="114"/>
      <c r="T805" s="116"/>
      <c r="U805" s="116"/>
      <c r="V805" s="116"/>
      <c r="W805" s="209"/>
      <c r="X805" s="114"/>
      <c r="Y805" s="114"/>
      <c r="Z805" s="114"/>
      <c r="AA805" s="114"/>
      <c r="AB805" s="114"/>
      <c r="AC805" s="114"/>
      <c r="AD805" s="114"/>
      <c r="AE805" s="114"/>
      <c r="AF805" s="114"/>
      <c r="AG805" s="114"/>
      <c r="AH805" s="114"/>
    </row>
    <row r="806" spans="1:34" ht="24" customHeight="1" x14ac:dyDescent="0.6">
      <c r="A806" s="114"/>
      <c r="B806" s="114"/>
      <c r="C806" s="114"/>
      <c r="D806" s="114"/>
      <c r="E806" s="114"/>
      <c r="F806" s="115"/>
      <c r="G806" s="138"/>
      <c r="H806" s="114"/>
      <c r="I806" s="114"/>
      <c r="J806" s="114"/>
      <c r="K806" s="114"/>
      <c r="L806" s="114"/>
      <c r="M806" s="114"/>
      <c r="N806" s="114"/>
      <c r="O806" s="114"/>
      <c r="P806" s="114"/>
      <c r="Q806" s="114"/>
      <c r="R806" s="114"/>
      <c r="S806" s="114"/>
      <c r="T806" s="116"/>
      <c r="U806" s="116"/>
      <c r="V806" s="116"/>
      <c r="W806" s="209"/>
      <c r="X806" s="114"/>
      <c r="Y806" s="114"/>
      <c r="Z806" s="114"/>
      <c r="AA806" s="114"/>
      <c r="AB806" s="114"/>
      <c r="AC806" s="114"/>
      <c r="AD806" s="114"/>
      <c r="AE806" s="114"/>
      <c r="AF806" s="114"/>
      <c r="AG806" s="114"/>
      <c r="AH806" s="114"/>
    </row>
    <row r="807" spans="1:34" ht="24" customHeight="1" x14ac:dyDescent="0.6">
      <c r="A807" s="114"/>
      <c r="B807" s="114"/>
      <c r="C807" s="114"/>
      <c r="D807" s="114"/>
      <c r="E807" s="114"/>
      <c r="F807" s="115"/>
      <c r="G807" s="138"/>
      <c r="H807" s="114"/>
      <c r="I807" s="114"/>
      <c r="J807" s="114"/>
      <c r="K807" s="114"/>
      <c r="L807" s="114"/>
      <c r="M807" s="114"/>
      <c r="N807" s="114"/>
      <c r="O807" s="114"/>
      <c r="P807" s="114"/>
      <c r="Q807" s="114"/>
      <c r="R807" s="114"/>
      <c r="S807" s="114"/>
      <c r="T807" s="116"/>
      <c r="U807" s="116"/>
      <c r="V807" s="116"/>
      <c r="W807" s="209"/>
      <c r="X807" s="114"/>
      <c r="Y807" s="114"/>
      <c r="Z807" s="114"/>
      <c r="AA807" s="114"/>
      <c r="AB807" s="114"/>
      <c r="AC807" s="114"/>
      <c r="AD807" s="114"/>
      <c r="AE807" s="114"/>
      <c r="AF807" s="114"/>
      <c r="AG807" s="114"/>
      <c r="AH807" s="114"/>
    </row>
    <row r="808" spans="1:34" ht="24" customHeight="1" x14ac:dyDescent="0.6">
      <c r="A808" s="114"/>
      <c r="B808" s="114"/>
      <c r="C808" s="114"/>
      <c r="D808" s="114"/>
      <c r="E808" s="114"/>
      <c r="F808" s="115"/>
      <c r="G808" s="138"/>
      <c r="H808" s="114"/>
      <c r="I808" s="114"/>
      <c r="J808" s="114"/>
      <c r="K808" s="114"/>
      <c r="L808" s="114"/>
      <c r="M808" s="114"/>
      <c r="N808" s="114"/>
      <c r="O808" s="114"/>
      <c r="P808" s="114"/>
      <c r="Q808" s="114"/>
      <c r="R808" s="114"/>
      <c r="S808" s="114"/>
      <c r="T808" s="116"/>
      <c r="U808" s="116"/>
      <c r="V808" s="116"/>
      <c r="W808" s="209"/>
      <c r="X808" s="114"/>
      <c r="Y808" s="114"/>
      <c r="Z808" s="114"/>
      <c r="AA808" s="114"/>
      <c r="AB808" s="114"/>
      <c r="AC808" s="114"/>
      <c r="AD808" s="114"/>
      <c r="AE808" s="114"/>
      <c r="AF808" s="114"/>
      <c r="AG808" s="114"/>
      <c r="AH808" s="114"/>
    </row>
    <row r="809" spans="1:34" ht="24" customHeight="1" x14ac:dyDescent="0.6">
      <c r="A809" s="114"/>
      <c r="B809" s="114"/>
      <c r="C809" s="114"/>
      <c r="D809" s="114"/>
      <c r="E809" s="114"/>
      <c r="F809" s="115"/>
      <c r="G809" s="138"/>
      <c r="H809" s="114"/>
      <c r="I809" s="114"/>
      <c r="J809" s="114"/>
      <c r="K809" s="114"/>
      <c r="L809" s="114"/>
      <c r="M809" s="114"/>
      <c r="N809" s="114"/>
      <c r="O809" s="114"/>
      <c r="P809" s="114"/>
      <c r="Q809" s="114"/>
      <c r="R809" s="114"/>
      <c r="S809" s="114"/>
      <c r="T809" s="116"/>
      <c r="U809" s="116"/>
      <c r="V809" s="116"/>
      <c r="W809" s="209"/>
      <c r="X809" s="114"/>
      <c r="Y809" s="114"/>
      <c r="Z809" s="114"/>
      <c r="AA809" s="114"/>
      <c r="AB809" s="114"/>
      <c r="AC809" s="114"/>
      <c r="AD809" s="114"/>
      <c r="AE809" s="114"/>
      <c r="AF809" s="114"/>
      <c r="AG809" s="114"/>
      <c r="AH809" s="114"/>
    </row>
    <row r="810" spans="1:34" ht="24" customHeight="1" x14ac:dyDescent="0.6">
      <c r="A810" s="114"/>
      <c r="B810" s="114"/>
      <c r="C810" s="114"/>
      <c r="D810" s="114"/>
      <c r="E810" s="114"/>
      <c r="F810" s="115"/>
      <c r="G810" s="138"/>
      <c r="H810" s="114"/>
      <c r="I810" s="114"/>
      <c r="J810" s="114"/>
      <c r="K810" s="114"/>
      <c r="L810" s="114"/>
      <c r="M810" s="114"/>
      <c r="N810" s="114"/>
      <c r="O810" s="114"/>
      <c r="P810" s="114"/>
      <c r="Q810" s="114"/>
      <c r="R810" s="114"/>
      <c r="S810" s="114"/>
      <c r="T810" s="116"/>
      <c r="U810" s="116"/>
      <c r="V810" s="116"/>
      <c r="W810" s="209"/>
      <c r="X810" s="114"/>
      <c r="Y810" s="114"/>
      <c r="Z810" s="114"/>
      <c r="AA810" s="114"/>
      <c r="AB810" s="114"/>
      <c r="AC810" s="114"/>
      <c r="AD810" s="114"/>
      <c r="AE810" s="114"/>
      <c r="AF810" s="114"/>
      <c r="AG810" s="114"/>
      <c r="AH810" s="114"/>
    </row>
    <row r="811" spans="1:34" ht="24" customHeight="1" x14ac:dyDescent="0.6">
      <c r="A811" s="114"/>
      <c r="B811" s="114"/>
      <c r="C811" s="114"/>
      <c r="D811" s="114"/>
      <c r="E811" s="114"/>
      <c r="F811" s="115"/>
      <c r="G811" s="138"/>
      <c r="H811" s="114"/>
      <c r="I811" s="114"/>
      <c r="J811" s="114"/>
      <c r="K811" s="114"/>
      <c r="L811" s="114"/>
      <c r="M811" s="114"/>
      <c r="N811" s="114"/>
      <c r="O811" s="114"/>
      <c r="P811" s="114"/>
      <c r="Q811" s="114"/>
      <c r="R811" s="114"/>
      <c r="S811" s="114"/>
      <c r="T811" s="116"/>
      <c r="U811" s="116"/>
      <c r="V811" s="116"/>
      <c r="W811" s="209"/>
      <c r="X811" s="114"/>
      <c r="Y811" s="114"/>
      <c r="Z811" s="114"/>
      <c r="AA811" s="114"/>
      <c r="AB811" s="114"/>
      <c r="AC811" s="114"/>
      <c r="AD811" s="114"/>
      <c r="AE811" s="114"/>
      <c r="AF811" s="114"/>
      <c r="AG811" s="114"/>
      <c r="AH811" s="114"/>
    </row>
    <row r="812" spans="1:34" ht="24" customHeight="1" x14ac:dyDescent="0.6">
      <c r="A812" s="114"/>
      <c r="B812" s="114"/>
      <c r="C812" s="114"/>
      <c r="D812" s="114"/>
      <c r="E812" s="114"/>
      <c r="F812" s="115"/>
      <c r="G812" s="138"/>
      <c r="H812" s="114"/>
      <c r="I812" s="114"/>
      <c r="J812" s="114"/>
      <c r="K812" s="114"/>
      <c r="L812" s="114"/>
      <c r="M812" s="114"/>
      <c r="N812" s="114"/>
      <c r="O812" s="114"/>
      <c r="P812" s="114"/>
      <c r="Q812" s="114"/>
      <c r="R812" s="114"/>
      <c r="S812" s="114"/>
      <c r="T812" s="116"/>
      <c r="U812" s="116"/>
      <c r="V812" s="116"/>
      <c r="W812" s="209"/>
      <c r="X812" s="114"/>
      <c r="Y812" s="114"/>
      <c r="Z812" s="114"/>
      <c r="AA812" s="114"/>
      <c r="AB812" s="114"/>
      <c r="AC812" s="114"/>
      <c r="AD812" s="114"/>
      <c r="AE812" s="114"/>
      <c r="AF812" s="114"/>
      <c r="AG812" s="114"/>
      <c r="AH812" s="114"/>
    </row>
    <row r="813" spans="1:34" ht="24" customHeight="1" x14ac:dyDescent="0.6">
      <c r="A813" s="114"/>
      <c r="B813" s="114"/>
      <c r="C813" s="114"/>
      <c r="D813" s="114"/>
      <c r="E813" s="114"/>
      <c r="F813" s="115"/>
      <c r="G813" s="138"/>
      <c r="H813" s="114"/>
      <c r="I813" s="114"/>
      <c r="J813" s="114"/>
      <c r="K813" s="114"/>
      <c r="L813" s="114"/>
      <c r="M813" s="114"/>
      <c r="N813" s="114"/>
      <c r="O813" s="114"/>
      <c r="P813" s="114"/>
      <c r="Q813" s="114"/>
      <c r="R813" s="114"/>
      <c r="S813" s="114"/>
      <c r="T813" s="116"/>
      <c r="U813" s="116"/>
      <c r="V813" s="116"/>
      <c r="W813" s="209"/>
      <c r="X813" s="114"/>
      <c r="Y813" s="114"/>
      <c r="Z813" s="114"/>
      <c r="AA813" s="114"/>
      <c r="AB813" s="114"/>
      <c r="AC813" s="114"/>
      <c r="AD813" s="114"/>
      <c r="AE813" s="114"/>
      <c r="AF813" s="114"/>
      <c r="AG813" s="114"/>
      <c r="AH813" s="114"/>
    </row>
    <row r="814" spans="1:34" ht="24" customHeight="1" x14ac:dyDescent="0.6">
      <c r="A814" s="114"/>
      <c r="B814" s="114"/>
      <c r="C814" s="114"/>
      <c r="D814" s="114"/>
      <c r="E814" s="114"/>
      <c r="F814" s="115"/>
      <c r="G814" s="138"/>
      <c r="H814" s="114"/>
      <c r="I814" s="114"/>
      <c r="J814" s="114"/>
      <c r="K814" s="114"/>
      <c r="L814" s="114"/>
      <c r="M814" s="114"/>
      <c r="N814" s="114"/>
      <c r="O814" s="114"/>
      <c r="P814" s="114"/>
      <c r="Q814" s="114"/>
      <c r="R814" s="114"/>
      <c r="S814" s="114"/>
      <c r="T814" s="116"/>
      <c r="U814" s="116"/>
      <c r="V814" s="116"/>
      <c r="W814" s="209"/>
      <c r="X814" s="114"/>
      <c r="Y814" s="114"/>
      <c r="Z814" s="114"/>
      <c r="AA814" s="114"/>
      <c r="AB814" s="114"/>
      <c r="AC814" s="114"/>
      <c r="AD814" s="114"/>
      <c r="AE814" s="114"/>
      <c r="AF814" s="114"/>
      <c r="AG814" s="114"/>
      <c r="AH814" s="114"/>
    </row>
    <row r="815" spans="1:34" ht="24" customHeight="1" x14ac:dyDescent="0.6">
      <c r="A815" s="114"/>
      <c r="B815" s="114"/>
      <c r="C815" s="114"/>
      <c r="D815" s="114"/>
      <c r="E815" s="114"/>
      <c r="F815" s="115"/>
      <c r="G815" s="138"/>
      <c r="H815" s="114"/>
      <c r="I815" s="114"/>
      <c r="J815" s="114"/>
      <c r="K815" s="114"/>
      <c r="L815" s="114"/>
      <c r="M815" s="114"/>
      <c r="N815" s="114"/>
      <c r="O815" s="114"/>
      <c r="P815" s="114"/>
      <c r="Q815" s="114"/>
      <c r="R815" s="114"/>
      <c r="S815" s="114"/>
      <c r="T815" s="116"/>
      <c r="U815" s="116"/>
      <c r="V815" s="116"/>
      <c r="W815" s="209"/>
      <c r="X815" s="114"/>
      <c r="Y815" s="114"/>
      <c r="Z815" s="114"/>
      <c r="AA815" s="114"/>
      <c r="AB815" s="114"/>
      <c r="AC815" s="114"/>
      <c r="AD815" s="114"/>
      <c r="AE815" s="114"/>
      <c r="AF815" s="114"/>
      <c r="AG815" s="114"/>
      <c r="AH815" s="114"/>
    </row>
    <row r="816" spans="1:34" ht="24" customHeight="1" x14ac:dyDescent="0.6">
      <c r="A816" s="114"/>
      <c r="B816" s="114"/>
      <c r="C816" s="114"/>
      <c r="D816" s="114"/>
      <c r="E816" s="114"/>
      <c r="F816" s="115"/>
      <c r="G816" s="138"/>
      <c r="H816" s="114"/>
      <c r="I816" s="114"/>
      <c r="J816" s="114"/>
      <c r="K816" s="114"/>
      <c r="L816" s="114"/>
      <c r="M816" s="114"/>
      <c r="N816" s="114"/>
      <c r="O816" s="114"/>
      <c r="P816" s="114"/>
      <c r="Q816" s="114"/>
      <c r="R816" s="114"/>
      <c r="S816" s="114"/>
      <c r="T816" s="116"/>
      <c r="U816" s="116"/>
      <c r="V816" s="116"/>
      <c r="W816" s="209"/>
      <c r="X816" s="114"/>
      <c r="Y816" s="114"/>
      <c r="Z816" s="114"/>
      <c r="AA816" s="114"/>
      <c r="AB816" s="114"/>
      <c r="AC816" s="114"/>
      <c r="AD816" s="114"/>
      <c r="AE816" s="114"/>
      <c r="AF816" s="114"/>
      <c r="AG816" s="114"/>
      <c r="AH816" s="114"/>
    </row>
    <row r="817" spans="1:34" ht="24" customHeight="1" x14ac:dyDescent="0.6">
      <c r="A817" s="114"/>
      <c r="B817" s="114"/>
      <c r="C817" s="114"/>
      <c r="D817" s="114"/>
      <c r="E817" s="114"/>
      <c r="F817" s="115"/>
      <c r="G817" s="138"/>
      <c r="H817" s="114"/>
      <c r="I817" s="114"/>
      <c r="J817" s="114"/>
      <c r="K817" s="114"/>
      <c r="L817" s="114"/>
      <c r="M817" s="114"/>
      <c r="N817" s="114"/>
      <c r="O817" s="114"/>
      <c r="P817" s="114"/>
      <c r="Q817" s="114"/>
      <c r="R817" s="114"/>
      <c r="S817" s="114"/>
      <c r="T817" s="116"/>
      <c r="U817" s="116"/>
      <c r="V817" s="116"/>
      <c r="W817" s="209"/>
      <c r="X817" s="114"/>
      <c r="Y817" s="114"/>
      <c r="Z817" s="114"/>
      <c r="AA817" s="114"/>
      <c r="AB817" s="114"/>
      <c r="AC817" s="114"/>
      <c r="AD817" s="114"/>
      <c r="AE817" s="114"/>
      <c r="AF817" s="114"/>
      <c r="AG817" s="114"/>
      <c r="AH817" s="114"/>
    </row>
    <row r="818" spans="1:34" ht="24" customHeight="1" x14ac:dyDescent="0.6">
      <c r="A818" s="114"/>
      <c r="B818" s="114"/>
      <c r="C818" s="114"/>
      <c r="D818" s="114"/>
      <c r="E818" s="114"/>
      <c r="F818" s="115"/>
      <c r="G818" s="138"/>
      <c r="H818" s="114"/>
      <c r="I818" s="114"/>
      <c r="J818" s="114"/>
      <c r="K818" s="114"/>
      <c r="L818" s="114"/>
      <c r="M818" s="114"/>
      <c r="N818" s="114"/>
      <c r="O818" s="114"/>
      <c r="P818" s="114"/>
      <c r="Q818" s="114"/>
      <c r="R818" s="114"/>
      <c r="S818" s="114"/>
      <c r="T818" s="116"/>
      <c r="U818" s="116"/>
      <c r="V818" s="116"/>
      <c r="W818" s="209"/>
      <c r="X818" s="114"/>
      <c r="Y818" s="114"/>
      <c r="Z818" s="114"/>
      <c r="AA818" s="114"/>
      <c r="AB818" s="114"/>
      <c r="AC818" s="114"/>
      <c r="AD818" s="114"/>
      <c r="AE818" s="114"/>
      <c r="AF818" s="114"/>
      <c r="AG818" s="114"/>
      <c r="AH818" s="114"/>
    </row>
    <row r="819" spans="1:34" ht="24" customHeight="1" x14ac:dyDescent="0.6">
      <c r="A819" s="114"/>
      <c r="B819" s="114"/>
      <c r="C819" s="114"/>
      <c r="D819" s="114"/>
      <c r="E819" s="114"/>
      <c r="F819" s="115"/>
      <c r="G819" s="138"/>
      <c r="H819" s="114"/>
      <c r="I819" s="114"/>
      <c r="J819" s="114"/>
      <c r="K819" s="114"/>
      <c r="L819" s="114"/>
      <c r="M819" s="114"/>
      <c r="N819" s="114"/>
      <c r="O819" s="114"/>
      <c r="P819" s="114"/>
      <c r="Q819" s="114"/>
      <c r="R819" s="114"/>
      <c r="S819" s="114"/>
      <c r="T819" s="116"/>
      <c r="U819" s="116"/>
      <c r="V819" s="116"/>
      <c r="W819" s="209"/>
      <c r="X819" s="114"/>
      <c r="Y819" s="114"/>
      <c r="Z819" s="114"/>
      <c r="AA819" s="114"/>
      <c r="AB819" s="114"/>
      <c r="AC819" s="114"/>
      <c r="AD819" s="114"/>
      <c r="AE819" s="114"/>
      <c r="AF819" s="114"/>
      <c r="AG819" s="114"/>
      <c r="AH819" s="114"/>
    </row>
    <row r="820" spans="1:34" ht="24" customHeight="1" x14ac:dyDescent="0.6">
      <c r="A820" s="114"/>
      <c r="B820" s="114"/>
      <c r="C820" s="114"/>
      <c r="D820" s="114"/>
      <c r="E820" s="114"/>
      <c r="F820" s="115"/>
      <c r="G820" s="138"/>
      <c r="H820" s="114"/>
      <c r="I820" s="114"/>
      <c r="J820" s="114"/>
      <c r="K820" s="114"/>
      <c r="L820" s="114"/>
      <c r="M820" s="114"/>
      <c r="N820" s="114"/>
      <c r="O820" s="114"/>
      <c r="P820" s="114"/>
      <c r="Q820" s="114"/>
      <c r="R820" s="114"/>
      <c r="S820" s="114"/>
      <c r="T820" s="116"/>
      <c r="U820" s="116"/>
      <c r="V820" s="116"/>
      <c r="W820" s="209"/>
      <c r="X820" s="114"/>
      <c r="Y820" s="114"/>
      <c r="Z820" s="114"/>
      <c r="AA820" s="114"/>
      <c r="AB820" s="114"/>
      <c r="AC820" s="114"/>
      <c r="AD820" s="114"/>
      <c r="AE820" s="114"/>
      <c r="AF820" s="114"/>
      <c r="AG820" s="114"/>
      <c r="AH820" s="114"/>
    </row>
    <row r="821" spans="1:34" ht="24" customHeight="1" x14ac:dyDescent="0.6">
      <c r="A821" s="114"/>
      <c r="B821" s="114"/>
      <c r="C821" s="114"/>
      <c r="D821" s="114"/>
      <c r="E821" s="114"/>
      <c r="F821" s="115"/>
      <c r="G821" s="138"/>
      <c r="H821" s="114"/>
      <c r="I821" s="114"/>
      <c r="J821" s="114"/>
      <c r="K821" s="114"/>
      <c r="L821" s="114"/>
      <c r="M821" s="114"/>
      <c r="N821" s="114"/>
      <c r="O821" s="114"/>
      <c r="P821" s="114"/>
      <c r="Q821" s="114"/>
      <c r="R821" s="114"/>
      <c r="S821" s="114"/>
      <c r="T821" s="116"/>
      <c r="U821" s="116"/>
      <c r="V821" s="116"/>
      <c r="W821" s="209"/>
      <c r="X821" s="114"/>
      <c r="Y821" s="114"/>
      <c r="Z821" s="114"/>
      <c r="AA821" s="114"/>
      <c r="AB821" s="114"/>
      <c r="AC821" s="114"/>
      <c r="AD821" s="114"/>
      <c r="AE821" s="114"/>
      <c r="AF821" s="114"/>
      <c r="AG821" s="114"/>
      <c r="AH821" s="114"/>
    </row>
    <row r="822" spans="1:34" ht="24" customHeight="1" x14ac:dyDescent="0.6">
      <c r="A822" s="114"/>
      <c r="B822" s="114"/>
      <c r="C822" s="114"/>
      <c r="D822" s="114"/>
      <c r="E822" s="114"/>
      <c r="F822" s="115"/>
      <c r="G822" s="138"/>
      <c r="H822" s="114"/>
      <c r="I822" s="114"/>
      <c r="J822" s="114"/>
      <c r="K822" s="114"/>
      <c r="L822" s="114"/>
      <c r="M822" s="114"/>
      <c r="N822" s="114"/>
      <c r="O822" s="114"/>
      <c r="P822" s="114"/>
      <c r="Q822" s="114"/>
      <c r="R822" s="114"/>
      <c r="S822" s="114"/>
      <c r="T822" s="116"/>
      <c r="U822" s="116"/>
      <c r="V822" s="116"/>
      <c r="W822" s="209"/>
      <c r="X822" s="114"/>
      <c r="Y822" s="114"/>
      <c r="Z822" s="114"/>
      <c r="AA822" s="114"/>
      <c r="AB822" s="114"/>
      <c r="AC822" s="114"/>
      <c r="AD822" s="114"/>
      <c r="AE822" s="114"/>
      <c r="AF822" s="114"/>
      <c r="AG822" s="114"/>
      <c r="AH822" s="114"/>
    </row>
    <row r="823" spans="1:34" ht="24" customHeight="1" x14ac:dyDescent="0.6">
      <c r="A823" s="114"/>
      <c r="B823" s="114"/>
      <c r="C823" s="114"/>
      <c r="D823" s="114"/>
      <c r="E823" s="114"/>
      <c r="F823" s="115"/>
      <c r="G823" s="138"/>
      <c r="H823" s="114"/>
      <c r="I823" s="114"/>
      <c r="J823" s="114"/>
      <c r="K823" s="114"/>
      <c r="L823" s="114"/>
      <c r="M823" s="114"/>
      <c r="N823" s="114"/>
      <c r="O823" s="114"/>
      <c r="P823" s="114"/>
      <c r="Q823" s="114"/>
      <c r="R823" s="114"/>
      <c r="S823" s="114"/>
      <c r="T823" s="116"/>
      <c r="U823" s="116"/>
      <c r="V823" s="116"/>
      <c r="W823" s="209"/>
      <c r="X823" s="114"/>
      <c r="Y823" s="114"/>
      <c r="Z823" s="114"/>
      <c r="AA823" s="114"/>
      <c r="AB823" s="114"/>
      <c r="AC823" s="114"/>
      <c r="AD823" s="114"/>
      <c r="AE823" s="114"/>
      <c r="AF823" s="114"/>
      <c r="AG823" s="114"/>
      <c r="AH823" s="114"/>
    </row>
    <row r="824" spans="1:34" ht="24" customHeight="1" x14ac:dyDescent="0.6">
      <c r="A824" s="114"/>
      <c r="B824" s="114"/>
      <c r="C824" s="114"/>
      <c r="D824" s="114"/>
      <c r="E824" s="114"/>
      <c r="F824" s="115"/>
      <c r="G824" s="138"/>
      <c r="H824" s="114"/>
      <c r="I824" s="114"/>
      <c r="J824" s="114"/>
      <c r="K824" s="114"/>
      <c r="L824" s="114"/>
      <c r="M824" s="114"/>
      <c r="N824" s="114"/>
      <c r="O824" s="114"/>
      <c r="P824" s="114"/>
      <c r="Q824" s="114"/>
      <c r="R824" s="114"/>
      <c r="S824" s="114"/>
      <c r="T824" s="116"/>
      <c r="U824" s="116"/>
      <c r="V824" s="116"/>
      <c r="W824" s="209"/>
      <c r="X824" s="114"/>
      <c r="Y824" s="114"/>
      <c r="Z824" s="114"/>
      <c r="AA824" s="114"/>
      <c r="AB824" s="114"/>
      <c r="AC824" s="114"/>
      <c r="AD824" s="114"/>
      <c r="AE824" s="114"/>
      <c r="AF824" s="114"/>
      <c r="AG824" s="114"/>
      <c r="AH824" s="114"/>
    </row>
    <row r="825" spans="1:34" ht="24" customHeight="1" x14ac:dyDescent="0.6">
      <c r="A825" s="114"/>
      <c r="B825" s="114"/>
      <c r="C825" s="114"/>
      <c r="D825" s="114"/>
      <c r="E825" s="114"/>
      <c r="F825" s="115"/>
      <c r="G825" s="138"/>
      <c r="H825" s="114"/>
      <c r="I825" s="114"/>
      <c r="J825" s="114"/>
      <c r="K825" s="114"/>
      <c r="L825" s="114"/>
      <c r="M825" s="114"/>
      <c r="N825" s="114"/>
      <c r="O825" s="114"/>
      <c r="P825" s="114"/>
      <c r="Q825" s="114"/>
      <c r="R825" s="114"/>
      <c r="S825" s="114"/>
      <c r="T825" s="116"/>
      <c r="U825" s="116"/>
      <c r="V825" s="116"/>
      <c r="W825" s="209"/>
      <c r="X825" s="114"/>
      <c r="Y825" s="114"/>
      <c r="Z825" s="114"/>
      <c r="AA825" s="114"/>
      <c r="AB825" s="114"/>
      <c r="AC825" s="114"/>
      <c r="AD825" s="114"/>
      <c r="AE825" s="114"/>
      <c r="AF825" s="114"/>
      <c r="AG825" s="114"/>
      <c r="AH825" s="114"/>
    </row>
    <row r="826" spans="1:34" ht="24" customHeight="1" x14ac:dyDescent="0.6">
      <c r="A826" s="114"/>
      <c r="B826" s="114"/>
      <c r="C826" s="114"/>
      <c r="D826" s="114"/>
      <c r="E826" s="114"/>
      <c r="F826" s="115"/>
      <c r="G826" s="138"/>
      <c r="H826" s="114"/>
      <c r="I826" s="114"/>
      <c r="J826" s="114"/>
      <c r="K826" s="114"/>
      <c r="L826" s="114"/>
      <c r="M826" s="114"/>
      <c r="N826" s="114"/>
      <c r="O826" s="114"/>
      <c r="P826" s="114"/>
      <c r="Q826" s="114"/>
      <c r="R826" s="114"/>
      <c r="S826" s="114"/>
      <c r="T826" s="116"/>
      <c r="U826" s="116"/>
      <c r="V826" s="116"/>
      <c r="W826" s="209"/>
      <c r="X826" s="114"/>
      <c r="Y826" s="114"/>
      <c r="Z826" s="114"/>
      <c r="AA826" s="114"/>
      <c r="AB826" s="114"/>
      <c r="AC826" s="114"/>
      <c r="AD826" s="114"/>
      <c r="AE826" s="114"/>
      <c r="AF826" s="114"/>
      <c r="AG826" s="114"/>
      <c r="AH826" s="114"/>
    </row>
    <row r="827" spans="1:34" ht="24" customHeight="1" x14ac:dyDescent="0.6">
      <c r="A827" s="114"/>
      <c r="B827" s="114"/>
      <c r="C827" s="114"/>
      <c r="D827" s="114"/>
      <c r="E827" s="114"/>
      <c r="F827" s="115"/>
      <c r="G827" s="138"/>
      <c r="H827" s="114"/>
      <c r="I827" s="114"/>
      <c r="J827" s="114"/>
      <c r="K827" s="114"/>
      <c r="L827" s="114"/>
      <c r="M827" s="114"/>
      <c r="N827" s="114"/>
      <c r="O827" s="114"/>
      <c r="P827" s="114"/>
      <c r="Q827" s="114"/>
      <c r="R827" s="114"/>
      <c r="S827" s="114"/>
      <c r="T827" s="116"/>
      <c r="U827" s="116"/>
      <c r="V827" s="116"/>
      <c r="W827" s="209"/>
      <c r="X827" s="114"/>
      <c r="Y827" s="114"/>
      <c r="Z827" s="114"/>
      <c r="AA827" s="114"/>
      <c r="AB827" s="114"/>
      <c r="AC827" s="114"/>
      <c r="AD827" s="114"/>
      <c r="AE827" s="114"/>
      <c r="AF827" s="114"/>
      <c r="AG827" s="114"/>
      <c r="AH827" s="114"/>
    </row>
    <row r="828" spans="1:34" ht="24" customHeight="1" x14ac:dyDescent="0.6">
      <c r="A828" s="114"/>
      <c r="B828" s="114"/>
      <c r="C828" s="114"/>
      <c r="D828" s="114"/>
      <c r="E828" s="114"/>
      <c r="F828" s="115"/>
      <c r="G828" s="138"/>
      <c r="H828" s="114"/>
      <c r="I828" s="114"/>
      <c r="J828" s="114"/>
      <c r="K828" s="114"/>
      <c r="L828" s="114"/>
      <c r="M828" s="114"/>
      <c r="N828" s="114"/>
      <c r="O828" s="114"/>
      <c r="P828" s="114"/>
      <c r="Q828" s="114"/>
      <c r="R828" s="114"/>
      <c r="S828" s="114"/>
      <c r="T828" s="116"/>
      <c r="U828" s="116"/>
      <c r="V828" s="116"/>
      <c r="W828" s="209"/>
      <c r="X828" s="114"/>
      <c r="Y828" s="114"/>
      <c r="Z828" s="114"/>
      <c r="AA828" s="114"/>
      <c r="AB828" s="114"/>
      <c r="AC828" s="114"/>
      <c r="AD828" s="114"/>
      <c r="AE828" s="114"/>
      <c r="AF828" s="114"/>
      <c r="AG828" s="114"/>
      <c r="AH828" s="114"/>
    </row>
    <row r="829" spans="1:34" ht="24" customHeight="1" x14ac:dyDescent="0.6">
      <c r="A829" s="114"/>
      <c r="B829" s="114"/>
      <c r="C829" s="114"/>
      <c r="D829" s="114"/>
      <c r="E829" s="114"/>
      <c r="F829" s="115"/>
      <c r="G829" s="138"/>
      <c r="H829" s="114"/>
      <c r="I829" s="114"/>
      <c r="J829" s="114"/>
      <c r="K829" s="114"/>
      <c r="L829" s="114"/>
      <c r="M829" s="114"/>
      <c r="N829" s="114"/>
      <c r="O829" s="114"/>
      <c r="P829" s="114"/>
      <c r="Q829" s="114"/>
      <c r="R829" s="114"/>
      <c r="S829" s="114"/>
      <c r="T829" s="116"/>
      <c r="U829" s="116"/>
      <c r="V829" s="116"/>
      <c r="W829" s="209"/>
      <c r="X829" s="114"/>
      <c r="Y829" s="114"/>
      <c r="Z829" s="114"/>
      <c r="AA829" s="114"/>
      <c r="AB829" s="114"/>
      <c r="AC829" s="114"/>
      <c r="AD829" s="114"/>
      <c r="AE829" s="114"/>
      <c r="AF829" s="114"/>
      <c r="AG829" s="114"/>
      <c r="AH829" s="114"/>
    </row>
    <row r="830" spans="1:34" ht="24" customHeight="1" x14ac:dyDescent="0.6">
      <c r="A830" s="114"/>
      <c r="B830" s="114"/>
      <c r="C830" s="114"/>
      <c r="D830" s="114"/>
      <c r="E830" s="114"/>
      <c r="F830" s="115"/>
      <c r="G830" s="138"/>
      <c r="H830" s="114"/>
      <c r="I830" s="114"/>
      <c r="J830" s="114"/>
      <c r="K830" s="114"/>
      <c r="L830" s="114"/>
      <c r="M830" s="114"/>
      <c r="N830" s="114"/>
      <c r="O830" s="114"/>
      <c r="P830" s="114"/>
      <c r="Q830" s="114"/>
      <c r="R830" s="114"/>
      <c r="S830" s="114"/>
      <c r="T830" s="116"/>
      <c r="U830" s="116"/>
      <c r="V830" s="116"/>
      <c r="W830" s="209"/>
      <c r="X830" s="114"/>
      <c r="Y830" s="114"/>
      <c r="Z830" s="114"/>
      <c r="AA830" s="114"/>
      <c r="AB830" s="114"/>
      <c r="AC830" s="114"/>
      <c r="AD830" s="114"/>
      <c r="AE830" s="114"/>
      <c r="AF830" s="114"/>
      <c r="AG830" s="114"/>
      <c r="AH830" s="114"/>
    </row>
    <row r="831" spans="1:34" ht="24" customHeight="1" x14ac:dyDescent="0.6">
      <c r="A831" s="114"/>
      <c r="B831" s="114"/>
      <c r="C831" s="114"/>
      <c r="D831" s="114"/>
      <c r="E831" s="114"/>
      <c r="F831" s="115"/>
      <c r="G831" s="138"/>
      <c r="H831" s="114"/>
      <c r="I831" s="114"/>
      <c r="J831" s="114"/>
      <c r="K831" s="114"/>
      <c r="L831" s="114"/>
      <c r="M831" s="114"/>
      <c r="N831" s="114"/>
      <c r="O831" s="114"/>
      <c r="P831" s="114"/>
      <c r="Q831" s="114"/>
      <c r="R831" s="114"/>
      <c r="S831" s="114"/>
      <c r="T831" s="116"/>
      <c r="U831" s="116"/>
      <c r="V831" s="116"/>
      <c r="W831" s="209"/>
      <c r="X831" s="114"/>
      <c r="Y831" s="114"/>
      <c r="Z831" s="114"/>
      <c r="AA831" s="114"/>
      <c r="AB831" s="114"/>
      <c r="AC831" s="114"/>
      <c r="AD831" s="114"/>
      <c r="AE831" s="114"/>
      <c r="AF831" s="114"/>
      <c r="AG831" s="114"/>
      <c r="AH831" s="114"/>
    </row>
    <row r="832" spans="1:34" ht="24" customHeight="1" x14ac:dyDescent="0.6">
      <c r="A832" s="114"/>
      <c r="B832" s="114"/>
      <c r="C832" s="114"/>
      <c r="D832" s="114"/>
      <c r="E832" s="114"/>
      <c r="F832" s="115"/>
      <c r="G832" s="138"/>
      <c r="H832" s="114"/>
      <c r="I832" s="114"/>
      <c r="J832" s="114"/>
      <c r="K832" s="114"/>
      <c r="L832" s="114"/>
      <c r="M832" s="114"/>
      <c r="N832" s="114"/>
      <c r="O832" s="114"/>
      <c r="P832" s="114"/>
      <c r="Q832" s="114"/>
      <c r="R832" s="114"/>
      <c r="S832" s="114"/>
      <c r="T832" s="116"/>
      <c r="U832" s="116"/>
      <c r="V832" s="116"/>
      <c r="W832" s="209"/>
      <c r="X832" s="114"/>
      <c r="Y832" s="114"/>
      <c r="Z832" s="114"/>
      <c r="AA832" s="114"/>
      <c r="AB832" s="114"/>
      <c r="AC832" s="114"/>
      <c r="AD832" s="114"/>
      <c r="AE832" s="114"/>
      <c r="AF832" s="114"/>
      <c r="AG832" s="114"/>
      <c r="AH832" s="114"/>
    </row>
    <row r="833" spans="1:34" ht="24" customHeight="1" x14ac:dyDescent="0.6">
      <c r="A833" s="114"/>
      <c r="B833" s="114"/>
      <c r="C833" s="114"/>
      <c r="D833" s="114"/>
      <c r="E833" s="114"/>
      <c r="F833" s="115"/>
      <c r="G833" s="138"/>
      <c r="H833" s="114"/>
      <c r="I833" s="114"/>
      <c r="J833" s="114"/>
      <c r="K833" s="114"/>
      <c r="L833" s="114"/>
      <c r="M833" s="114"/>
      <c r="N833" s="114"/>
      <c r="O833" s="114"/>
      <c r="P833" s="114"/>
      <c r="Q833" s="114"/>
      <c r="R833" s="114"/>
      <c r="S833" s="114"/>
      <c r="T833" s="116"/>
      <c r="U833" s="116"/>
      <c r="V833" s="116"/>
      <c r="W833" s="209"/>
      <c r="X833" s="114"/>
      <c r="Y833" s="114"/>
      <c r="Z833" s="114"/>
      <c r="AA833" s="114"/>
      <c r="AB833" s="114"/>
      <c r="AC833" s="114"/>
      <c r="AD833" s="114"/>
      <c r="AE833" s="114"/>
      <c r="AF833" s="114"/>
      <c r="AG833" s="114"/>
      <c r="AH833" s="114"/>
    </row>
    <row r="834" spans="1:34" ht="24" customHeight="1" x14ac:dyDescent="0.6">
      <c r="A834" s="114"/>
      <c r="B834" s="114"/>
      <c r="C834" s="114"/>
      <c r="D834" s="114"/>
      <c r="E834" s="114"/>
      <c r="F834" s="115"/>
      <c r="G834" s="138"/>
      <c r="H834" s="114"/>
      <c r="I834" s="114"/>
      <c r="J834" s="114"/>
      <c r="K834" s="114"/>
      <c r="L834" s="114"/>
      <c r="M834" s="114"/>
      <c r="N834" s="114"/>
      <c r="O834" s="114"/>
      <c r="P834" s="114"/>
      <c r="Q834" s="114"/>
      <c r="R834" s="114"/>
      <c r="S834" s="114"/>
      <c r="T834" s="116"/>
      <c r="U834" s="116"/>
      <c r="V834" s="116"/>
      <c r="W834" s="209"/>
      <c r="X834" s="114"/>
      <c r="Y834" s="114"/>
      <c r="Z834" s="114"/>
      <c r="AA834" s="114"/>
      <c r="AB834" s="114"/>
      <c r="AC834" s="114"/>
      <c r="AD834" s="114"/>
      <c r="AE834" s="114"/>
      <c r="AF834" s="114"/>
      <c r="AG834" s="114"/>
      <c r="AH834" s="114"/>
    </row>
    <row r="835" spans="1:34" ht="24" customHeight="1" x14ac:dyDescent="0.6">
      <c r="A835" s="114"/>
      <c r="B835" s="114"/>
      <c r="C835" s="114"/>
      <c r="D835" s="114"/>
      <c r="E835" s="114"/>
      <c r="F835" s="115"/>
      <c r="G835" s="138"/>
      <c r="H835" s="114"/>
      <c r="I835" s="114"/>
      <c r="J835" s="114"/>
      <c r="K835" s="114"/>
      <c r="L835" s="114"/>
      <c r="M835" s="114"/>
      <c r="N835" s="114"/>
      <c r="O835" s="114"/>
      <c r="P835" s="114"/>
      <c r="Q835" s="114"/>
      <c r="R835" s="114"/>
      <c r="S835" s="114"/>
      <c r="T835" s="116"/>
      <c r="U835" s="116"/>
      <c r="V835" s="116"/>
      <c r="W835" s="209"/>
      <c r="X835" s="114"/>
      <c r="Y835" s="114"/>
      <c r="Z835" s="114"/>
      <c r="AA835" s="114"/>
      <c r="AB835" s="114"/>
      <c r="AC835" s="114"/>
      <c r="AD835" s="114"/>
      <c r="AE835" s="114"/>
      <c r="AF835" s="114"/>
      <c r="AG835" s="114"/>
      <c r="AH835" s="114"/>
    </row>
    <row r="836" spans="1:34" ht="24" customHeight="1" x14ac:dyDescent="0.6">
      <c r="A836" s="114"/>
      <c r="B836" s="114"/>
      <c r="C836" s="114"/>
      <c r="D836" s="114"/>
      <c r="E836" s="114"/>
      <c r="F836" s="115"/>
      <c r="G836" s="138"/>
      <c r="H836" s="114"/>
      <c r="I836" s="114"/>
      <c r="J836" s="114"/>
      <c r="K836" s="114"/>
      <c r="L836" s="114"/>
      <c r="M836" s="114"/>
      <c r="N836" s="114"/>
      <c r="O836" s="114"/>
      <c r="P836" s="114"/>
      <c r="Q836" s="114"/>
      <c r="R836" s="114"/>
      <c r="S836" s="114"/>
      <c r="T836" s="116"/>
      <c r="U836" s="116"/>
      <c r="V836" s="116"/>
      <c r="W836" s="209"/>
      <c r="X836" s="114"/>
      <c r="Y836" s="114"/>
      <c r="Z836" s="114"/>
      <c r="AA836" s="114"/>
      <c r="AB836" s="114"/>
      <c r="AC836" s="114"/>
      <c r="AD836" s="114"/>
      <c r="AE836" s="114"/>
      <c r="AF836" s="114"/>
      <c r="AG836" s="114"/>
      <c r="AH836" s="114"/>
    </row>
    <row r="837" spans="1:34" ht="24" customHeight="1" x14ac:dyDescent="0.6">
      <c r="A837" s="114"/>
      <c r="B837" s="114"/>
      <c r="C837" s="114"/>
      <c r="D837" s="114"/>
      <c r="E837" s="114"/>
      <c r="F837" s="115"/>
      <c r="G837" s="138"/>
      <c r="H837" s="114"/>
      <c r="I837" s="114"/>
      <c r="J837" s="114"/>
      <c r="K837" s="114"/>
      <c r="L837" s="114"/>
      <c r="M837" s="114"/>
      <c r="N837" s="114"/>
      <c r="O837" s="114"/>
      <c r="P837" s="114"/>
      <c r="Q837" s="114"/>
      <c r="R837" s="114"/>
      <c r="S837" s="114"/>
      <c r="T837" s="116"/>
      <c r="U837" s="116"/>
      <c r="V837" s="116"/>
      <c r="W837" s="209"/>
      <c r="X837" s="114"/>
      <c r="Y837" s="114"/>
      <c r="Z837" s="114"/>
      <c r="AA837" s="114"/>
      <c r="AB837" s="114"/>
      <c r="AC837" s="114"/>
      <c r="AD837" s="114"/>
      <c r="AE837" s="114"/>
      <c r="AF837" s="114"/>
      <c r="AG837" s="114"/>
      <c r="AH837" s="114"/>
    </row>
    <row r="838" spans="1:34" ht="24" customHeight="1" x14ac:dyDescent="0.6">
      <c r="A838" s="114"/>
      <c r="B838" s="114"/>
      <c r="C838" s="114"/>
      <c r="D838" s="114"/>
      <c r="E838" s="114"/>
      <c r="F838" s="115"/>
      <c r="G838" s="138"/>
      <c r="H838" s="114"/>
      <c r="I838" s="114"/>
      <c r="J838" s="114"/>
      <c r="K838" s="114"/>
      <c r="L838" s="114"/>
      <c r="M838" s="114"/>
      <c r="N838" s="114"/>
      <c r="O838" s="114"/>
      <c r="P838" s="114"/>
      <c r="Q838" s="114"/>
      <c r="R838" s="114"/>
      <c r="S838" s="114"/>
      <c r="T838" s="116"/>
      <c r="U838" s="116"/>
      <c r="V838" s="116"/>
      <c r="W838" s="209"/>
      <c r="X838" s="114"/>
      <c r="Y838" s="114"/>
      <c r="Z838" s="114"/>
      <c r="AA838" s="114"/>
      <c r="AB838" s="114"/>
      <c r="AC838" s="114"/>
      <c r="AD838" s="114"/>
      <c r="AE838" s="114"/>
      <c r="AF838" s="114"/>
      <c r="AG838" s="114"/>
      <c r="AH838" s="114"/>
    </row>
    <row r="839" spans="1:34" ht="24" customHeight="1" x14ac:dyDescent="0.6">
      <c r="A839" s="114"/>
      <c r="B839" s="114"/>
      <c r="C839" s="114"/>
      <c r="D839" s="114"/>
      <c r="E839" s="114"/>
      <c r="F839" s="115"/>
      <c r="G839" s="138"/>
      <c r="H839" s="114"/>
      <c r="I839" s="114"/>
      <c r="J839" s="114"/>
      <c r="K839" s="114"/>
      <c r="L839" s="114"/>
      <c r="M839" s="114"/>
      <c r="N839" s="114"/>
      <c r="O839" s="114"/>
      <c r="P839" s="114"/>
      <c r="Q839" s="114"/>
      <c r="R839" s="114"/>
      <c r="S839" s="114"/>
      <c r="T839" s="116"/>
      <c r="U839" s="116"/>
      <c r="V839" s="116"/>
      <c r="W839" s="209"/>
      <c r="X839" s="114"/>
      <c r="Y839" s="114"/>
      <c r="Z839" s="114"/>
      <c r="AA839" s="114"/>
      <c r="AB839" s="114"/>
      <c r="AC839" s="114"/>
      <c r="AD839" s="114"/>
      <c r="AE839" s="114"/>
      <c r="AF839" s="114"/>
      <c r="AG839" s="114"/>
      <c r="AH839" s="114"/>
    </row>
    <row r="840" spans="1:34" ht="24" customHeight="1" x14ac:dyDescent="0.6">
      <c r="A840" s="114"/>
      <c r="B840" s="114"/>
      <c r="C840" s="114"/>
      <c r="D840" s="114"/>
      <c r="E840" s="114"/>
      <c r="F840" s="115"/>
      <c r="G840" s="138"/>
      <c r="H840" s="114"/>
      <c r="I840" s="114"/>
      <c r="J840" s="114"/>
      <c r="K840" s="114"/>
      <c r="L840" s="114"/>
      <c r="M840" s="114"/>
      <c r="N840" s="114"/>
      <c r="O840" s="114"/>
      <c r="P840" s="114"/>
      <c r="Q840" s="114"/>
      <c r="R840" s="114"/>
      <c r="S840" s="114"/>
      <c r="T840" s="116"/>
      <c r="U840" s="116"/>
      <c r="V840" s="116"/>
      <c r="W840" s="209"/>
      <c r="X840" s="114"/>
      <c r="Y840" s="114"/>
      <c r="Z840" s="114"/>
      <c r="AA840" s="114"/>
      <c r="AB840" s="114"/>
      <c r="AC840" s="114"/>
      <c r="AD840" s="114"/>
      <c r="AE840" s="114"/>
      <c r="AF840" s="114"/>
      <c r="AG840" s="114"/>
      <c r="AH840" s="114"/>
    </row>
    <row r="841" spans="1:34" ht="24" customHeight="1" x14ac:dyDescent="0.6">
      <c r="A841" s="114"/>
      <c r="B841" s="114"/>
      <c r="C841" s="114"/>
      <c r="D841" s="114"/>
      <c r="E841" s="114"/>
      <c r="F841" s="115"/>
      <c r="G841" s="138"/>
      <c r="H841" s="114"/>
      <c r="I841" s="114"/>
      <c r="J841" s="114"/>
      <c r="K841" s="114"/>
      <c r="L841" s="114"/>
      <c r="M841" s="114"/>
      <c r="N841" s="114"/>
      <c r="O841" s="114"/>
      <c r="P841" s="114"/>
      <c r="Q841" s="114"/>
      <c r="R841" s="114"/>
      <c r="S841" s="114"/>
      <c r="T841" s="116"/>
      <c r="U841" s="116"/>
      <c r="V841" s="116"/>
      <c r="W841" s="209"/>
      <c r="X841" s="114"/>
      <c r="Y841" s="114"/>
      <c r="Z841" s="114"/>
      <c r="AA841" s="114"/>
      <c r="AB841" s="114"/>
      <c r="AC841" s="114"/>
      <c r="AD841" s="114"/>
      <c r="AE841" s="114"/>
      <c r="AF841" s="114"/>
      <c r="AG841" s="114"/>
      <c r="AH841" s="114"/>
    </row>
    <row r="842" spans="1:34" ht="24" customHeight="1" x14ac:dyDescent="0.6">
      <c r="A842" s="114"/>
      <c r="B842" s="114"/>
      <c r="C842" s="114"/>
      <c r="D842" s="114"/>
      <c r="E842" s="114"/>
      <c r="F842" s="115"/>
      <c r="G842" s="138"/>
      <c r="H842" s="114"/>
      <c r="I842" s="114"/>
      <c r="J842" s="114"/>
      <c r="K842" s="114"/>
      <c r="L842" s="114"/>
      <c r="M842" s="114"/>
      <c r="N842" s="114"/>
      <c r="O842" s="114"/>
      <c r="P842" s="114"/>
      <c r="Q842" s="114"/>
      <c r="R842" s="114"/>
      <c r="S842" s="114"/>
      <c r="T842" s="116"/>
      <c r="U842" s="116"/>
      <c r="V842" s="116"/>
      <c r="W842" s="209"/>
      <c r="X842" s="114"/>
      <c r="Y842" s="114"/>
      <c r="Z842" s="114"/>
      <c r="AA842" s="114"/>
      <c r="AB842" s="114"/>
      <c r="AC842" s="114"/>
      <c r="AD842" s="114"/>
      <c r="AE842" s="114"/>
      <c r="AF842" s="114"/>
      <c r="AG842" s="114"/>
      <c r="AH842" s="114"/>
    </row>
    <row r="843" spans="1:34" ht="24" customHeight="1" x14ac:dyDescent="0.6">
      <c r="A843" s="114"/>
      <c r="B843" s="114"/>
      <c r="C843" s="114"/>
      <c r="D843" s="114"/>
      <c r="E843" s="114"/>
      <c r="F843" s="115"/>
      <c r="G843" s="138"/>
      <c r="H843" s="114"/>
      <c r="I843" s="114"/>
      <c r="J843" s="114"/>
      <c r="K843" s="114"/>
      <c r="L843" s="114"/>
      <c r="M843" s="114"/>
      <c r="N843" s="114"/>
      <c r="O843" s="114"/>
      <c r="P843" s="114"/>
      <c r="Q843" s="114"/>
      <c r="R843" s="114"/>
      <c r="S843" s="114"/>
      <c r="T843" s="116"/>
      <c r="U843" s="116"/>
      <c r="V843" s="116"/>
      <c r="W843" s="209"/>
      <c r="X843" s="114"/>
      <c r="Y843" s="114"/>
      <c r="Z843" s="114"/>
      <c r="AA843" s="114"/>
      <c r="AB843" s="114"/>
      <c r="AC843" s="114"/>
      <c r="AD843" s="114"/>
      <c r="AE843" s="114"/>
      <c r="AF843" s="114"/>
      <c r="AG843" s="114"/>
      <c r="AH843" s="114"/>
    </row>
    <row r="844" spans="1:34" ht="24" customHeight="1" x14ac:dyDescent="0.6">
      <c r="A844" s="114"/>
      <c r="B844" s="114"/>
      <c r="C844" s="114"/>
      <c r="D844" s="114"/>
      <c r="E844" s="114"/>
      <c r="F844" s="115"/>
      <c r="G844" s="138"/>
      <c r="H844" s="114"/>
      <c r="I844" s="114"/>
      <c r="J844" s="114"/>
      <c r="K844" s="114"/>
      <c r="L844" s="114"/>
      <c r="M844" s="114"/>
      <c r="N844" s="114"/>
      <c r="O844" s="114"/>
      <c r="P844" s="114"/>
      <c r="Q844" s="114"/>
      <c r="R844" s="114"/>
      <c r="S844" s="114"/>
      <c r="T844" s="116"/>
      <c r="U844" s="116"/>
      <c r="V844" s="116"/>
      <c r="W844" s="209"/>
      <c r="X844" s="114"/>
      <c r="Y844" s="114"/>
      <c r="Z844" s="114"/>
      <c r="AA844" s="114"/>
      <c r="AB844" s="114"/>
      <c r="AC844" s="114"/>
      <c r="AD844" s="114"/>
      <c r="AE844" s="114"/>
      <c r="AF844" s="114"/>
      <c r="AG844" s="114"/>
      <c r="AH844" s="114"/>
    </row>
    <row r="845" spans="1:34" ht="24" customHeight="1" x14ac:dyDescent="0.6">
      <c r="A845" s="114"/>
      <c r="B845" s="114"/>
      <c r="C845" s="114"/>
      <c r="D845" s="114"/>
      <c r="E845" s="114"/>
      <c r="F845" s="115"/>
      <c r="G845" s="138"/>
      <c r="H845" s="114"/>
      <c r="I845" s="114"/>
      <c r="J845" s="114"/>
      <c r="K845" s="114"/>
      <c r="L845" s="114"/>
      <c r="M845" s="114"/>
      <c r="N845" s="114"/>
      <c r="O845" s="114"/>
      <c r="P845" s="114"/>
      <c r="Q845" s="114"/>
      <c r="R845" s="114"/>
      <c r="S845" s="114"/>
      <c r="T845" s="116"/>
      <c r="U845" s="116"/>
      <c r="V845" s="116"/>
      <c r="W845" s="209"/>
      <c r="X845" s="114"/>
      <c r="Y845" s="114"/>
      <c r="Z845" s="114"/>
      <c r="AA845" s="114"/>
      <c r="AB845" s="114"/>
      <c r="AC845" s="114"/>
      <c r="AD845" s="114"/>
      <c r="AE845" s="114"/>
      <c r="AF845" s="114"/>
      <c r="AG845" s="114"/>
      <c r="AH845" s="114"/>
    </row>
    <row r="846" spans="1:34" ht="24" customHeight="1" x14ac:dyDescent="0.6">
      <c r="A846" s="114"/>
      <c r="B846" s="114"/>
      <c r="C846" s="114"/>
      <c r="D846" s="114"/>
      <c r="E846" s="114"/>
      <c r="F846" s="115"/>
      <c r="G846" s="138"/>
      <c r="H846" s="114"/>
      <c r="I846" s="114"/>
      <c r="J846" s="114"/>
      <c r="K846" s="114"/>
      <c r="L846" s="114"/>
      <c r="M846" s="114"/>
      <c r="N846" s="114"/>
      <c r="O846" s="114"/>
      <c r="P846" s="114"/>
      <c r="Q846" s="114"/>
      <c r="R846" s="114"/>
      <c r="S846" s="114"/>
      <c r="T846" s="116"/>
      <c r="U846" s="116"/>
      <c r="V846" s="116"/>
      <c r="W846" s="209"/>
      <c r="X846" s="114"/>
      <c r="Y846" s="114"/>
      <c r="Z846" s="114"/>
      <c r="AA846" s="114"/>
      <c r="AB846" s="114"/>
      <c r="AC846" s="114"/>
      <c r="AD846" s="114"/>
      <c r="AE846" s="114"/>
      <c r="AF846" s="114"/>
      <c r="AG846" s="114"/>
      <c r="AH846" s="114"/>
    </row>
    <row r="847" spans="1:34" ht="24" customHeight="1" x14ac:dyDescent="0.6">
      <c r="A847" s="114"/>
      <c r="B847" s="114"/>
      <c r="C847" s="114"/>
      <c r="D847" s="114"/>
      <c r="E847" s="114"/>
      <c r="F847" s="115"/>
      <c r="G847" s="138"/>
      <c r="H847" s="114"/>
      <c r="I847" s="114"/>
      <c r="J847" s="114"/>
      <c r="K847" s="114"/>
      <c r="L847" s="114"/>
      <c r="M847" s="114"/>
      <c r="N847" s="114"/>
      <c r="O847" s="114"/>
      <c r="P847" s="114"/>
      <c r="Q847" s="114"/>
      <c r="R847" s="114"/>
      <c r="S847" s="114"/>
      <c r="T847" s="116"/>
      <c r="U847" s="116"/>
      <c r="V847" s="116"/>
      <c r="W847" s="209"/>
      <c r="X847" s="114"/>
      <c r="Y847" s="114"/>
      <c r="Z847" s="114"/>
      <c r="AA847" s="114"/>
      <c r="AB847" s="114"/>
      <c r="AC847" s="114"/>
      <c r="AD847" s="114"/>
      <c r="AE847" s="114"/>
      <c r="AF847" s="114"/>
      <c r="AG847" s="114"/>
      <c r="AH847" s="114"/>
    </row>
    <row r="848" spans="1:34" ht="24" customHeight="1" x14ac:dyDescent="0.6">
      <c r="A848" s="114"/>
      <c r="B848" s="114"/>
      <c r="C848" s="114"/>
      <c r="D848" s="114"/>
      <c r="E848" s="114"/>
      <c r="F848" s="115"/>
      <c r="G848" s="138"/>
      <c r="H848" s="114"/>
      <c r="I848" s="114"/>
      <c r="J848" s="114"/>
      <c r="K848" s="114"/>
      <c r="L848" s="114"/>
      <c r="M848" s="114"/>
      <c r="N848" s="114"/>
      <c r="O848" s="114"/>
      <c r="P848" s="114"/>
      <c r="Q848" s="114"/>
      <c r="R848" s="114"/>
      <c r="S848" s="114"/>
      <c r="T848" s="116"/>
      <c r="U848" s="116"/>
      <c r="V848" s="116"/>
      <c r="W848" s="209"/>
      <c r="X848" s="114"/>
      <c r="Y848" s="114"/>
      <c r="Z848" s="114"/>
      <c r="AA848" s="114"/>
      <c r="AB848" s="114"/>
      <c r="AC848" s="114"/>
      <c r="AD848" s="114"/>
      <c r="AE848" s="114"/>
      <c r="AF848" s="114"/>
      <c r="AG848" s="114"/>
      <c r="AH848" s="114"/>
    </row>
    <row r="849" spans="1:34" ht="24" customHeight="1" x14ac:dyDescent="0.6">
      <c r="A849" s="114"/>
      <c r="B849" s="114"/>
      <c r="C849" s="114"/>
      <c r="D849" s="114"/>
      <c r="E849" s="114"/>
      <c r="F849" s="115"/>
      <c r="G849" s="138"/>
      <c r="H849" s="114"/>
      <c r="I849" s="114"/>
      <c r="J849" s="114"/>
      <c r="K849" s="114"/>
      <c r="L849" s="114"/>
      <c r="M849" s="114"/>
      <c r="N849" s="114"/>
      <c r="O849" s="114"/>
      <c r="P849" s="114"/>
      <c r="Q849" s="114"/>
      <c r="R849" s="114"/>
      <c r="S849" s="114"/>
      <c r="T849" s="116"/>
      <c r="U849" s="116"/>
      <c r="V849" s="116"/>
      <c r="W849" s="209"/>
      <c r="X849" s="114"/>
      <c r="Y849" s="114"/>
      <c r="Z849" s="114"/>
      <c r="AA849" s="114"/>
      <c r="AB849" s="114"/>
      <c r="AC849" s="114"/>
      <c r="AD849" s="114"/>
      <c r="AE849" s="114"/>
      <c r="AF849" s="114"/>
      <c r="AG849" s="114"/>
      <c r="AH849" s="114"/>
    </row>
    <row r="850" spans="1:34" ht="24" customHeight="1" x14ac:dyDescent="0.6">
      <c r="A850" s="114"/>
      <c r="B850" s="114"/>
      <c r="C850" s="114"/>
      <c r="D850" s="114"/>
      <c r="E850" s="114"/>
      <c r="F850" s="115"/>
      <c r="G850" s="138"/>
      <c r="H850" s="114"/>
      <c r="I850" s="114"/>
      <c r="J850" s="114"/>
      <c r="K850" s="114"/>
      <c r="L850" s="114"/>
      <c r="M850" s="114"/>
      <c r="N850" s="114"/>
      <c r="O850" s="114"/>
      <c r="P850" s="114"/>
      <c r="Q850" s="114"/>
      <c r="R850" s="114"/>
      <c r="S850" s="114"/>
      <c r="T850" s="116"/>
      <c r="U850" s="116"/>
      <c r="V850" s="116"/>
      <c r="W850" s="209"/>
      <c r="X850" s="114"/>
      <c r="Y850" s="114"/>
      <c r="Z850" s="114"/>
      <c r="AA850" s="114"/>
      <c r="AB850" s="114"/>
      <c r="AC850" s="114"/>
      <c r="AD850" s="114"/>
      <c r="AE850" s="114"/>
      <c r="AF850" s="114"/>
      <c r="AG850" s="114"/>
      <c r="AH850" s="114"/>
    </row>
    <row r="851" spans="1:34" ht="24" customHeight="1" x14ac:dyDescent="0.6">
      <c r="A851" s="114"/>
      <c r="B851" s="114"/>
      <c r="C851" s="114"/>
      <c r="D851" s="114"/>
      <c r="E851" s="114"/>
      <c r="F851" s="115"/>
      <c r="G851" s="138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114"/>
      <c r="S851" s="114"/>
      <c r="T851" s="116"/>
      <c r="U851" s="116"/>
      <c r="V851" s="116"/>
      <c r="W851" s="209"/>
      <c r="X851" s="114"/>
      <c r="Y851" s="114"/>
      <c r="Z851" s="114"/>
      <c r="AA851" s="114"/>
      <c r="AB851" s="114"/>
      <c r="AC851" s="114"/>
      <c r="AD851" s="114"/>
      <c r="AE851" s="114"/>
      <c r="AF851" s="114"/>
      <c r="AG851" s="114"/>
      <c r="AH851" s="114"/>
    </row>
    <row r="852" spans="1:34" ht="24" customHeight="1" x14ac:dyDescent="0.6">
      <c r="A852" s="114"/>
      <c r="B852" s="114"/>
      <c r="C852" s="114"/>
      <c r="D852" s="114"/>
      <c r="E852" s="114"/>
      <c r="F852" s="115"/>
      <c r="G852" s="138"/>
      <c r="H852" s="114"/>
      <c r="I852" s="114"/>
      <c r="J852" s="114"/>
      <c r="K852" s="114"/>
      <c r="L852" s="114"/>
      <c r="M852" s="114"/>
      <c r="N852" s="114"/>
      <c r="O852" s="114"/>
      <c r="P852" s="114"/>
      <c r="Q852" s="114"/>
      <c r="R852" s="114"/>
      <c r="S852" s="114"/>
      <c r="T852" s="116"/>
      <c r="U852" s="116"/>
      <c r="V852" s="116"/>
      <c r="W852" s="209"/>
      <c r="X852" s="114"/>
      <c r="Y852" s="114"/>
      <c r="Z852" s="114"/>
      <c r="AA852" s="114"/>
      <c r="AB852" s="114"/>
      <c r="AC852" s="114"/>
      <c r="AD852" s="114"/>
      <c r="AE852" s="114"/>
      <c r="AF852" s="114"/>
      <c r="AG852" s="114"/>
      <c r="AH852" s="114"/>
    </row>
    <row r="853" spans="1:34" ht="24" customHeight="1" x14ac:dyDescent="0.6">
      <c r="A853" s="114"/>
      <c r="B853" s="114"/>
      <c r="C853" s="114"/>
      <c r="D853" s="114"/>
      <c r="E853" s="114"/>
      <c r="F853" s="115"/>
      <c r="G853" s="138"/>
      <c r="H853" s="114"/>
      <c r="I853" s="114"/>
      <c r="J853" s="114"/>
      <c r="K853" s="114"/>
      <c r="L853" s="114"/>
      <c r="M853" s="114"/>
      <c r="N853" s="114"/>
      <c r="O853" s="114"/>
      <c r="P853" s="114"/>
      <c r="Q853" s="114"/>
      <c r="R853" s="114"/>
      <c r="S853" s="114"/>
      <c r="T853" s="116"/>
      <c r="U853" s="116"/>
      <c r="V853" s="116"/>
      <c r="W853" s="209"/>
      <c r="X853" s="114"/>
      <c r="Y853" s="114"/>
      <c r="Z853" s="114"/>
      <c r="AA853" s="114"/>
      <c r="AB853" s="114"/>
      <c r="AC853" s="114"/>
      <c r="AD853" s="114"/>
      <c r="AE853" s="114"/>
      <c r="AF853" s="114"/>
      <c r="AG853" s="114"/>
      <c r="AH853" s="114"/>
    </row>
    <row r="854" spans="1:34" ht="24" customHeight="1" x14ac:dyDescent="0.6">
      <c r="A854" s="114"/>
      <c r="B854" s="114"/>
      <c r="C854" s="114"/>
      <c r="D854" s="114"/>
      <c r="E854" s="114"/>
      <c r="F854" s="115"/>
      <c r="G854" s="138"/>
      <c r="H854" s="114"/>
      <c r="I854" s="114"/>
      <c r="J854" s="114"/>
      <c r="K854" s="114"/>
      <c r="L854" s="114"/>
      <c r="M854" s="114"/>
      <c r="N854" s="114"/>
      <c r="O854" s="114"/>
      <c r="P854" s="114"/>
      <c r="Q854" s="114"/>
      <c r="R854" s="114"/>
      <c r="S854" s="114"/>
      <c r="T854" s="116"/>
      <c r="U854" s="116"/>
      <c r="V854" s="116"/>
      <c r="W854" s="209"/>
      <c r="X854" s="114"/>
      <c r="Y854" s="114"/>
      <c r="Z854" s="114"/>
      <c r="AA854" s="114"/>
      <c r="AB854" s="114"/>
      <c r="AC854" s="114"/>
      <c r="AD854" s="114"/>
      <c r="AE854" s="114"/>
      <c r="AF854" s="114"/>
      <c r="AG854" s="114"/>
      <c r="AH854" s="114"/>
    </row>
    <row r="855" spans="1:34" ht="24" customHeight="1" x14ac:dyDescent="0.6">
      <c r="A855" s="114"/>
      <c r="B855" s="114"/>
      <c r="C855" s="114"/>
      <c r="D855" s="114"/>
      <c r="E855" s="114"/>
      <c r="F855" s="115"/>
      <c r="G855" s="138"/>
      <c r="H855" s="114"/>
      <c r="I855" s="114"/>
      <c r="J855" s="114"/>
      <c r="K855" s="114"/>
      <c r="L855" s="114"/>
      <c r="M855" s="114"/>
      <c r="N855" s="114"/>
      <c r="O855" s="114"/>
      <c r="P855" s="114"/>
      <c r="Q855" s="114"/>
      <c r="R855" s="114"/>
      <c r="S855" s="114"/>
      <c r="T855" s="116"/>
      <c r="U855" s="116"/>
      <c r="V855" s="116"/>
      <c r="W855" s="209"/>
      <c r="X855" s="114"/>
      <c r="Y855" s="114"/>
      <c r="Z855" s="114"/>
      <c r="AA855" s="114"/>
      <c r="AB855" s="114"/>
      <c r="AC855" s="114"/>
      <c r="AD855" s="114"/>
      <c r="AE855" s="114"/>
      <c r="AF855" s="114"/>
      <c r="AG855" s="114"/>
      <c r="AH855" s="114"/>
    </row>
    <row r="856" spans="1:34" ht="24" customHeight="1" x14ac:dyDescent="0.6">
      <c r="A856" s="114"/>
      <c r="B856" s="114"/>
      <c r="C856" s="114"/>
      <c r="D856" s="114"/>
      <c r="E856" s="114"/>
      <c r="F856" s="115"/>
      <c r="G856" s="138"/>
      <c r="H856" s="114"/>
      <c r="I856" s="114"/>
      <c r="J856" s="114"/>
      <c r="K856" s="114"/>
      <c r="L856" s="114"/>
      <c r="M856" s="114"/>
      <c r="N856" s="114"/>
      <c r="O856" s="114"/>
      <c r="P856" s="114"/>
      <c r="Q856" s="114"/>
      <c r="R856" s="114"/>
      <c r="S856" s="114"/>
      <c r="T856" s="116"/>
      <c r="U856" s="116"/>
      <c r="V856" s="116"/>
      <c r="W856" s="209"/>
      <c r="X856" s="114"/>
      <c r="Y856" s="114"/>
      <c r="Z856" s="114"/>
      <c r="AA856" s="114"/>
      <c r="AB856" s="114"/>
      <c r="AC856" s="114"/>
      <c r="AD856" s="114"/>
      <c r="AE856" s="114"/>
      <c r="AF856" s="114"/>
      <c r="AG856" s="114"/>
      <c r="AH856" s="114"/>
    </row>
    <row r="857" spans="1:34" ht="24" customHeight="1" x14ac:dyDescent="0.6">
      <c r="A857" s="114"/>
      <c r="B857" s="114"/>
      <c r="C857" s="114"/>
      <c r="D857" s="114"/>
      <c r="E857" s="114"/>
      <c r="F857" s="115"/>
      <c r="G857" s="138"/>
      <c r="H857" s="114"/>
      <c r="I857" s="114"/>
      <c r="J857" s="114"/>
      <c r="K857" s="114"/>
      <c r="L857" s="114"/>
      <c r="M857" s="114"/>
      <c r="N857" s="114"/>
      <c r="O857" s="114"/>
      <c r="P857" s="114"/>
      <c r="Q857" s="114"/>
      <c r="R857" s="114"/>
      <c r="S857" s="114"/>
      <c r="T857" s="116"/>
      <c r="U857" s="116"/>
      <c r="V857" s="116"/>
      <c r="W857" s="209"/>
      <c r="X857" s="114"/>
      <c r="Y857" s="114"/>
      <c r="Z857" s="114"/>
      <c r="AA857" s="114"/>
      <c r="AB857" s="114"/>
      <c r="AC857" s="114"/>
      <c r="AD857" s="114"/>
      <c r="AE857" s="114"/>
      <c r="AF857" s="114"/>
      <c r="AG857" s="114"/>
      <c r="AH857" s="114"/>
    </row>
    <row r="858" spans="1:34" ht="24" customHeight="1" x14ac:dyDescent="0.6">
      <c r="A858" s="114"/>
      <c r="B858" s="114"/>
      <c r="C858" s="114"/>
      <c r="D858" s="114"/>
      <c r="E858" s="114"/>
      <c r="F858" s="115"/>
      <c r="G858" s="138"/>
      <c r="H858" s="114"/>
      <c r="I858" s="114"/>
      <c r="J858" s="114"/>
      <c r="K858" s="114"/>
      <c r="L858" s="114"/>
      <c r="M858" s="114"/>
      <c r="N858" s="114"/>
      <c r="O858" s="114"/>
      <c r="P858" s="114"/>
      <c r="Q858" s="114"/>
      <c r="R858" s="114"/>
      <c r="S858" s="114"/>
      <c r="T858" s="116"/>
      <c r="U858" s="116"/>
      <c r="V858" s="116"/>
      <c r="W858" s="209"/>
      <c r="X858" s="114"/>
      <c r="Y858" s="114"/>
      <c r="Z858" s="114"/>
      <c r="AA858" s="114"/>
      <c r="AB858" s="114"/>
      <c r="AC858" s="114"/>
      <c r="AD858" s="114"/>
      <c r="AE858" s="114"/>
      <c r="AF858" s="114"/>
      <c r="AG858" s="114"/>
      <c r="AH858" s="114"/>
    </row>
    <row r="859" spans="1:34" ht="24" customHeight="1" x14ac:dyDescent="0.6">
      <c r="A859" s="114"/>
      <c r="B859" s="114"/>
      <c r="C859" s="114"/>
      <c r="D859" s="114"/>
      <c r="E859" s="114"/>
      <c r="F859" s="115"/>
      <c r="G859" s="138"/>
      <c r="H859" s="114"/>
      <c r="I859" s="114"/>
      <c r="J859" s="114"/>
      <c r="K859" s="114"/>
      <c r="L859" s="114"/>
      <c r="M859" s="114"/>
      <c r="N859" s="114"/>
      <c r="O859" s="114"/>
      <c r="P859" s="114"/>
      <c r="Q859" s="114"/>
      <c r="R859" s="114"/>
      <c r="S859" s="114"/>
      <c r="T859" s="116"/>
      <c r="U859" s="116"/>
      <c r="V859" s="116"/>
      <c r="W859" s="209"/>
      <c r="X859" s="114"/>
      <c r="Y859" s="114"/>
      <c r="Z859" s="114"/>
      <c r="AA859" s="114"/>
      <c r="AB859" s="114"/>
      <c r="AC859" s="114"/>
      <c r="AD859" s="114"/>
      <c r="AE859" s="114"/>
      <c r="AF859" s="114"/>
      <c r="AG859" s="114"/>
      <c r="AH859" s="114"/>
    </row>
    <row r="860" spans="1:34" ht="24" customHeight="1" x14ac:dyDescent="0.6">
      <c r="A860" s="114"/>
      <c r="B860" s="114"/>
      <c r="C860" s="114"/>
      <c r="D860" s="114"/>
      <c r="E860" s="114"/>
      <c r="F860" s="115"/>
      <c r="G860" s="138"/>
      <c r="H860" s="114"/>
      <c r="I860" s="114"/>
      <c r="J860" s="114"/>
      <c r="K860" s="114"/>
      <c r="L860" s="114"/>
      <c r="M860" s="114"/>
      <c r="N860" s="114"/>
      <c r="O860" s="114"/>
      <c r="P860" s="114"/>
      <c r="Q860" s="114"/>
      <c r="R860" s="114"/>
      <c r="S860" s="114"/>
      <c r="T860" s="116"/>
      <c r="U860" s="116"/>
      <c r="V860" s="116"/>
      <c r="W860" s="209"/>
      <c r="X860" s="114"/>
      <c r="Y860" s="114"/>
      <c r="Z860" s="114"/>
      <c r="AA860" s="114"/>
      <c r="AB860" s="114"/>
      <c r="AC860" s="114"/>
      <c r="AD860" s="114"/>
      <c r="AE860" s="114"/>
      <c r="AF860" s="114"/>
      <c r="AG860" s="114"/>
      <c r="AH860" s="114"/>
    </row>
    <row r="861" spans="1:34" ht="24" customHeight="1" x14ac:dyDescent="0.6">
      <c r="A861" s="114"/>
      <c r="B861" s="114"/>
      <c r="C861" s="114"/>
      <c r="D861" s="114"/>
      <c r="E861" s="114"/>
      <c r="F861" s="115"/>
      <c r="G861" s="138"/>
      <c r="H861" s="114"/>
      <c r="I861" s="114"/>
      <c r="J861" s="114"/>
      <c r="K861" s="114"/>
      <c r="L861" s="114"/>
      <c r="M861" s="114"/>
      <c r="N861" s="114"/>
      <c r="O861" s="114"/>
      <c r="P861" s="114"/>
      <c r="Q861" s="114"/>
      <c r="R861" s="114"/>
      <c r="S861" s="114"/>
      <c r="T861" s="116"/>
      <c r="U861" s="116"/>
      <c r="V861" s="116"/>
      <c r="W861" s="209"/>
      <c r="X861" s="114"/>
      <c r="Y861" s="114"/>
      <c r="Z861" s="114"/>
      <c r="AA861" s="114"/>
      <c r="AB861" s="114"/>
      <c r="AC861" s="114"/>
      <c r="AD861" s="114"/>
      <c r="AE861" s="114"/>
      <c r="AF861" s="114"/>
      <c r="AG861" s="114"/>
      <c r="AH861" s="114"/>
    </row>
    <row r="862" spans="1:34" ht="24" customHeight="1" x14ac:dyDescent="0.6">
      <c r="A862" s="114"/>
      <c r="B862" s="114"/>
      <c r="C862" s="114"/>
      <c r="D862" s="114"/>
      <c r="E862" s="114"/>
      <c r="F862" s="115"/>
      <c r="G862" s="138"/>
      <c r="H862" s="114"/>
      <c r="I862" s="114"/>
      <c r="J862" s="114"/>
      <c r="K862" s="114"/>
      <c r="L862" s="114"/>
      <c r="M862" s="114"/>
      <c r="N862" s="114"/>
      <c r="O862" s="114"/>
      <c r="P862" s="114"/>
      <c r="Q862" s="114"/>
      <c r="R862" s="114"/>
      <c r="S862" s="114"/>
      <c r="T862" s="116"/>
      <c r="U862" s="116"/>
      <c r="V862" s="116"/>
      <c r="W862" s="209"/>
      <c r="X862" s="114"/>
      <c r="Y862" s="114"/>
      <c r="Z862" s="114"/>
      <c r="AA862" s="114"/>
      <c r="AB862" s="114"/>
      <c r="AC862" s="114"/>
      <c r="AD862" s="114"/>
      <c r="AE862" s="114"/>
      <c r="AF862" s="114"/>
      <c r="AG862" s="114"/>
      <c r="AH862" s="114"/>
    </row>
    <row r="863" spans="1:34" ht="24" customHeight="1" x14ac:dyDescent="0.6">
      <c r="A863" s="114"/>
      <c r="B863" s="114"/>
      <c r="C863" s="114"/>
      <c r="D863" s="114"/>
      <c r="E863" s="114"/>
      <c r="F863" s="115"/>
      <c r="G863" s="138"/>
      <c r="H863" s="114"/>
      <c r="I863" s="114"/>
      <c r="J863" s="114"/>
      <c r="K863" s="114"/>
      <c r="L863" s="114"/>
      <c r="M863" s="114"/>
      <c r="N863" s="114"/>
      <c r="O863" s="114"/>
      <c r="P863" s="114"/>
      <c r="Q863" s="114"/>
      <c r="R863" s="114"/>
      <c r="S863" s="114"/>
      <c r="T863" s="116"/>
      <c r="U863" s="116"/>
      <c r="V863" s="116"/>
      <c r="W863" s="209"/>
      <c r="X863" s="114"/>
      <c r="Y863" s="114"/>
      <c r="Z863" s="114"/>
      <c r="AA863" s="114"/>
      <c r="AB863" s="114"/>
      <c r="AC863" s="114"/>
      <c r="AD863" s="114"/>
      <c r="AE863" s="114"/>
      <c r="AF863" s="114"/>
      <c r="AG863" s="114"/>
      <c r="AH863" s="114"/>
    </row>
    <row r="864" spans="1:34" ht="24" customHeight="1" x14ac:dyDescent="0.6">
      <c r="A864" s="114"/>
      <c r="B864" s="114"/>
      <c r="C864" s="114"/>
      <c r="D864" s="114"/>
      <c r="E864" s="114"/>
      <c r="F864" s="115"/>
      <c r="G864" s="138"/>
      <c r="H864" s="114"/>
      <c r="I864" s="114"/>
      <c r="J864" s="114"/>
      <c r="K864" s="114"/>
      <c r="L864" s="114"/>
      <c r="M864" s="114"/>
      <c r="N864" s="114"/>
      <c r="O864" s="114"/>
      <c r="P864" s="114"/>
      <c r="Q864" s="114"/>
      <c r="R864" s="114"/>
      <c r="S864" s="114"/>
      <c r="T864" s="116"/>
      <c r="U864" s="116"/>
      <c r="V864" s="116"/>
      <c r="W864" s="209"/>
      <c r="X864" s="114"/>
      <c r="Y864" s="114"/>
      <c r="Z864" s="114"/>
      <c r="AA864" s="114"/>
      <c r="AB864" s="114"/>
      <c r="AC864" s="114"/>
      <c r="AD864" s="114"/>
      <c r="AE864" s="114"/>
      <c r="AF864" s="114"/>
      <c r="AG864" s="114"/>
      <c r="AH864" s="114"/>
    </row>
    <row r="865" spans="1:34" ht="24" customHeight="1" x14ac:dyDescent="0.6">
      <c r="A865" s="114"/>
      <c r="B865" s="114"/>
      <c r="C865" s="114"/>
      <c r="D865" s="114"/>
      <c r="E865" s="114"/>
      <c r="F865" s="115"/>
      <c r="G865" s="138"/>
      <c r="H865" s="114"/>
      <c r="I865" s="114"/>
      <c r="J865" s="114"/>
      <c r="K865" s="114"/>
      <c r="L865" s="114"/>
      <c r="M865" s="114"/>
      <c r="N865" s="114"/>
      <c r="O865" s="114"/>
      <c r="P865" s="114"/>
      <c r="Q865" s="114"/>
      <c r="R865" s="114"/>
      <c r="S865" s="114"/>
      <c r="T865" s="116"/>
      <c r="U865" s="116"/>
      <c r="V865" s="116"/>
      <c r="W865" s="209"/>
      <c r="X865" s="114"/>
      <c r="Y865" s="114"/>
      <c r="Z865" s="114"/>
      <c r="AA865" s="114"/>
      <c r="AB865" s="114"/>
      <c r="AC865" s="114"/>
      <c r="AD865" s="114"/>
      <c r="AE865" s="114"/>
      <c r="AF865" s="114"/>
      <c r="AG865" s="114"/>
      <c r="AH865" s="114"/>
    </row>
    <row r="866" spans="1:34" ht="24" customHeight="1" x14ac:dyDescent="0.6">
      <c r="A866" s="114"/>
      <c r="B866" s="114"/>
      <c r="C866" s="114"/>
      <c r="D866" s="114"/>
      <c r="E866" s="114"/>
      <c r="F866" s="115"/>
      <c r="G866" s="138"/>
      <c r="H866" s="114"/>
      <c r="I866" s="114"/>
      <c r="J866" s="114"/>
      <c r="K866" s="114"/>
      <c r="L866" s="114"/>
      <c r="M866" s="114"/>
      <c r="N866" s="114"/>
      <c r="O866" s="114"/>
      <c r="P866" s="114"/>
      <c r="Q866" s="114"/>
      <c r="R866" s="114"/>
      <c r="S866" s="114"/>
      <c r="T866" s="116"/>
      <c r="U866" s="116"/>
      <c r="V866" s="116"/>
      <c r="W866" s="209"/>
      <c r="X866" s="114"/>
      <c r="Y866" s="114"/>
      <c r="Z866" s="114"/>
      <c r="AA866" s="114"/>
      <c r="AB866" s="114"/>
      <c r="AC866" s="114"/>
      <c r="AD866" s="114"/>
      <c r="AE866" s="114"/>
      <c r="AF866" s="114"/>
      <c r="AG866" s="114"/>
      <c r="AH866" s="114"/>
    </row>
    <row r="867" spans="1:34" ht="24" customHeight="1" x14ac:dyDescent="0.6">
      <c r="A867" s="114"/>
      <c r="B867" s="114"/>
      <c r="C867" s="114"/>
      <c r="D867" s="114"/>
      <c r="E867" s="114"/>
      <c r="F867" s="115"/>
      <c r="G867" s="138"/>
      <c r="H867" s="114"/>
      <c r="I867" s="114"/>
      <c r="J867" s="114"/>
      <c r="K867" s="114"/>
      <c r="L867" s="114"/>
      <c r="M867" s="114"/>
      <c r="N867" s="114"/>
      <c r="O867" s="114"/>
      <c r="P867" s="114"/>
      <c r="Q867" s="114"/>
      <c r="R867" s="114"/>
      <c r="S867" s="114"/>
      <c r="T867" s="116"/>
      <c r="U867" s="116"/>
      <c r="V867" s="116"/>
      <c r="W867" s="209"/>
      <c r="X867" s="114"/>
      <c r="Y867" s="114"/>
      <c r="Z867" s="114"/>
      <c r="AA867" s="114"/>
      <c r="AB867" s="114"/>
      <c r="AC867" s="114"/>
      <c r="AD867" s="114"/>
      <c r="AE867" s="114"/>
      <c r="AF867" s="114"/>
      <c r="AG867" s="114"/>
      <c r="AH867" s="114"/>
    </row>
    <row r="868" spans="1:34" ht="24" customHeight="1" x14ac:dyDescent="0.6">
      <c r="A868" s="114"/>
      <c r="B868" s="114"/>
      <c r="C868" s="114"/>
      <c r="D868" s="114"/>
      <c r="E868" s="114"/>
      <c r="F868" s="115"/>
      <c r="G868" s="138"/>
      <c r="H868" s="114"/>
      <c r="I868" s="114"/>
      <c r="J868" s="114"/>
      <c r="K868" s="114"/>
      <c r="L868" s="114"/>
      <c r="M868" s="114"/>
      <c r="N868" s="114"/>
      <c r="O868" s="114"/>
      <c r="P868" s="114"/>
      <c r="Q868" s="114"/>
      <c r="R868" s="114"/>
      <c r="S868" s="114"/>
      <c r="T868" s="116"/>
      <c r="U868" s="116"/>
      <c r="V868" s="116"/>
      <c r="W868" s="209"/>
      <c r="X868" s="114"/>
      <c r="Y868" s="114"/>
      <c r="Z868" s="114"/>
      <c r="AA868" s="114"/>
      <c r="AB868" s="114"/>
      <c r="AC868" s="114"/>
      <c r="AD868" s="114"/>
      <c r="AE868" s="114"/>
      <c r="AF868" s="114"/>
      <c r="AG868" s="114"/>
      <c r="AH868" s="114"/>
    </row>
    <row r="869" spans="1:34" ht="24" customHeight="1" x14ac:dyDescent="0.6">
      <c r="A869" s="114"/>
      <c r="B869" s="114"/>
      <c r="C869" s="114"/>
      <c r="D869" s="114"/>
      <c r="E869" s="114"/>
      <c r="F869" s="115"/>
      <c r="G869" s="138"/>
      <c r="H869" s="114"/>
      <c r="I869" s="114"/>
      <c r="J869" s="114"/>
      <c r="K869" s="114"/>
      <c r="L869" s="114"/>
      <c r="M869" s="114"/>
      <c r="N869" s="114"/>
      <c r="O869" s="114"/>
      <c r="P869" s="114"/>
      <c r="Q869" s="114"/>
      <c r="R869" s="114"/>
      <c r="S869" s="114"/>
      <c r="T869" s="116"/>
      <c r="U869" s="116"/>
      <c r="V869" s="116"/>
      <c r="W869" s="209"/>
      <c r="X869" s="114"/>
      <c r="Y869" s="114"/>
      <c r="Z869" s="114"/>
      <c r="AA869" s="114"/>
      <c r="AB869" s="114"/>
      <c r="AC869" s="114"/>
      <c r="AD869" s="114"/>
      <c r="AE869" s="114"/>
      <c r="AF869" s="114"/>
      <c r="AG869" s="114"/>
      <c r="AH869" s="114"/>
    </row>
    <row r="870" spans="1:34" ht="24" customHeight="1" x14ac:dyDescent="0.6">
      <c r="A870" s="114"/>
      <c r="B870" s="114"/>
      <c r="C870" s="114"/>
      <c r="D870" s="114"/>
      <c r="E870" s="114"/>
      <c r="F870" s="115"/>
      <c r="G870" s="138"/>
      <c r="H870" s="114"/>
      <c r="I870" s="114"/>
      <c r="J870" s="114"/>
      <c r="K870" s="114"/>
      <c r="L870" s="114"/>
      <c r="M870" s="114"/>
      <c r="N870" s="114"/>
      <c r="O870" s="114"/>
      <c r="P870" s="114"/>
      <c r="Q870" s="114"/>
      <c r="R870" s="114"/>
      <c r="S870" s="114"/>
      <c r="T870" s="116"/>
      <c r="U870" s="116"/>
      <c r="V870" s="116"/>
      <c r="W870" s="209"/>
      <c r="X870" s="114"/>
      <c r="Y870" s="114"/>
      <c r="Z870" s="114"/>
      <c r="AA870" s="114"/>
      <c r="AB870" s="114"/>
      <c r="AC870" s="114"/>
      <c r="AD870" s="114"/>
      <c r="AE870" s="114"/>
      <c r="AF870" s="114"/>
      <c r="AG870" s="114"/>
      <c r="AH870" s="114"/>
    </row>
    <row r="871" spans="1:34" ht="24" customHeight="1" x14ac:dyDescent="0.6">
      <c r="A871" s="114"/>
      <c r="B871" s="114"/>
      <c r="C871" s="114"/>
      <c r="D871" s="114"/>
      <c r="E871" s="114"/>
      <c r="F871" s="115"/>
      <c r="G871" s="138"/>
      <c r="H871" s="114"/>
      <c r="I871" s="114"/>
      <c r="J871" s="114"/>
      <c r="K871" s="114"/>
      <c r="L871" s="114"/>
      <c r="M871" s="114"/>
      <c r="N871" s="114"/>
      <c r="O871" s="114"/>
      <c r="P871" s="114"/>
      <c r="Q871" s="114"/>
      <c r="R871" s="114"/>
      <c r="S871" s="114"/>
      <c r="T871" s="116"/>
      <c r="U871" s="116"/>
      <c r="V871" s="116"/>
      <c r="W871" s="209"/>
      <c r="X871" s="114"/>
      <c r="Y871" s="114"/>
      <c r="Z871" s="114"/>
      <c r="AA871" s="114"/>
      <c r="AB871" s="114"/>
      <c r="AC871" s="114"/>
      <c r="AD871" s="114"/>
      <c r="AE871" s="114"/>
      <c r="AF871" s="114"/>
      <c r="AG871" s="114"/>
      <c r="AH871" s="114"/>
    </row>
    <row r="872" spans="1:34" ht="24" customHeight="1" x14ac:dyDescent="0.6">
      <c r="A872" s="114"/>
      <c r="B872" s="114"/>
      <c r="C872" s="114"/>
      <c r="D872" s="114"/>
      <c r="E872" s="114"/>
      <c r="F872" s="115"/>
      <c r="G872" s="138"/>
      <c r="H872" s="114"/>
      <c r="I872" s="114"/>
      <c r="J872" s="114"/>
      <c r="K872" s="114"/>
      <c r="L872" s="114"/>
      <c r="M872" s="114"/>
      <c r="N872" s="114"/>
      <c r="O872" s="114"/>
      <c r="P872" s="114"/>
      <c r="Q872" s="114"/>
      <c r="R872" s="114"/>
      <c r="S872" s="114"/>
      <c r="T872" s="116"/>
      <c r="U872" s="116"/>
      <c r="V872" s="116"/>
      <c r="W872" s="209"/>
      <c r="X872" s="114"/>
      <c r="Y872" s="114"/>
      <c r="Z872" s="114"/>
      <c r="AA872" s="114"/>
      <c r="AB872" s="114"/>
      <c r="AC872" s="114"/>
      <c r="AD872" s="114"/>
      <c r="AE872" s="114"/>
      <c r="AF872" s="114"/>
      <c r="AG872" s="114"/>
      <c r="AH872" s="114"/>
    </row>
    <row r="873" spans="1:34" ht="24" customHeight="1" x14ac:dyDescent="0.6">
      <c r="A873" s="114"/>
      <c r="B873" s="114"/>
      <c r="C873" s="114"/>
      <c r="D873" s="114"/>
      <c r="E873" s="114"/>
      <c r="F873" s="115"/>
      <c r="G873" s="138"/>
      <c r="H873" s="114"/>
      <c r="I873" s="114"/>
      <c r="J873" s="114"/>
      <c r="K873" s="114"/>
      <c r="L873" s="114"/>
      <c r="M873" s="114"/>
      <c r="N873" s="114"/>
      <c r="O873" s="114"/>
      <c r="P873" s="114"/>
      <c r="Q873" s="114"/>
      <c r="R873" s="114"/>
      <c r="S873" s="114"/>
      <c r="T873" s="116"/>
      <c r="U873" s="116"/>
      <c r="V873" s="116"/>
      <c r="W873" s="209"/>
      <c r="X873" s="114"/>
      <c r="Y873" s="114"/>
      <c r="Z873" s="114"/>
      <c r="AA873" s="114"/>
      <c r="AB873" s="114"/>
      <c r="AC873" s="114"/>
      <c r="AD873" s="114"/>
      <c r="AE873" s="114"/>
      <c r="AF873" s="114"/>
      <c r="AG873" s="114"/>
      <c r="AH873" s="114"/>
    </row>
    <row r="874" spans="1:34" ht="24" customHeight="1" x14ac:dyDescent="0.6">
      <c r="A874" s="114"/>
      <c r="B874" s="114"/>
      <c r="C874" s="114"/>
      <c r="D874" s="114"/>
      <c r="E874" s="114"/>
      <c r="F874" s="115"/>
      <c r="G874" s="138"/>
      <c r="H874" s="114"/>
      <c r="I874" s="114"/>
      <c r="J874" s="114"/>
      <c r="K874" s="114"/>
      <c r="L874" s="114"/>
      <c r="M874" s="114"/>
      <c r="N874" s="114"/>
      <c r="O874" s="114"/>
      <c r="P874" s="114"/>
      <c r="Q874" s="114"/>
      <c r="R874" s="114"/>
      <c r="S874" s="114"/>
      <c r="T874" s="116"/>
      <c r="U874" s="116"/>
      <c r="V874" s="116"/>
      <c r="W874" s="209"/>
      <c r="X874" s="114"/>
      <c r="Y874" s="114"/>
      <c r="Z874" s="114"/>
      <c r="AA874" s="114"/>
      <c r="AB874" s="114"/>
      <c r="AC874" s="114"/>
      <c r="AD874" s="114"/>
      <c r="AE874" s="114"/>
      <c r="AF874" s="114"/>
      <c r="AG874" s="114"/>
      <c r="AH874" s="114"/>
    </row>
    <row r="875" spans="1:34" ht="24" customHeight="1" x14ac:dyDescent="0.6">
      <c r="A875" s="114"/>
      <c r="B875" s="114"/>
      <c r="C875" s="114"/>
      <c r="D875" s="114"/>
      <c r="E875" s="114"/>
      <c r="F875" s="115"/>
      <c r="G875" s="138"/>
      <c r="H875" s="114"/>
      <c r="I875" s="114"/>
      <c r="J875" s="114"/>
      <c r="K875" s="114"/>
      <c r="L875" s="114"/>
      <c r="M875" s="114"/>
      <c r="N875" s="114"/>
      <c r="O875" s="114"/>
      <c r="P875" s="114"/>
      <c r="Q875" s="114"/>
      <c r="R875" s="114"/>
      <c r="S875" s="114"/>
      <c r="T875" s="116"/>
      <c r="U875" s="116"/>
      <c r="V875" s="116"/>
      <c r="W875" s="209"/>
      <c r="X875" s="114"/>
      <c r="Y875" s="114"/>
      <c r="Z875" s="114"/>
      <c r="AA875" s="114"/>
      <c r="AB875" s="114"/>
      <c r="AC875" s="114"/>
      <c r="AD875" s="114"/>
      <c r="AE875" s="114"/>
      <c r="AF875" s="114"/>
      <c r="AG875" s="114"/>
      <c r="AH875" s="114"/>
    </row>
    <row r="876" spans="1:34" ht="24" customHeight="1" x14ac:dyDescent="0.6">
      <c r="A876" s="114"/>
      <c r="B876" s="114"/>
      <c r="C876" s="114"/>
      <c r="D876" s="114"/>
      <c r="E876" s="114"/>
      <c r="F876" s="115"/>
      <c r="G876" s="138"/>
      <c r="H876" s="114"/>
      <c r="I876" s="114"/>
      <c r="J876" s="114"/>
      <c r="K876" s="114"/>
      <c r="L876" s="114"/>
      <c r="M876" s="114"/>
      <c r="N876" s="114"/>
      <c r="O876" s="114"/>
      <c r="P876" s="114"/>
      <c r="Q876" s="114"/>
      <c r="R876" s="114"/>
      <c r="S876" s="114"/>
      <c r="T876" s="116"/>
      <c r="U876" s="116"/>
      <c r="V876" s="116"/>
      <c r="W876" s="209"/>
      <c r="X876" s="114"/>
      <c r="Y876" s="114"/>
      <c r="Z876" s="114"/>
      <c r="AA876" s="114"/>
      <c r="AB876" s="114"/>
      <c r="AC876" s="114"/>
      <c r="AD876" s="114"/>
      <c r="AE876" s="114"/>
      <c r="AF876" s="114"/>
      <c r="AG876" s="114"/>
      <c r="AH876" s="114"/>
    </row>
    <row r="877" spans="1:34" ht="24" customHeight="1" x14ac:dyDescent="0.6">
      <c r="A877" s="114"/>
      <c r="B877" s="114"/>
      <c r="C877" s="114"/>
      <c r="D877" s="114"/>
      <c r="E877" s="114"/>
      <c r="F877" s="115"/>
      <c r="G877" s="138"/>
      <c r="H877" s="114"/>
      <c r="I877" s="114"/>
      <c r="J877" s="114"/>
      <c r="K877" s="114"/>
      <c r="L877" s="114"/>
      <c r="M877" s="114"/>
      <c r="N877" s="114"/>
      <c r="O877" s="114"/>
      <c r="P877" s="114"/>
      <c r="Q877" s="114"/>
      <c r="R877" s="114"/>
      <c r="S877" s="114"/>
      <c r="T877" s="116"/>
      <c r="U877" s="116"/>
      <c r="V877" s="116"/>
      <c r="W877" s="209"/>
      <c r="X877" s="114"/>
      <c r="Y877" s="114"/>
      <c r="Z877" s="114"/>
      <c r="AA877" s="114"/>
      <c r="AB877" s="114"/>
      <c r="AC877" s="114"/>
      <c r="AD877" s="114"/>
      <c r="AE877" s="114"/>
      <c r="AF877" s="114"/>
      <c r="AG877" s="114"/>
      <c r="AH877" s="114"/>
    </row>
    <row r="878" spans="1:34" ht="24" customHeight="1" x14ac:dyDescent="0.6">
      <c r="A878" s="114"/>
      <c r="B878" s="114"/>
      <c r="C878" s="114"/>
      <c r="D878" s="114"/>
      <c r="E878" s="114"/>
      <c r="F878" s="115"/>
      <c r="G878" s="138"/>
      <c r="H878" s="114"/>
      <c r="I878" s="114"/>
      <c r="J878" s="114"/>
      <c r="K878" s="114"/>
      <c r="L878" s="114"/>
      <c r="M878" s="114"/>
      <c r="N878" s="114"/>
      <c r="O878" s="114"/>
      <c r="P878" s="114"/>
      <c r="Q878" s="114"/>
      <c r="R878" s="114"/>
      <c r="S878" s="114"/>
      <c r="T878" s="116"/>
      <c r="U878" s="116"/>
      <c r="V878" s="116"/>
      <c r="W878" s="209"/>
      <c r="X878" s="114"/>
      <c r="Y878" s="114"/>
      <c r="Z878" s="114"/>
      <c r="AA878" s="114"/>
      <c r="AB878" s="114"/>
      <c r="AC878" s="114"/>
      <c r="AD878" s="114"/>
      <c r="AE878" s="114"/>
      <c r="AF878" s="114"/>
      <c r="AG878" s="114"/>
      <c r="AH878" s="114"/>
    </row>
    <row r="879" spans="1:34" ht="24" customHeight="1" x14ac:dyDescent="0.6">
      <c r="A879" s="114"/>
      <c r="B879" s="114"/>
      <c r="C879" s="114"/>
      <c r="D879" s="114"/>
      <c r="E879" s="114"/>
      <c r="F879" s="115"/>
      <c r="G879" s="138"/>
      <c r="H879" s="114"/>
      <c r="I879" s="114"/>
      <c r="J879" s="114"/>
      <c r="K879" s="114"/>
      <c r="L879" s="114"/>
      <c r="M879" s="114"/>
      <c r="N879" s="114"/>
      <c r="O879" s="114"/>
      <c r="P879" s="114"/>
      <c r="Q879" s="114"/>
      <c r="R879" s="114"/>
      <c r="S879" s="114"/>
      <c r="T879" s="116"/>
      <c r="U879" s="116"/>
      <c r="V879" s="116"/>
      <c r="W879" s="209"/>
      <c r="X879" s="114"/>
      <c r="Y879" s="114"/>
      <c r="Z879" s="114"/>
      <c r="AA879" s="114"/>
      <c r="AB879" s="114"/>
      <c r="AC879" s="114"/>
      <c r="AD879" s="114"/>
      <c r="AE879" s="114"/>
      <c r="AF879" s="114"/>
      <c r="AG879" s="114"/>
      <c r="AH879" s="114"/>
    </row>
    <row r="880" spans="1:34" ht="24" customHeight="1" x14ac:dyDescent="0.6">
      <c r="A880" s="114"/>
      <c r="B880" s="114"/>
      <c r="C880" s="114"/>
      <c r="D880" s="114"/>
      <c r="E880" s="114"/>
      <c r="F880" s="115"/>
      <c r="G880" s="138"/>
      <c r="H880" s="114"/>
      <c r="I880" s="114"/>
      <c r="J880" s="114"/>
      <c r="K880" s="114"/>
      <c r="L880" s="114"/>
      <c r="M880" s="114"/>
      <c r="N880" s="114"/>
      <c r="O880" s="114"/>
      <c r="P880" s="114"/>
      <c r="Q880" s="114"/>
      <c r="R880" s="114"/>
      <c r="S880" s="114"/>
      <c r="T880" s="116"/>
      <c r="U880" s="116"/>
      <c r="V880" s="116"/>
      <c r="W880" s="209"/>
      <c r="X880" s="114"/>
      <c r="Y880" s="114"/>
      <c r="Z880" s="114"/>
      <c r="AA880" s="114"/>
      <c r="AB880" s="114"/>
      <c r="AC880" s="114"/>
      <c r="AD880" s="114"/>
      <c r="AE880" s="114"/>
      <c r="AF880" s="114"/>
      <c r="AG880" s="114"/>
      <c r="AH880" s="114"/>
    </row>
    <row r="881" spans="1:34" ht="24" customHeight="1" x14ac:dyDescent="0.6">
      <c r="A881" s="114"/>
      <c r="B881" s="114"/>
      <c r="C881" s="114"/>
      <c r="D881" s="114"/>
      <c r="E881" s="114"/>
      <c r="F881" s="115"/>
      <c r="G881" s="138"/>
      <c r="H881" s="114"/>
      <c r="I881" s="114"/>
      <c r="J881" s="114"/>
      <c r="K881" s="114"/>
      <c r="L881" s="114"/>
      <c r="M881" s="114"/>
      <c r="N881" s="114"/>
      <c r="O881" s="114"/>
      <c r="P881" s="114"/>
      <c r="Q881" s="114"/>
      <c r="R881" s="114"/>
      <c r="S881" s="114"/>
      <c r="T881" s="116"/>
      <c r="U881" s="116"/>
      <c r="V881" s="116"/>
      <c r="W881" s="209"/>
      <c r="X881" s="114"/>
      <c r="Y881" s="114"/>
      <c r="Z881" s="114"/>
      <c r="AA881" s="114"/>
      <c r="AB881" s="114"/>
      <c r="AC881" s="114"/>
      <c r="AD881" s="114"/>
      <c r="AE881" s="114"/>
      <c r="AF881" s="114"/>
      <c r="AG881" s="114"/>
      <c r="AH881" s="114"/>
    </row>
    <row r="882" spans="1:34" ht="24" customHeight="1" x14ac:dyDescent="0.6">
      <c r="A882" s="114"/>
      <c r="B882" s="114"/>
      <c r="C882" s="114"/>
      <c r="D882" s="114"/>
      <c r="E882" s="114"/>
      <c r="F882" s="115"/>
      <c r="G882" s="138"/>
      <c r="H882" s="114"/>
      <c r="I882" s="114"/>
      <c r="J882" s="114"/>
      <c r="K882" s="114"/>
      <c r="L882" s="114"/>
      <c r="M882" s="114"/>
      <c r="N882" s="114"/>
      <c r="O882" s="114"/>
      <c r="P882" s="114"/>
      <c r="Q882" s="114"/>
      <c r="R882" s="114"/>
      <c r="S882" s="114"/>
      <c r="T882" s="116"/>
      <c r="U882" s="116"/>
      <c r="V882" s="116"/>
      <c r="W882" s="209"/>
      <c r="X882" s="114"/>
      <c r="Y882" s="114"/>
      <c r="Z882" s="114"/>
      <c r="AA882" s="114"/>
      <c r="AB882" s="114"/>
      <c r="AC882" s="114"/>
      <c r="AD882" s="114"/>
      <c r="AE882" s="114"/>
      <c r="AF882" s="114"/>
      <c r="AG882" s="114"/>
      <c r="AH882" s="114"/>
    </row>
    <row r="883" spans="1:34" ht="24" customHeight="1" x14ac:dyDescent="0.6">
      <c r="A883" s="114"/>
      <c r="B883" s="114"/>
      <c r="C883" s="114"/>
      <c r="D883" s="114"/>
      <c r="E883" s="114"/>
      <c r="F883" s="115"/>
      <c r="G883" s="138"/>
      <c r="H883" s="114"/>
      <c r="I883" s="114"/>
      <c r="J883" s="114"/>
      <c r="K883" s="114"/>
      <c r="L883" s="114"/>
      <c r="M883" s="114"/>
      <c r="N883" s="114"/>
      <c r="O883" s="114"/>
      <c r="P883" s="114"/>
      <c r="Q883" s="114"/>
      <c r="R883" s="114"/>
      <c r="S883" s="114"/>
      <c r="T883" s="116"/>
      <c r="U883" s="116"/>
      <c r="V883" s="116"/>
      <c r="W883" s="209"/>
      <c r="X883" s="114"/>
      <c r="Y883" s="114"/>
      <c r="Z883" s="114"/>
      <c r="AA883" s="114"/>
      <c r="AB883" s="114"/>
      <c r="AC883" s="114"/>
      <c r="AD883" s="114"/>
      <c r="AE883" s="114"/>
      <c r="AF883" s="114"/>
      <c r="AG883" s="114"/>
      <c r="AH883" s="114"/>
    </row>
    <row r="884" spans="1:34" ht="24" customHeight="1" x14ac:dyDescent="0.6">
      <c r="A884" s="114"/>
      <c r="B884" s="114"/>
      <c r="C884" s="114"/>
      <c r="D884" s="114"/>
      <c r="E884" s="114"/>
      <c r="F884" s="115"/>
      <c r="G884" s="138"/>
      <c r="H884" s="114"/>
      <c r="I884" s="114"/>
      <c r="J884" s="114"/>
      <c r="K884" s="114"/>
      <c r="L884" s="114"/>
      <c r="M884" s="114"/>
      <c r="N884" s="114"/>
      <c r="O884" s="114"/>
      <c r="P884" s="114"/>
      <c r="Q884" s="114"/>
      <c r="R884" s="114"/>
      <c r="S884" s="114"/>
      <c r="T884" s="116"/>
      <c r="U884" s="116"/>
      <c r="V884" s="116"/>
      <c r="W884" s="209"/>
      <c r="X884" s="114"/>
      <c r="Y884" s="114"/>
      <c r="Z884" s="114"/>
      <c r="AA884" s="114"/>
      <c r="AB884" s="114"/>
      <c r="AC884" s="114"/>
      <c r="AD884" s="114"/>
      <c r="AE884" s="114"/>
      <c r="AF884" s="114"/>
      <c r="AG884" s="114"/>
      <c r="AH884" s="114"/>
    </row>
    <row r="885" spans="1:34" ht="24" customHeight="1" x14ac:dyDescent="0.6">
      <c r="A885" s="114"/>
      <c r="B885" s="114"/>
      <c r="C885" s="114"/>
      <c r="D885" s="114"/>
      <c r="E885" s="114"/>
      <c r="F885" s="115"/>
      <c r="G885" s="138"/>
      <c r="H885" s="114"/>
      <c r="I885" s="114"/>
      <c r="J885" s="114"/>
      <c r="K885" s="114"/>
      <c r="L885" s="114"/>
      <c r="M885" s="114"/>
      <c r="N885" s="114"/>
      <c r="O885" s="114"/>
      <c r="P885" s="114"/>
      <c r="Q885" s="114"/>
      <c r="R885" s="114"/>
      <c r="S885" s="114"/>
      <c r="T885" s="116"/>
      <c r="U885" s="116"/>
      <c r="V885" s="116"/>
      <c r="W885" s="209"/>
      <c r="X885" s="114"/>
      <c r="Y885" s="114"/>
      <c r="Z885" s="114"/>
      <c r="AA885" s="114"/>
      <c r="AB885" s="114"/>
      <c r="AC885" s="114"/>
      <c r="AD885" s="114"/>
      <c r="AE885" s="114"/>
      <c r="AF885" s="114"/>
      <c r="AG885" s="114"/>
      <c r="AH885" s="114"/>
    </row>
    <row r="886" spans="1:34" ht="24" customHeight="1" x14ac:dyDescent="0.6">
      <c r="A886" s="114"/>
      <c r="B886" s="114"/>
      <c r="C886" s="114"/>
      <c r="D886" s="114"/>
      <c r="E886" s="114"/>
      <c r="F886" s="115"/>
      <c r="G886" s="138"/>
      <c r="H886" s="114"/>
      <c r="I886" s="114"/>
      <c r="J886" s="114"/>
      <c r="K886" s="114"/>
      <c r="L886" s="114"/>
      <c r="M886" s="114"/>
      <c r="N886" s="114"/>
      <c r="O886" s="114"/>
      <c r="P886" s="114"/>
      <c r="Q886" s="114"/>
      <c r="R886" s="114"/>
      <c r="S886" s="114"/>
      <c r="T886" s="116"/>
      <c r="U886" s="116"/>
      <c r="V886" s="116"/>
      <c r="W886" s="209"/>
      <c r="X886" s="114"/>
      <c r="Y886" s="114"/>
      <c r="Z886" s="114"/>
      <c r="AA886" s="114"/>
      <c r="AB886" s="114"/>
      <c r="AC886" s="114"/>
      <c r="AD886" s="114"/>
      <c r="AE886" s="114"/>
      <c r="AF886" s="114"/>
      <c r="AG886" s="114"/>
      <c r="AH886" s="114"/>
    </row>
    <row r="887" spans="1:34" ht="24" customHeight="1" x14ac:dyDescent="0.6">
      <c r="A887" s="114"/>
      <c r="B887" s="114"/>
      <c r="C887" s="114"/>
      <c r="D887" s="114"/>
      <c r="E887" s="114"/>
      <c r="F887" s="115"/>
      <c r="G887" s="138"/>
      <c r="H887" s="114"/>
      <c r="I887" s="114"/>
      <c r="J887" s="114"/>
      <c r="K887" s="114"/>
      <c r="L887" s="114"/>
      <c r="M887" s="114"/>
      <c r="N887" s="114"/>
      <c r="O887" s="114"/>
      <c r="P887" s="114"/>
      <c r="Q887" s="114"/>
      <c r="R887" s="114"/>
      <c r="S887" s="114"/>
      <c r="T887" s="116"/>
      <c r="U887" s="116"/>
      <c r="V887" s="116"/>
      <c r="W887" s="209"/>
      <c r="X887" s="114"/>
      <c r="Y887" s="114"/>
      <c r="Z887" s="114"/>
      <c r="AA887" s="114"/>
      <c r="AB887" s="114"/>
      <c r="AC887" s="114"/>
      <c r="AD887" s="114"/>
      <c r="AE887" s="114"/>
      <c r="AF887" s="114"/>
      <c r="AG887" s="114"/>
      <c r="AH887" s="114"/>
    </row>
    <row r="888" spans="1:34" ht="24" customHeight="1" x14ac:dyDescent="0.6">
      <c r="A888" s="114"/>
      <c r="B888" s="114"/>
      <c r="C888" s="114"/>
      <c r="D888" s="114"/>
      <c r="E888" s="114"/>
      <c r="F888" s="115"/>
      <c r="G888" s="138"/>
      <c r="H888" s="114"/>
      <c r="I888" s="114"/>
      <c r="J888" s="114"/>
      <c r="K888" s="114"/>
      <c r="L888" s="114"/>
      <c r="M888" s="114"/>
      <c r="N888" s="114"/>
      <c r="O888" s="114"/>
      <c r="P888" s="114"/>
      <c r="Q888" s="114"/>
      <c r="R888" s="114"/>
      <c r="S888" s="114"/>
      <c r="T888" s="116"/>
      <c r="U888" s="116"/>
      <c r="V888" s="116"/>
      <c r="W888" s="209"/>
      <c r="X888" s="114"/>
      <c r="Y888" s="114"/>
      <c r="Z888" s="114"/>
      <c r="AA888" s="114"/>
      <c r="AB888" s="114"/>
      <c r="AC888" s="114"/>
      <c r="AD888" s="114"/>
      <c r="AE888" s="114"/>
      <c r="AF888" s="114"/>
      <c r="AG888" s="114"/>
      <c r="AH888" s="114"/>
    </row>
    <row r="889" spans="1:34" ht="24" customHeight="1" x14ac:dyDescent="0.6">
      <c r="A889" s="114"/>
      <c r="B889" s="114"/>
      <c r="C889" s="114"/>
      <c r="D889" s="114"/>
      <c r="E889" s="114"/>
      <c r="F889" s="115"/>
      <c r="G889" s="138"/>
      <c r="H889" s="114"/>
      <c r="I889" s="114"/>
      <c r="J889" s="114"/>
      <c r="K889" s="114"/>
      <c r="L889" s="114"/>
      <c r="M889" s="114"/>
      <c r="N889" s="114"/>
      <c r="O889" s="114"/>
      <c r="P889" s="114"/>
      <c r="Q889" s="114"/>
      <c r="R889" s="114"/>
      <c r="S889" s="114"/>
      <c r="T889" s="116"/>
      <c r="U889" s="116"/>
      <c r="V889" s="116"/>
      <c r="W889" s="209"/>
      <c r="X889" s="114"/>
      <c r="Y889" s="114"/>
      <c r="Z889" s="114"/>
      <c r="AA889" s="114"/>
      <c r="AB889" s="114"/>
      <c r="AC889" s="114"/>
      <c r="AD889" s="114"/>
      <c r="AE889" s="114"/>
      <c r="AF889" s="114"/>
      <c r="AG889" s="114"/>
      <c r="AH889" s="114"/>
    </row>
    <row r="890" spans="1:34" ht="24" customHeight="1" x14ac:dyDescent="0.6">
      <c r="A890" s="114"/>
      <c r="B890" s="114"/>
      <c r="C890" s="114"/>
      <c r="D890" s="114"/>
      <c r="E890" s="114"/>
      <c r="F890" s="115"/>
      <c r="G890" s="138"/>
      <c r="H890" s="114"/>
      <c r="I890" s="114"/>
      <c r="J890" s="114"/>
      <c r="K890" s="114"/>
      <c r="L890" s="114"/>
      <c r="M890" s="114"/>
      <c r="N890" s="114"/>
      <c r="O890" s="114"/>
      <c r="P890" s="114"/>
      <c r="Q890" s="114"/>
      <c r="R890" s="114"/>
      <c r="S890" s="114"/>
      <c r="T890" s="116"/>
      <c r="U890" s="116"/>
      <c r="V890" s="116"/>
      <c r="W890" s="209"/>
      <c r="X890" s="114"/>
      <c r="Y890" s="114"/>
      <c r="Z890" s="114"/>
      <c r="AA890" s="114"/>
      <c r="AB890" s="114"/>
      <c r="AC890" s="114"/>
      <c r="AD890" s="114"/>
      <c r="AE890" s="114"/>
      <c r="AF890" s="114"/>
      <c r="AG890" s="114"/>
      <c r="AH890" s="114"/>
    </row>
    <row r="891" spans="1:34" ht="24" customHeight="1" x14ac:dyDescent="0.6">
      <c r="A891" s="114"/>
      <c r="B891" s="114"/>
      <c r="C891" s="114"/>
      <c r="D891" s="114"/>
      <c r="E891" s="114"/>
      <c r="F891" s="115"/>
      <c r="G891" s="138"/>
      <c r="H891" s="114"/>
      <c r="I891" s="114"/>
      <c r="J891" s="114"/>
      <c r="K891" s="114"/>
      <c r="L891" s="114"/>
      <c r="M891" s="114"/>
      <c r="N891" s="114"/>
      <c r="O891" s="114"/>
      <c r="P891" s="114"/>
      <c r="Q891" s="114"/>
      <c r="R891" s="114"/>
      <c r="S891" s="114"/>
      <c r="T891" s="116"/>
      <c r="U891" s="116"/>
      <c r="V891" s="116"/>
      <c r="W891" s="209"/>
      <c r="X891" s="114"/>
      <c r="Y891" s="114"/>
      <c r="Z891" s="114"/>
      <c r="AA891" s="114"/>
      <c r="AB891" s="114"/>
      <c r="AC891" s="114"/>
      <c r="AD891" s="114"/>
      <c r="AE891" s="114"/>
      <c r="AF891" s="114"/>
      <c r="AG891" s="114"/>
      <c r="AH891" s="114"/>
    </row>
    <row r="892" spans="1:34" ht="24" customHeight="1" x14ac:dyDescent="0.6">
      <c r="A892" s="114"/>
      <c r="B892" s="114"/>
      <c r="C892" s="114"/>
      <c r="D892" s="114"/>
      <c r="E892" s="114"/>
      <c r="F892" s="115"/>
      <c r="G892" s="138"/>
      <c r="H892" s="114"/>
      <c r="I892" s="114"/>
      <c r="J892" s="114"/>
      <c r="K892" s="114"/>
      <c r="L892" s="114"/>
      <c r="M892" s="114"/>
      <c r="N892" s="114"/>
      <c r="O892" s="114"/>
      <c r="P892" s="114"/>
      <c r="Q892" s="114"/>
      <c r="R892" s="114"/>
      <c r="S892" s="114"/>
      <c r="T892" s="116"/>
      <c r="U892" s="116"/>
      <c r="V892" s="116"/>
      <c r="W892" s="209"/>
      <c r="X892" s="114"/>
      <c r="Y892" s="114"/>
      <c r="Z892" s="114"/>
      <c r="AA892" s="114"/>
      <c r="AB892" s="114"/>
      <c r="AC892" s="114"/>
      <c r="AD892" s="114"/>
      <c r="AE892" s="114"/>
      <c r="AF892" s="114"/>
      <c r="AG892" s="114"/>
      <c r="AH892" s="114"/>
    </row>
    <row r="893" spans="1:34" ht="24" customHeight="1" x14ac:dyDescent="0.6">
      <c r="A893" s="114"/>
      <c r="B893" s="114"/>
      <c r="C893" s="114"/>
      <c r="D893" s="114"/>
      <c r="E893" s="114"/>
      <c r="F893" s="115"/>
      <c r="G893" s="138"/>
      <c r="H893" s="114"/>
      <c r="I893" s="114"/>
      <c r="J893" s="114"/>
      <c r="K893" s="114"/>
      <c r="L893" s="114"/>
      <c r="M893" s="114"/>
      <c r="N893" s="114"/>
      <c r="O893" s="114"/>
      <c r="P893" s="114"/>
      <c r="Q893" s="114"/>
      <c r="R893" s="114"/>
      <c r="S893" s="114"/>
      <c r="T893" s="116"/>
      <c r="U893" s="116"/>
      <c r="V893" s="116"/>
      <c r="W893" s="209"/>
      <c r="X893" s="114"/>
      <c r="Y893" s="114"/>
      <c r="Z893" s="114"/>
      <c r="AA893" s="114"/>
      <c r="AB893" s="114"/>
      <c r="AC893" s="114"/>
      <c r="AD893" s="114"/>
      <c r="AE893" s="114"/>
      <c r="AF893" s="114"/>
      <c r="AG893" s="114"/>
      <c r="AH893" s="114"/>
    </row>
    <row r="894" spans="1:34" ht="24" customHeight="1" x14ac:dyDescent="0.6">
      <c r="A894" s="114"/>
      <c r="B894" s="114"/>
      <c r="C894" s="114"/>
      <c r="D894" s="114"/>
      <c r="E894" s="114"/>
      <c r="F894" s="115"/>
      <c r="G894" s="138"/>
      <c r="H894" s="114"/>
      <c r="I894" s="114"/>
      <c r="J894" s="114"/>
      <c r="K894" s="114"/>
      <c r="L894" s="114"/>
      <c r="M894" s="114"/>
      <c r="N894" s="114"/>
      <c r="O894" s="114"/>
      <c r="P894" s="114"/>
      <c r="Q894" s="114"/>
      <c r="R894" s="114"/>
      <c r="S894" s="114"/>
      <c r="T894" s="116"/>
      <c r="U894" s="116"/>
      <c r="V894" s="116"/>
      <c r="W894" s="209"/>
      <c r="X894" s="114"/>
      <c r="Y894" s="114"/>
      <c r="Z894" s="114"/>
      <c r="AA894" s="114"/>
      <c r="AB894" s="114"/>
      <c r="AC894" s="114"/>
      <c r="AD894" s="114"/>
      <c r="AE894" s="114"/>
      <c r="AF894" s="114"/>
      <c r="AG894" s="114"/>
      <c r="AH894" s="114"/>
    </row>
    <row r="895" spans="1:34" ht="24" customHeight="1" x14ac:dyDescent="0.6">
      <c r="A895" s="114"/>
      <c r="B895" s="114"/>
      <c r="C895" s="114"/>
      <c r="D895" s="114"/>
      <c r="E895" s="114"/>
      <c r="F895" s="115"/>
      <c r="G895" s="138"/>
      <c r="H895" s="114"/>
      <c r="I895" s="114"/>
      <c r="J895" s="114"/>
      <c r="K895" s="114"/>
      <c r="L895" s="114"/>
      <c r="M895" s="114"/>
      <c r="N895" s="114"/>
      <c r="O895" s="114"/>
      <c r="P895" s="114"/>
      <c r="Q895" s="114"/>
      <c r="R895" s="114"/>
      <c r="S895" s="114"/>
      <c r="T895" s="116"/>
      <c r="U895" s="116"/>
      <c r="V895" s="116"/>
      <c r="W895" s="209"/>
      <c r="X895" s="114"/>
      <c r="Y895" s="114"/>
      <c r="Z895" s="114"/>
      <c r="AA895" s="114"/>
      <c r="AB895" s="114"/>
      <c r="AC895" s="114"/>
      <c r="AD895" s="114"/>
      <c r="AE895" s="114"/>
      <c r="AF895" s="114"/>
      <c r="AG895" s="114"/>
      <c r="AH895" s="114"/>
    </row>
    <row r="896" spans="1:34" ht="24" customHeight="1" x14ac:dyDescent="0.6">
      <c r="A896" s="114"/>
      <c r="B896" s="114"/>
      <c r="C896" s="114"/>
      <c r="D896" s="114"/>
      <c r="E896" s="114"/>
      <c r="F896" s="115"/>
      <c r="G896" s="138"/>
      <c r="H896" s="114"/>
      <c r="I896" s="114"/>
      <c r="J896" s="114"/>
      <c r="K896" s="114"/>
      <c r="L896" s="114"/>
      <c r="M896" s="114"/>
      <c r="N896" s="114"/>
      <c r="O896" s="114"/>
      <c r="P896" s="114"/>
      <c r="Q896" s="114"/>
      <c r="R896" s="114"/>
      <c r="S896" s="114"/>
      <c r="T896" s="116"/>
      <c r="U896" s="116"/>
      <c r="V896" s="116"/>
      <c r="W896" s="209"/>
      <c r="X896" s="114"/>
      <c r="Y896" s="114"/>
      <c r="Z896" s="114"/>
      <c r="AA896" s="114"/>
      <c r="AB896" s="114"/>
      <c r="AC896" s="114"/>
      <c r="AD896" s="114"/>
      <c r="AE896" s="114"/>
      <c r="AF896" s="114"/>
      <c r="AG896" s="114"/>
      <c r="AH896" s="114"/>
    </row>
    <row r="897" spans="1:34" ht="24" customHeight="1" x14ac:dyDescent="0.6">
      <c r="A897" s="114"/>
      <c r="B897" s="114"/>
      <c r="C897" s="114"/>
      <c r="D897" s="114"/>
      <c r="E897" s="114"/>
      <c r="F897" s="115"/>
      <c r="G897" s="138"/>
      <c r="H897" s="114"/>
      <c r="I897" s="114"/>
      <c r="J897" s="114"/>
      <c r="K897" s="114"/>
      <c r="L897" s="114"/>
      <c r="M897" s="114"/>
      <c r="N897" s="114"/>
      <c r="O897" s="114"/>
      <c r="P897" s="114"/>
      <c r="Q897" s="114"/>
      <c r="R897" s="114"/>
      <c r="S897" s="114"/>
      <c r="T897" s="116"/>
      <c r="U897" s="116"/>
      <c r="V897" s="116"/>
      <c r="W897" s="209"/>
      <c r="X897" s="114"/>
      <c r="Y897" s="114"/>
      <c r="Z897" s="114"/>
      <c r="AA897" s="114"/>
      <c r="AB897" s="114"/>
      <c r="AC897" s="114"/>
      <c r="AD897" s="114"/>
      <c r="AE897" s="114"/>
      <c r="AF897" s="114"/>
      <c r="AG897" s="114"/>
      <c r="AH897" s="114"/>
    </row>
    <row r="898" spans="1:34" ht="24" customHeight="1" x14ac:dyDescent="0.6">
      <c r="A898" s="114"/>
      <c r="B898" s="114"/>
      <c r="C898" s="114"/>
      <c r="D898" s="114"/>
      <c r="E898" s="114"/>
      <c r="F898" s="115"/>
      <c r="G898" s="138"/>
      <c r="H898" s="114"/>
      <c r="I898" s="114"/>
      <c r="J898" s="114"/>
      <c r="K898" s="114"/>
      <c r="L898" s="114"/>
      <c r="M898" s="114"/>
      <c r="N898" s="114"/>
      <c r="O898" s="114"/>
      <c r="P898" s="114"/>
      <c r="Q898" s="114"/>
      <c r="R898" s="114"/>
      <c r="S898" s="114"/>
      <c r="T898" s="116"/>
      <c r="U898" s="116"/>
      <c r="V898" s="116"/>
      <c r="W898" s="209"/>
      <c r="X898" s="114"/>
      <c r="Y898" s="114"/>
      <c r="Z898" s="114"/>
      <c r="AA898" s="114"/>
      <c r="AB898" s="114"/>
      <c r="AC898" s="114"/>
      <c r="AD898" s="114"/>
      <c r="AE898" s="114"/>
      <c r="AF898" s="114"/>
      <c r="AG898" s="114"/>
      <c r="AH898" s="114"/>
    </row>
    <row r="899" spans="1:34" ht="24" customHeight="1" x14ac:dyDescent="0.6">
      <c r="A899" s="114"/>
      <c r="B899" s="114"/>
      <c r="C899" s="114"/>
      <c r="D899" s="114"/>
      <c r="E899" s="114"/>
      <c r="F899" s="115"/>
      <c r="G899" s="138"/>
      <c r="H899" s="114"/>
      <c r="I899" s="114"/>
      <c r="J899" s="114"/>
      <c r="K899" s="114"/>
      <c r="L899" s="114"/>
      <c r="M899" s="114"/>
      <c r="N899" s="114"/>
      <c r="O899" s="114"/>
      <c r="P899" s="114"/>
      <c r="Q899" s="114"/>
      <c r="R899" s="114"/>
      <c r="S899" s="114"/>
      <c r="T899" s="116"/>
      <c r="U899" s="116"/>
      <c r="V899" s="116"/>
      <c r="W899" s="209"/>
      <c r="X899" s="114"/>
      <c r="Y899" s="114"/>
      <c r="Z899" s="114"/>
      <c r="AA899" s="114"/>
      <c r="AB899" s="114"/>
      <c r="AC899" s="114"/>
      <c r="AD899" s="114"/>
      <c r="AE899" s="114"/>
      <c r="AF899" s="114"/>
      <c r="AG899" s="114"/>
      <c r="AH899" s="114"/>
    </row>
    <row r="900" spans="1:34" ht="24" customHeight="1" x14ac:dyDescent="0.6">
      <c r="A900" s="114"/>
      <c r="B900" s="114"/>
      <c r="C900" s="114"/>
      <c r="D900" s="114"/>
      <c r="E900" s="114"/>
      <c r="F900" s="115"/>
      <c r="G900" s="138"/>
      <c r="H900" s="114"/>
      <c r="I900" s="114"/>
      <c r="J900" s="114"/>
      <c r="K900" s="114"/>
      <c r="L900" s="114"/>
      <c r="M900" s="114"/>
      <c r="N900" s="114"/>
      <c r="O900" s="114"/>
      <c r="P900" s="114"/>
      <c r="Q900" s="114"/>
      <c r="R900" s="114"/>
      <c r="S900" s="114"/>
      <c r="T900" s="116"/>
      <c r="U900" s="116"/>
      <c r="V900" s="116"/>
      <c r="W900" s="209"/>
      <c r="X900" s="114"/>
      <c r="Y900" s="114"/>
      <c r="Z900" s="114"/>
      <c r="AA900" s="114"/>
      <c r="AB900" s="114"/>
      <c r="AC900" s="114"/>
      <c r="AD900" s="114"/>
      <c r="AE900" s="114"/>
      <c r="AF900" s="114"/>
      <c r="AG900" s="114"/>
      <c r="AH900" s="114"/>
    </row>
    <row r="901" spans="1:34" ht="24" customHeight="1" x14ac:dyDescent="0.6">
      <c r="A901" s="114"/>
      <c r="B901" s="114"/>
      <c r="C901" s="114"/>
      <c r="D901" s="114"/>
      <c r="E901" s="114"/>
      <c r="F901" s="115"/>
      <c r="G901" s="138"/>
      <c r="H901" s="114"/>
      <c r="I901" s="114"/>
      <c r="J901" s="114"/>
      <c r="K901" s="114"/>
      <c r="L901" s="114"/>
      <c r="M901" s="114"/>
      <c r="N901" s="114"/>
      <c r="O901" s="114"/>
      <c r="P901" s="114"/>
      <c r="Q901" s="114"/>
      <c r="R901" s="114"/>
      <c r="S901" s="114"/>
      <c r="T901" s="116"/>
      <c r="U901" s="116"/>
      <c r="V901" s="116"/>
      <c r="W901" s="209"/>
      <c r="X901" s="114"/>
      <c r="Y901" s="114"/>
      <c r="Z901" s="114"/>
      <c r="AA901" s="114"/>
      <c r="AB901" s="114"/>
      <c r="AC901" s="114"/>
      <c r="AD901" s="114"/>
      <c r="AE901" s="114"/>
      <c r="AF901" s="114"/>
      <c r="AG901" s="114"/>
      <c r="AH901" s="114"/>
    </row>
    <row r="902" spans="1:34" ht="24" customHeight="1" x14ac:dyDescent="0.6">
      <c r="A902" s="114"/>
      <c r="B902" s="114"/>
      <c r="C902" s="114"/>
      <c r="D902" s="114"/>
      <c r="E902" s="114"/>
      <c r="F902" s="115"/>
      <c r="G902" s="138"/>
      <c r="H902" s="114"/>
      <c r="I902" s="114"/>
      <c r="J902" s="114"/>
      <c r="K902" s="114"/>
      <c r="L902" s="114"/>
      <c r="M902" s="114"/>
      <c r="N902" s="114"/>
      <c r="O902" s="114"/>
      <c r="P902" s="114"/>
      <c r="Q902" s="114"/>
      <c r="R902" s="114"/>
      <c r="S902" s="114"/>
      <c r="T902" s="116"/>
      <c r="U902" s="116"/>
      <c r="V902" s="116"/>
      <c r="W902" s="209"/>
      <c r="X902" s="114"/>
      <c r="Y902" s="114"/>
      <c r="Z902" s="114"/>
      <c r="AA902" s="114"/>
      <c r="AB902" s="114"/>
      <c r="AC902" s="114"/>
      <c r="AD902" s="114"/>
      <c r="AE902" s="114"/>
      <c r="AF902" s="114"/>
      <c r="AG902" s="114"/>
      <c r="AH902" s="114"/>
    </row>
    <row r="903" spans="1:34" ht="24" customHeight="1" x14ac:dyDescent="0.6">
      <c r="A903" s="114"/>
      <c r="B903" s="114"/>
      <c r="C903" s="114"/>
      <c r="D903" s="114"/>
      <c r="E903" s="114"/>
      <c r="F903" s="115"/>
      <c r="G903" s="138"/>
      <c r="H903" s="114"/>
      <c r="I903" s="114"/>
      <c r="J903" s="114"/>
      <c r="K903" s="114"/>
      <c r="L903" s="114"/>
      <c r="M903" s="114"/>
      <c r="N903" s="114"/>
      <c r="O903" s="114"/>
      <c r="P903" s="114"/>
      <c r="Q903" s="114"/>
      <c r="R903" s="114"/>
      <c r="S903" s="114"/>
      <c r="T903" s="116"/>
      <c r="U903" s="116"/>
      <c r="V903" s="116"/>
      <c r="W903" s="209"/>
      <c r="X903" s="114"/>
      <c r="Y903" s="114"/>
      <c r="Z903" s="114"/>
      <c r="AA903" s="114"/>
      <c r="AB903" s="114"/>
      <c r="AC903" s="114"/>
      <c r="AD903" s="114"/>
      <c r="AE903" s="114"/>
      <c r="AF903" s="114"/>
      <c r="AG903" s="114"/>
      <c r="AH903" s="114"/>
    </row>
    <row r="904" spans="1:34" ht="24" customHeight="1" x14ac:dyDescent="0.6">
      <c r="A904" s="114"/>
      <c r="B904" s="114"/>
      <c r="C904" s="114"/>
      <c r="D904" s="114"/>
      <c r="E904" s="114"/>
      <c r="F904" s="115"/>
      <c r="G904" s="138"/>
      <c r="H904" s="114"/>
      <c r="I904" s="114"/>
      <c r="J904" s="114"/>
      <c r="K904" s="114"/>
      <c r="L904" s="114"/>
      <c r="M904" s="114"/>
      <c r="N904" s="114"/>
      <c r="O904" s="114"/>
      <c r="P904" s="114"/>
      <c r="Q904" s="114"/>
      <c r="R904" s="114"/>
      <c r="S904" s="114"/>
      <c r="T904" s="116"/>
      <c r="U904" s="116"/>
      <c r="V904" s="116"/>
      <c r="W904" s="209"/>
      <c r="X904" s="114"/>
      <c r="Y904" s="114"/>
      <c r="Z904" s="114"/>
      <c r="AA904" s="114"/>
      <c r="AB904" s="114"/>
      <c r="AC904" s="114"/>
      <c r="AD904" s="114"/>
      <c r="AE904" s="114"/>
      <c r="AF904" s="114"/>
      <c r="AG904" s="114"/>
      <c r="AH904" s="114"/>
    </row>
    <row r="905" spans="1:34" ht="24" customHeight="1" x14ac:dyDescent="0.6">
      <c r="A905" s="114"/>
      <c r="B905" s="114"/>
      <c r="C905" s="114"/>
      <c r="D905" s="114"/>
      <c r="E905" s="114"/>
      <c r="F905" s="115"/>
      <c r="G905" s="138"/>
      <c r="H905" s="114"/>
      <c r="I905" s="114"/>
      <c r="J905" s="114"/>
      <c r="K905" s="114"/>
      <c r="L905" s="114"/>
      <c r="M905" s="114"/>
      <c r="N905" s="114"/>
      <c r="O905" s="114"/>
      <c r="P905" s="114"/>
      <c r="Q905" s="114"/>
      <c r="R905" s="114"/>
      <c r="S905" s="114"/>
      <c r="T905" s="116"/>
      <c r="U905" s="116"/>
      <c r="V905" s="116"/>
      <c r="W905" s="209"/>
      <c r="X905" s="114"/>
      <c r="Y905" s="114"/>
      <c r="Z905" s="114"/>
      <c r="AA905" s="114"/>
      <c r="AB905" s="114"/>
      <c r="AC905" s="114"/>
      <c r="AD905" s="114"/>
      <c r="AE905" s="114"/>
      <c r="AF905" s="114"/>
      <c r="AG905" s="114"/>
      <c r="AH905" s="114"/>
    </row>
    <row r="906" spans="1:34" ht="24" customHeight="1" x14ac:dyDescent="0.6">
      <c r="A906" s="114"/>
      <c r="B906" s="114"/>
      <c r="C906" s="114"/>
      <c r="D906" s="114"/>
      <c r="E906" s="114"/>
      <c r="F906" s="115"/>
      <c r="G906" s="138"/>
      <c r="H906" s="114"/>
      <c r="I906" s="114"/>
      <c r="J906" s="114"/>
      <c r="K906" s="114"/>
      <c r="L906" s="114"/>
      <c r="M906" s="114"/>
      <c r="N906" s="114"/>
      <c r="O906" s="114"/>
      <c r="P906" s="114"/>
      <c r="Q906" s="114"/>
      <c r="R906" s="114"/>
      <c r="S906" s="114"/>
      <c r="T906" s="116"/>
      <c r="U906" s="116"/>
      <c r="V906" s="116"/>
      <c r="W906" s="209"/>
      <c r="X906" s="114"/>
      <c r="Y906" s="114"/>
      <c r="Z906" s="114"/>
      <c r="AA906" s="114"/>
      <c r="AB906" s="114"/>
      <c r="AC906" s="114"/>
      <c r="AD906" s="114"/>
      <c r="AE906" s="114"/>
      <c r="AF906" s="114"/>
      <c r="AG906" s="114"/>
      <c r="AH906" s="114"/>
    </row>
    <row r="907" spans="1:34" ht="24" customHeight="1" x14ac:dyDescent="0.6">
      <c r="A907" s="114"/>
      <c r="B907" s="114"/>
      <c r="C907" s="114"/>
      <c r="D907" s="114"/>
      <c r="E907" s="114"/>
      <c r="F907" s="115"/>
      <c r="G907" s="138"/>
      <c r="H907" s="114"/>
      <c r="I907" s="114"/>
      <c r="J907" s="114"/>
      <c r="K907" s="114"/>
      <c r="L907" s="114"/>
      <c r="M907" s="114"/>
      <c r="N907" s="114"/>
      <c r="O907" s="114"/>
      <c r="P907" s="114"/>
      <c r="Q907" s="114"/>
      <c r="R907" s="114"/>
      <c r="S907" s="114"/>
      <c r="T907" s="116"/>
      <c r="U907" s="116"/>
      <c r="V907" s="116"/>
      <c r="W907" s="209"/>
      <c r="X907" s="114"/>
      <c r="Y907" s="114"/>
      <c r="Z907" s="114"/>
      <c r="AA907" s="114"/>
      <c r="AB907" s="114"/>
      <c r="AC907" s="114"/>
      <c r="AD907" s="114"/>
      <c r="AE907" s="114"/>
      <c r="AF907" s="114"/>
      <c r="AG907" s="114"/>
      <c r="AH907" s="114"/>
    </row>
    <row r="908" spans="1:34" ht="24" customHeight="1" x14ac:dyDescent="0.6">
      <c r="A908" s="114"/>
      <c r="B908" s="114"/>
      <c r="C908" s="114"/>
      <c r="D908" s="114"/>
      <c r="E908" s="114"/>
      <c r="F908" s="115"/>
      <c r="G908" s="138"/>
      <c r="H908" s="114"/>
      <c r="I908" s="114"/>
      <c r="J908" s="114"/>
      <c r="K908" s="114"/>
      <c r="L908" s="114"/>
      <c r="M908" s="114"/>
      <c r="N908" s="114"/>
      <c r="O908" s="114"/>
      <c r="P908" s="114"/>
      <c r="Q908" s="114"/>
      <c r="R908" s="114"/>
      <c r="S908" s="114"/>
      <c r="T908" s="116"/>
      <c r="U908" s="116"/>
      <c r="V908" s="116"/>
      <c r="W908" s="209"/>
      <c r="X908" s="114"/>
      <c r="Y908" s="114"/>
      <c r="Z908" s="114"/>
      <c r="AA908" s="114"/>
      <c r="AB908" s="114"/>
      <c r="AC908" s="114"/>
      <c r="AD908" s="114"/>
      <c r="AE908" s="114"/>
      <c r="AF908" s="114"/>
      <c r="AG908" s="114"/>
      <c r="AH908" s="114"/>
    </row>
    <row r="909" spans="1:34" ht="24" customHeight="1" x14ac:dyDescent="0.6">
      <c r="A909" s="114"/>
      <c r="B909" s="114"/>
      <c r="C909" s="114"/>
      <c r="D909" s="114"/>
      <c r="E909" s="114"/>
      <c r="F909" s="115"/>
      <c r="G909" s="138"/>
      <c r="H909" s="114"/>
      <c r="I909" s="114"/>
      <c r="J909" s="114"/>
      <c r="K909" s="114"/>
      <c r="L909" s="114"/>
      <c r="M909" s="114"/>
      <c r="N909" s="114"/>
      <c r="O909" s="114"/>
      <c r="P909" s="114"/>
      <c r="Q909" s="114"/>
      <c r="R909" s="114"/>
      <c r="S909" s="114"/>
      <c r="T909" s="116"/>
      <c r="U909" s="116"/>
      <c r="V909" s="116"/>
      <c r="W909" s="209"/>
      <c r="X909" s="114"/>
      <c r="Y909" s="114"/>
      <c r="Z909" s="114"/>
      <c r="AA909" s="114"/>
      <c r="AB909" s="114"/>
      <c r="AC909" s="114"/>
      <c r="AD909" s="114"/>
      <c r="AE909" s="114"/>
      <c r="AF909" s="114"/>
      <c r="AG909" s="114"/>
      <c r="AH909" s="114"/>
    </row>
    <row r="910" spans="1:34" ht="24" customHeight="1" x14ac:dyDescent="0.6">
      <c r="A910" s="114"/>
      <c r="B910" s="114"/>
      <c r="C910" s="114"/>
      <c r="D910" s="114"/>
      <c r="E910" s="114"/>
      <c r="F910" s="115"/>
      <c r="G910" s="138"/>
      <c r="H910" s="114"/>
      <c r="I910" s="114"/>
      <c r="J910" s="114"/>
      <c r="K910" s="114"/>
      <c r="L910" s="114"/>
      <c r="M910" s="114"/>
      <c r="N910" s="114"/>
      <c r="O910" s="114"/>
      <c r="P910" s="114"/>
      <c r="Q910" s="114"/>
      <c r="R910" s="114"/>
      <c r="S910" s="114"/>
      <c r="T910" s="116"/>
      <c r="U910" s="116"/>
      <c r="V910" s="116"/>
      <c r="W910" s="209"/>
      <c r="X910" s="114"/>
      <c r="Y910" s="114"/>
      <c r="Z910" s="114"/>
      <c r="AA910" s="114"/>
      <c r="AB910" s="114"/>
      <c r="AC910" s="114"/>
      <c r="AD910" s="114"/>
      <c r="AE910" s="114"/>
      <c r="AF910" s="114"/>
      <c r="AG910" s="114"/>
      <c r="AH910" s="114"/>
    </row>
    <row r="911" spans="1:34" ht="24" customHeight="1" x14ac:dyDescent="0.6">
      <c r="A911" s="114"/>
      <c r="B911" s="114"/>
      <c r="C911" s="114"/>
      <c r="D911" s="114"/>
      <c r="E911" s="114"/>
      <c r="F911" s="115"/>
      <c r="G911" s="138"/>
      <c r="H911" s="114"/>
      <c r="I911" s="114"/>
      <c r="J911" s="114"/>
      <c r="K911" s="114"/>
      <c r="L911" s="114"/>
      <c r="M911" s="114"/>
      <c r="N911" s="114"/>
      <c r="O911" s="114"/>
      <c r="P911" s="114"/>
      <c r="Q911" s="114"/>
      <c r="R911" s="114"/>
      <c r="S911" s="114"/>
      <c r="T911" s="116"/>
      <c r="U911" s="116"/>
      <c r="V911" s="116"/>
      <c r="W911" s="209"/>
      <c r="X911" s="114"/>
      <c r="Y911" s="114"/>
      <c r="Z911" s="114"/>
      <c r="AA911" s="114"/>
      <c r="AB911" s="114"/>
      <c r="AC911" s="114"/>
      <c r="AD911" s="114"/>
      <c r="AE911" s="114"/>
      <c r="AF911" s="114"/>
      <c r="AG911" s="114"/>
      <c r="AH911" s="114"/>
    </row>
    <row r="912" spans="1:34" ht="24" customHeight="1" x14ac:dyDescent="0.6">
      <c r="A912" s="114"/>
      <c r="B912" s="114"/>
      <c r="C912" s="114"/>
      <c r="D912" s="114"/>
      <c r="E912" s="114"/>
      <c r="F912" s="115"/>
      <c r="G912" s="138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114"/>
      <c r="S912" s="114"/>
      <c r="T912" s="116"/>
      <c r="U912" s="116"/>
      <c r="V912" s="116"/>
      <c r="W912" s="209"/>
      <c r="X912" s="114"/>
      <c r="Y912" s="114"/>
      <c r="Z912" s="114"/>
      <c r="AA912" s="114"/>
      <c r="AB912" s="114"/>
      <c r="AC912" s="114"/>
      <c r="AD912" s="114"/>
      <c r="AE912" s="114"/>
      <c r="AF912" s="114"/>
      <c r="AG912" s="114"/>
      <c r="AH912" s="114"/>
    </row>
    <row r="913" spans="1:34" ht="24" customHeight="1" x14ac:dyDescent="0.6">
      <c r="A913" s="114"/>
      <c r="B913" s="114"/>
      <c r="C913" s="114"/>
      <c r="D913" s="114"/>
      <c r="E913" s="114"/>
      <c r="F913" s="115"/>
      <c r="G913" s="138"/>
      <c r="H913" s="114"/>
      <c r="I913" s="114"/>
      <c r="J913" s="114"/>
      <c r="K913" s="114"/>
      <c r="L913" s="114"/>
      <c r="M913" s="114"/>
      <c r="N913" s="114"/>
      <c r="O913" s="114"/>
      <c r="P913" s="114"/>
      <c r="Q913" s="114"/>
      <c r="R913" s="114"/>
      <c r="S913" s="114"/>
      <c r="T913" s="116"/>
      <c r="U913" s="116"/>
      <c r="V913" s="116"/>
      <c r="W913" s="209"/>
      <c r="X913" s="114"/>
      <c r="Y913" s="114"/>
      <c r="Z913" s="114"/>
      <c r="AA913" s="114"/>
      <c r="AB913" s="114"/>
      <c r="AC913" s="114"/>
      <c r="AD913" s="114"/>
      <c r="AE913" s="114"/>
      <c r="AF913" s="114"/>
      <c r="AG913" s="114"/>
      <c r="AH913" s="114"/>
    </row>
    <row r="914" spans="1:34" ht="24" customHeight="1" x14ac:dyDescent="0.6">
      <c r="A914" s="114"/>
      <c r="B914" s="114"/>
      <c r="C914" s="114"/>
      <c r="D914" s="114"/>
      <c r="E914" s="114"/>
      <c r="F914" s="115"/>
      <c r="G914" s="138"/>
      <c r="H914" s="114"/>
      <c r="I914" s="114"/>
      <c r="J914" s="114"/>
      <c r="K914" s="114"/>
      <c r="L914" s="114"/>
      <c r="M914" s="114"/>
      <c r="N914" s="114"/>
      <c r="O914" s="114"/>
      <c r="P914" s="114"/>
      <c r="Q914" s="114"/>
      <c r="R914" s="114"/>
      <c r="S914" s="114"/>
      <c r="T914" s="116"/>
      <c r="U914" s="116"/>
      <c r="V914" s="116"/>
      <c r="W914" s="209"/>
      <c r="X914" s="114"/>
      <c r="Y914" s="114"/>
      <c r="Z914" s="114"/>
      <c r="AA914" s="114"/>
      <c r="AB914" s="114"/>
      <c r="AC914" s="114"/>
      <c r="AD914" s="114"/>
      <c r="AE914" s="114"/>
      <c r="AF914" s="114"/>
      <c r="AG914" s="114"/>
      <c r="AH914" s="114"/>
    </row>
    <row r="915" spans="1:34" ht="24" customHeight="1" x14ac:dyDescent="0.6">
      <c r="A915" s="114"/>
      <c r="B915" s="114"/>
      <c r="C915" s="114"/>
      <c r="D915" s="114"/>
      <c r="E915" s="114"/>
      <c r="F915" s="115"/>
      <c r="G915" s="138"/>
      <c r="H915" s="114"/>
      <c r="I915" s="114"/>
      <c r="J915" s="114"/>
      <c r="K915" s="114"/>
      <c r="L915" s="114"/>
      <c r="M915" s="114"/>
      <c r="N915" s="114"/>
      <c r="O915" s="114"/>
      <c r="P915" s="114"/>
      <c r="Q915" s="114"/>
      <c r="R915" s="114"/>
      <c r="S915" s="114"/>
      <c r="T915" s="116"/>
      <c r="U915" s="116"/>
      <c r="V915" s="116"/>
      <c r="W915" s="209"/>
      <c r="X915" s="114"/>
      <c r="Y915" s="114"/>
      <c r="Z915" s="114"/>
      <c r="AA915" s="114"/>
      <c r="AB915" s="114"/>
      <c r="AC915" s="114"/>
      <c r="AD915" s="114"/>
      <c r="AE915" s="114"/>
      <c r="AF915" s="114"/>
      <c r="AG915" s="114"/>
      <c r="AH915" s="114"/>
    </row>
    <row r="916" spans="1:34" ht="24" customHeight="1" x14ac:dyDescent="0.6">
      <c r="A916" s="114"/>
      <c r="B916" s="114"/>
      <c r="C916" s="114"/>
      <c r="D916" s="114"/>
      <c r="E916" s="114"/>
      <c r="F916" s="115"/>
      <c r="G916" s="138"/>
      <c r="H916" s="114"/>
      <c r="I916" s="114"/>
      <c r="J916" s="114"/>
      <c r="K916" s="114"/>
      <c r="L916" s="114"/>
      <c r="M916" s="114"/>
      <c r="N916" s="114"/>
      <c r="O916" s="114"/>
      <c r="P916" s="114"/>
      <c r="Q916" s="114"/>
      <c r="R916" s="114"/>
      <c r="S916" s="114"/>
      <c r="T916" s="116"/>
      <c r="U916" s="116"/>
      <c r="V916" s="116"/>
      <c r="W916" s="209"/>
      <c r="X916" s="114"/>
      <c r="Y916" s="114"/>
      <c r="Z916" s="114"/>
      <c r="AA916" s="114"/>
      <c r="AB916" s="114"/>
      <c r="AC916" s="114"/>
      <c r="AD916" s="114"/>
      <c r="AE916" s="114"/>
      <c r="AF916" s="114"/>
      <c r="AG916" s="114"/>
      <c r="AH916" s="114"/>
    </row>
    <row r="917" spans="1:34" ht="24" customHeight="1" x14ac:dyDescent="0.6">
      <c r="A917" s="114"/>
      <c r="B917" s="114"/>
      <c r="C917" s="114"/>
      <c r="D917" s="114"/>
      <c r="E917" s="114"/>
      <c r="F917" s="115"/>
      <c r="G917" s="138"/>
      <c r="H917" s="114"/>
      <c r="I917" s="114"/>
      <c r="J917" s="114"/>
      <c r="K917" s="114"/>
      <c r="L917" s="114"/>
      <c r="M917" s="114"/>
      <c r="N917" s="114"/>
      <c r="O917" s="114"/>
      <c r="P917" s="114"/>
      <c r="Q917" s="114"/>
      <c r="R917" s="114"/>
      <c r="S917" s="114"/>
      <c r="T917" s="116"/>
      <c r="U917" s="116"/>
      <c r="V917" s="116"/>
      <c r="W917" s="209"/>
      <c r="X917" s="114"/>
      <c r="Y917" s="114"/>
      <c r="Z917" s="114"/>
      <c r="AA917" s="114"/>
      <c r="AB917" s="114"/>
      <c r="AC917" s="114"/>
      <c r="AD917" s="114"/>
      <c r="AE917" s="114"/>
      <c r="AF917" s="114"/>
      <c r="AG917" s="114"/>
      <c r="AH917" s="114"/>
    </row>
    <row r="918" spans="1:34" ht="24" customHeight="1" x14ac:dyDescent="0.6">
      <c r="A918" s="114"/>
      <c r="B918" s="114"/>
      <c r="C918" s="114"/>
      <c r="D918" s="114"/>
      <c r="E918" s="114"/>
      <c r="F918" s="115"/>
      <c r="G918" s="138"/>
      <c r="H918" s="114"/>
      <c r="I918" s="114"/>
      <c r="J918" s="114"/>
      <c r="K918" s="114"/>
      <c r="L918" s="114"/>
      <c r="M918" s="114"/>
      <c r="N918" s="114"/>
      <c r="O918" s="114"/>
      <c r="P918" s="114"/>
      <c r="Q918" s="114"/>
      <c r="R918" s="114"/>
      <c r="S918" s="114"/>
      <c r="T918" s="116"/>
      <c r="U918" s="116"/>
      <c r="V918" s="116"/>
      <c r="W918" s="209"/>
      <c r="X918" s="114"/>
      <c r="Y918" s="114"/>
      <c r="Z918" s="114"/>
      <c r="AA918" s="114"/>
      <c r="AB918" s="114"/>
      <c r="AC918" s="114"/>
      <c r="AD918" s="114"/>
      <c r="AE918" s="114"/>
      <c r="AF918" s="114"/>
      <c r="AG918" s="114"/>
      <c r="AH918" s="114"/>
    </row>
    <row r="919" spans="1:34" ht="24" customHeight="1" x14ac:dyDescent="0.6">
      <c r="A919" s="114"/>
      <c r="B919" s="114"/>
      <c r="C919" s="114"/>
      <c r="D919" s="114"/>
      <c r="E919" s="114"/>
      <c r="F919" s="115"/>
      <c r="G919" s="138"/>
      <c r="H919" s="114"/>
      <c r="I919" s="114"/>
      <c r="J919" s="114"/>
      <c r="K919" s="114"/>
      <c r="L919" s="114"/>
      <c r="M919" s="114"/>
      <c r="N919" s="114"/>
      <c r="O919" s="114"/>
      <c r="P919" s="114"/>
      <c r="Q919" s="114"/>
      <c r="R919" s="114"/>
      <c r="S919" s="114"/>
      <c r="T919" s="116"/>
      <c r="U919" s="116"/>
      <c r="V919" s="116"/>
      <c r="W919" s="209"/>
      <c r="X919" s="114"/>
      <c r="Y919" s="114"/>
      <c r="Z919" s="114"/>
      <c r="AA919" s="114"/>
      <c r="AB919" s="114"/>
      <c r="AC919" s="114"/>
      <c r="AD919" s="114"/>
      <c r="AE919" s="114"/>
      <c r="AF919" s="114"/>
      <c r="AG919" s="114"/>
      <c r="AH919" s="114"/>
    </row>
    <row r="920" spans="1:34" ht="24" customHeight="1" x14ac:dyDescent="0.6">
      <c r="A920" s="114"/>
      <c r="B920" s="114"/>
      <c r="C920" s="114"/>
      <c r="D920" s="114"/>
      <c r="E920" s="114"/>
      <c r="F920" s="115"/>
      <c r="G920" s="138"/>
      <c r="H920" s="114"/>
      <c r="I920" s="114"/>
      <c r="J920" s="114"/>
      <c r="K920" s="114"/>
      <c r="L920" s="114"/>
      <c r="M920" s="114"/>
      <c r="N920" s="114"/>
      <c r="O920" s="114"/>
      <c r="P920" s="114"/>
      <c r="Q920" s="114"/>
      <c r="R920" s="114"/>
      <c r="S920" s="114"/>
      <c r="T920" s="116"/>
      <c r="U920" s="116"/>
      <c r="V920" s="116"/>
      <c r="W920" s="209"/>
      <c r="X920" s="114"/>
      <c r="Y920" s="114"/>
      <c r="Z920" s="114"/>
      <c r="AA920" s="114"/>
      <c r="AB920" s="114"/>
      <c r="AC920" s="114"/>
      <c r="AD920" s="114"/>
      <c r="AE920" s="114"/>
      <c r="AF920" s="114"/>
      <c r="AG920" s="114"/>
      <c r="AH920" s="114"/>
    </row>
    <row r="921" spans="1:34" ht="24" customHeight="1" x14ac:dyDescent="0.6">
      <c r="A921" s="114"/>
      <c r="B921" s="114"/>
      <c r="C921" s="114"/>
      <c r="D921" s="114"/>
      <c r="E921" s="114"/>
      <c r="F921" s="115"/>
      <c r="G921" s="138"/>
      <c r="H921" s="114"/>
      <c r="I921" s="114"/>
      <c r="J921" s="114"/>
      <c r="K921" s="114"/>
      <c r="L921" s="114"/>
      <c r="M921" s="114"/>
      <c r="N921" s="114"/>
      <c r="O921" s="114"/>
      <c r="P921" s="114"/>
      <c r="Q921" s="114"/>
      <c r="R921" s="114"/>
      <c r="S921" s="114"/>
      <c r="T921" s="116"/>
      <c r="U921" s="116"/>
      <c r="V921" s="116"/>
      <c r="W921" s="209"/>
      <c r="X921" s="114"/>
      <c r="Y921" s="114"/>
      <c r="Z921" s="114"/>
      <c r="AA921" s="114"/>
      <c r="AB921" s="114"/>
      <c r="AC921" s="114"/>
      <c r="AD921" s="114"/>
      <c r="AE921" s="114"/>
      <c r="AF921" s="114"/>
      <c r="AG921" s="114"/>
      <c r="AH921" s="114"/>
    </row>
    <row r="922" spans="1:34" ht="24" customHeight="1" x14ac:dyDescent="0.6">
      <c r="A922" s="114"/>
      <c r="B922" s="114"/>
      <c r="C922" s="114"/>
      <c r="D922" s="114"/>
      <c r="E922" s="114"/>
      <c r="F922" s="115"/>
      <c r="G922" s="138"/>
      <c r="H922" s="114"/>
      <c r="I922" s="114"/>
      <c r="J922" s="114"/>
      <c r="K922" s="114"/>
      <c r="L922" s="114"/>
      <c r="M922" s="114"/>
      <c r="N922" s="114"/>
      <c r="O922" s="114"/>
      <c r="P922" s="114"/>
      <c r="Q922" s="114"/>
      <c r="R922" s="114"/>
      <c r="S922" s="114"/>
      <c r="T922" s="116"/>
      <c r="U922" s="116"/>
      <c r="V922" s="116"/>
      <c r="W922" s="209"/>
      <c r="X922" s="114"/>
      <c r="Y922" s="114"/>
      <c r="Z922" s="114"/>
      <c r="AA922" s="114"/>
      <c r="AB922" s="114"/>
      <c r="AC922" s="114"/>
      <c r="AD922" s="114"/>
      <c r="AE922" s="114"/>
      <c r="AF922" s="114"/>
      <c r="AG922" s="114"/>
      <c r="AH922" s="114"/>
    </row>
    <row r="923" spans="1:34" ht="24" customHeight="1" x14ac:dyDescent="0.6">
      <c r="A923" s="114"/>
      <c r="B923" s="114"/>
      <c r="C923" s="114"/>
      <c r="D923" s="114"/>
      <c r="E923" s="114"/>
      <c r="F923" s="115"/>
      <c r="G923" s="138"/>
      <c r="H923" s="114"/>
      <c r="I923" s="114"/>
      <c r="J923" s="114"/>
      <c r="K923" s="114"/>
      <c r="L923" s="114"/>
      <c r="M923" s="114"/>
      <c r="N923" s="114"/>
      <c r="O923" s="114"/>
      <c r="P923" s="114"/>
      <c r="Q923" s="114"/>
      <c r="R923" s="114"/>
      <c r="S923" s="114"/>
      <c r="T923" s="116"/>
      <c r="U923" s="116"/>
      <c r="V923" s="116"/>
      <c r="W923" s="209"/>
      <c r="X923" s="114"/>
      <c r="Y923" s="114"/>
      <c r="Z923" s="114"/>
      <c r="AA923" s="114"/>
      <c r="AB923" s="114"/>
      <c r="AC923" s="114"/>
      <c r="AD923" s="114"/>
      <c r="AE923" s="114"/>
      <c r="AF923" s="114"/>
      <c r="AG923" s="114"/>
      <c r="AH923" s="114"/>
    </row>
    <row r="924" spans="1:34" ht="24" customHeight="1" x14ac:dyDescent="0.6">
      <c r="A924" s="114"/>
      <c r="B924" s="114"/>
      <c r="C924" s="114"/>
      <c r="D924" s="114"/>
      <c r="E924" s="114"/>
      <c r="F924" s="115"/>
      <c r="G924" s="138"/>
      <c r="H924" s="114"/>
      <c r="I924" s="114"/>
      <c r="J924" s="114"/>
      <c r="K924" s="114"/>
      <c r="L924" s="114"/>
      <c r="M924" s="114"/>
      <c r="N924" s="114"/>
      <c r="O924" s="114"/>
      <c r="P924" s="114"/>
      <c r="Q924" s="114"/>
      <c r="R924" s="114"/>
      <c r="S924" s="114"/>
      <c r="T924" s="116"/>
      <c r="U924" s="116"/>
      <c r="V924" s="116"/>
      <c r="W924" s="209"/>
      <c r="X924" s="114"/>
      <c r="Y924" s="114"/>
      <c r="Z924" s="114"/>
      <c r="AA924" s="114"/>
      <c r="AB924" s="114"/>
      <c r="AC924" s="114"/>
      <c r="AD924" s="114"/>
      <c r="AE924" s="114"/>
      <c r="AF924" s="114"/>
      <c r="AG924" s="114"/>
      <c r="AH924" s="114"/>
    </row>
    <row r="925" spans="1:34" ht="24" customHeight="1" x14ac:dyDescent="0.6">
      <c r="A925" s="114"/>
      <c r="B925" s="114"/>
      <c r="C925" s="114"/>
      <c r="D925" s="114"/>
      <c r="E925" s="114"/>
      <c r="F925" s="115"/>
      <c r="G925" s="138"/>
      <c r="H925" s="114"/>
      <c r="I925" s="114"/>
      <c r="J925" s="114"/>
      <c r="K925" s="114"/>
      <c r="L925" s="114"/>
      <c r="M925" s="114"/>
      <c r="N925" s="114"/>
      <c r="O925" s="114"/>
      <c r="P925" s="114"/>
      <c r="Q925" s="114"/>
      <c r="R925" s="114"/>
      <c r="S925" s="114"/>
      <c r="T925" s="116"/>
      <c r="U925" s="116"/>
      <c r="V925" s="116"/>
      <c r="W925" s="209"/>
      <c r="X925" s="114"/>
      <c r="Y925" s="114"/>
      <c r="Z925" s="114"/>
      <c r="AA925" s="114"/>
      <c r="AB925" s="114"/>
      <c r="AC925" s="114"/>
      <c r="AD925" s="114"/>
      <c r="AE925" s="114"/>
      <c r="AF925" s="114"/>
      <c r="AG925" s="114"/>
      <c r="AH925" s="114"/>
    </row>
    <row r="926" spans="1:34" ht="24" customHeight="1" x14ac:dyDescent="0.6">
      <c r="A926" s="114"/>
      <c r="B926" s="114"/>
      <c r="C926" s="114"/>
      <c r="D926" s="114"/>
      <c r="E926" s="114"/>
      <c r="F926" s="115"/>
      <c r="G926" s="138"/>
      <c r="H926" s="114"/>
      <c r="I926" s="114"/>
      <c r="J926" s="114"/>
      <c r="K926" s="114"/>
      <c r="L926" s="114"/>
      <c r="M926" s="114"/>
      <c r="N926" s="114"/>
      <c r="O926" s="114"/>
      <c r="P926" s="114"/>
      <c r="Q926" s="114"/>
      <c r="R926" s="114"/>
      <c r="S926" s="114"/>
      <c r="T926" s="116"/>
      <c r="U926" s="116"/>
      <c r="V926" s="116"/>
      <c r="W926" s="209"/>
      <c r="X926" s="114"/>
      <c r="Y926" s="114"/>
      <c r="Z926" s="114"/>
      <c r="AA926" s="114"/>
      <c r="AB926" s="114"/>
      <c r="AC926" s="114"/>
      <c r="AD926" s="114"/>
      <c r="AE926" s="114"/>
      <c r="AF926" s="114"/>
      <c r="AG926" s="114"/>
      <c r="AH926" s="114"/>
    </row>
    <row r="927" spans="1:34" ht="24" customHeight="1" x14ac:dyDescent="0.6">
      <c r="A927" s="114"/>
      <c r="B927" s="114"/>
      <c r="C927" s="114"/>
      <c r="D927" s="114"/>
      <c r="E927" s="114"/>
      <c r="F927" s="115"/>
      <c r="G927" s="138"/>
      <c r="H927" s="114"/>
      <c r="I927" s="114"/>
      <c r="J927" s="114"/>
      <c r="K927" s="114"/>
      <c r="L927" s="114"/>
      <c r="M927" s="114"/>
      <c r="N927" s="114"/>
      <c r="O927" s="114"/>
      <c r="P927" s="114"/>
      <c r="Q927" s="114"/>
      <c r="R927" s="114"/>
      <c r="S927" s="114"/>
      <c r="T927" s="116"/>
      <c r="U927" s="116"/>
      <c r="V927" s="116"/>
      <c r="W927" s="209"/>
      <c r="X927" s="114"/>
      <c r="Y927" s="114"/>
      <c r="Z927" s="114"/>
      <c r="AA927" s="114"/>
      <c r="AB927" s="114"/>
      <c r="AC927" s="114"/>
      <c r="AD927" s="114"/>
      <c r="AE927" s="114"/>
      <c r="AF927" s="114"/>
      <c r="AG927" s="114"/>
      <c r="AH927" s="114"/>
    </row>
    <row r="928" spans="1:34" ht="24" customHeight="1" x14ac:dyDescent="0.6">
      <c r="A928" s="114"/>
      <c r="B928" s="114"/>
      <c r="C928" s="114"/>
      <c r="D928" s="114"/>
      <c r="E928" s="114"/>
      <c r="F928" s="115"/>
      <c r="G928" s="138"/>
      <c r="H928" s="114"/>
      <c r="I928" s="114"/>
      <c r="J928" s="114"/>
      <c r="K928" s="114"/>
      <c r="L928" s="114"/>
      <c r="M928" s="114"/>
      <c r="N928" s="114"/>
      <c r="O928" s="114"/>
      <c r="P928" s="114"/>
      <c r="Q928" s="114"/>
      <c r="R928" s="114"/>
      <c r="S928" s="114"/>
      <c r="T928" s="116"/>
      <c r="U928" s="116"/>
      <c r="V928" s="116"/>
      <c r="W928" s="209"/>
      <c r="X928" s="114"/>
      <c r="Y928" s="114"/>
      <c r="Z928" s="114"/>
      <c r="AA928" s="114"/>
      <c r="AB928" s="114"/>
      <c r="AC928" s="114"/>
      <c r="AD928" s="114"/>
      <c r="AE928" s="114"/>
      <c r="AF928" s="114"/>
      <c r="AG928" s="114"/>
      <c r="AH928" s="114"/>
    </row>
    <row r="929" spans="1:34" ht="24" customHeight="1" x14ac:dyDescent="0.6">
      <c r="A929" s="114"/>
      <c r="B929" s="114"/>
      <c r="C929" s="114"/>
      <c r="D929" s="114"/>
      <c r="E929" s="114"/>
      <c r="F929" s="115"/>
      <c r="G929" s="138"/>
      <c r="H929" s="114"/>
      <c r="I929" s="114"/>
      <c r="J929" s="114"/>
      <c r="K929" s="114"/>
      <c r="L929" s="114"/>
      <c r="M929" s="114"/>
      <c r="N929" s="114"/>
      <c r="O929" s="114"/>
      <c r="P929" s="114"/>
      <c r="Q929" s="114"/>
      <c r="R929" s="114"/>
      <c r="S929" s="114"/>
      <c r="T929" s="116"/>
      <c r="U929" s="116"/>
      <c r="V929" s="116"/>
      <c r="W929" s="209"/>
      <c r="X929" s="114"/>
      <c r="Y929" s="114"/>
      <c r="Z929" s="114"/>
      <c r="AA929" s="114"/>
      <c r="AB929" s="114"/>
      <c r="AC929" s="114"/>
      <c r="AD929" s="114"/>
      <c r="AE929" s="114"/>
      <c r="AF929" s="114"/>
      <c r="AG929" s="114"/>
      <c r="AH929" s="114"/>
    </row>
    <row r="930" spans="1:34" ht="24" customHeight="1" x14ac:dyDescent="0.6">
      <c r="A930" s="114"/>
      <c r="B930" s="114"/>
      <c r="C930" s="114"/>
      <c r="D930" s="114"/>
      <c r="E930" s="114"/>
      <c r="F930" s="115"/>
      <c r="G930" s="138"/>
      <c r="H930" s="114"/>
      <c r="I930" s="114"/>
      <c r="J930" s="114"/>
      <c r="K930" s="114"/>
      <c r="L930" s="114"/>
      <c r="M930" s="114"/>
      <c r="N930" s="114"/>
      <c r="O930" s="114"/>
      <c r="P930" s="114"/>
      <c r="Q930" s="114"/>
      <c r="R930" s="114"/>
      <c r="S930" s="114"/>
      <c r="T930" s="116"/>
      <c r="U930" s="116"/>
      <c r="V930" s="116"/>
      <c r="W930" s="209"/>
      <c r="X930" s="114"/>
      <c r="Y930" s="114"/>
      <c r="Z930" s="114"/>
      <c r="AA930" s="114"/>
      <c r="AB930" s="114"/>
      <c r="AC930" s="114"/>
      <c r="AD930" s="114"/>
      <c r="AE930" s="114"/>
      <c r="AF930" s="114"/>
      <c r="AG930" s="114"/>
      <c r="AH930" s="114"/>
    </row>
    <row r="931" spans="1:34" ht="24" customHeight="1" x14ac:dyDescent="0.6">
      <c r="A931" s="114"/>
      <c r="B931" s="114"/>
      <c r="C931" s="114"/>
      <c r="D931" s="114"/>
      <c r="E931" s="114"/>
      <c r="F931" s="115"/>
      <c r="G931" s="138"/>
      <c r="H931" s="114"/>
      <c r="I931" s="114"/>
      <c r="J931" s="114"/>
      <c r="K931" s="114"/>
      <c r="L931" s="114"/>
      <c r="M931" s="114"/>
      <c r="N931" s="114"/>
      <c r="O931" s="114"/>
      <c r="P931" s="114"/>
      <c r="Q931" s="114"/>
      <c r="R931" s="114"/>
      <c r="S931" s="114"/>
      <c r="T931" s="116"/>
      <c r="U931" s="116"/>
      <c r="V931" s="116"/>
      <c r="W931" s="209"/>
      <c r="X931" s="114"/>
      <c r="Y931" s="114"/>
      <c r="Z931" s="114"/>
      <c r="AA931" s="114"/>
      <c r="AB931" s="114"/>
      <c r="AC931" s="114"/>
      <c r="AD931" s="114"/>
      <c r="AE931" s="114"/>
      <c r="AF931" s="114"/>
      <c r="AG931" s="114"/>
      <c r="AH931" s="114"/>
    </row>
    <row r="932" spans="1:34" ht="24" customHeight="1" x14ac:dyDescent="0.6">
      <c r="A932" s="114"/>
      <c r="B932" s="114"/>
      <c r="C932" s="114"/>
      <c r="D932" s="114"/>
      <c r="E932" s="114"/>
      <c r="F932" s="115"/>
      <c r="G932" s="138"/>
      <c r="H932" s="114"/>
      <c r="I932" s="114"/>
      <c r="J932" s="114"/>
      <c r="K932" s="114"/>
      <c r="L932" s="114"/>
      <c r="M932" s="114"/>
      <c r="N932" s="114"/>
      <c r="O932" s="114"/>
      <c r="P932" s="114"/>
      <c r="Q932" s="114"/>
      <c r="R932" s="114"/>
      <c r="S932" s="114"/>
      <c r="T932" s="116"/>
      <c r="U932" s="116"/>
      <c r="V932" s="116"/>
      <c r="W932" s="209"/>
      <c r="X932" s="114"/>
      <c r="Y932" s="114"/>
      <c r="Z932" s="114"/>
      <c r="AA932" s="114"/>
      <c r="AB932" s="114"/>
      <c r="AC932" s="114"/>
      <c r="AD932" s="114"/>
      <c r="AE932" s="114"/>
      <c r="AF932" s="114"/>
      <c r="AG932" s="114"/>
      <c r="AH932" s="114"/>
    </row>
    <row r="933" spans="1:34" ht="24" customHeight="1" x14ac:dyDescent="0.6">
      <c r="A933" s="114"/>
      <c r="B933" s="114"/>
      <c r="C933" s="114"/>
      <c r="D933" s="114"/>
      <c r="E933" s="114"/>
      <c r="F933" s="115"/>
      <c r="G933" s="138"/>
      <c r="H933" s="114"/>
      <c r="I933" s="114"/>
      <c r="J933" s="114"/>
      <c r="K933" s="114"/>
      <c r="L933" s="114"/>
      <c r="M933" s="114"/>
      <c r="N933" s="114"/>
      <c r="O933" s="114"/>
      <c r="P933" s="114"/>
      <c r="Q933" s="114"/>
      <c r="R933" s="114"/>
      <c r="S933" s="114"/>
      <c r="T933" s="116"/>
      <c r="U933" s="116"/>
      <c r="V933" s="116"/>
      <c r="W933" s="209"/>
      <c r="X933" s="114"/>
      <c r="Y933" s="114"/>
      <c r="Z933" s="114"/>
      <c r="AA933" s="114"/>
      <c r="AB933" s="114"/>
      <c r="AC933" s="114"/>
      <c r="AD933" s="114"/>
      <c r="AE933" s="114"/>
      <c r="AF933" s="114"/>
      <c r="AG933" s="114"/>
      <c r="AH933" s="114"/>
    </row>
    <row r="934" spans="1:34" ht="24" customHeight="1" x14ac:dyDescent="0.6">
      <c r="A934" s="114"/>
      <c r="B934" s="114"/>
      <c r="C934" s="114"/>
      <c r="D934" s="114"/>
      <c r="E934" s="114"/>
      <c r="F934" s="115"/>
      <c r="G934" s="138"/>
      <c r="H934" s="114"/>
      <c r="I934" s="114"/>
      <c r="J934" s="114"/>
      <c r="K934" s="114"/>
      <c r="L934" s="114"/>
      <c r="M934" s="114"/>
      <c r="N934" s="114"/>
      <c r="O934" s="114"/>
      <c r="P934" s="114"/>
      <c r="Q934" s="114"/>
      <c r="R934" s="114"/>
      <c r="S934" s="114"/>
      <c r="T934" s="116"/>
      <c r="U934" s="116"/>
      <c r="V934" s="116"/>
      <c r="W934" s="209"/>
      <c r="X934" s="114"/>
      <c r="Y934" s="114"/>
      <c r="Z934" s="114"/>
      <c r="AA934" s="114"/>
      <c r="AB934" s="114"/>
      <c r="AC934" s="114"/>
      <c r="AD934" s="114"/>
      <c r="AE934" s="114"/>
      <c r="AF934" s="114"/>
      <c r="AG934" s="114"/>
      <c r="AH934" s="114"/>
    </row>
    <row r="935" spans="1:34" ht="24" customHeight="1" x14ac:dyDescent="0.6">
      <c r="A935" s="114"/>
      <c r="B935" s="114"/>
      <c r="C935" s="114"/>
      <c r="D935" s="114"/>
      <c r="E935" s="114"/>
      <c r="F935" s="115"/>
      <c r="G935" s="138"/>
      <c r="H935" s="114"/>
      <c r="I935" s="114"/>
      <c r="J935" s="114"/>
      <c r="K935" s="114"/>
      <c r="L935" s="114"/>
      <c r="M935" s="114"/>
      <c r="N935" s="114"/>
      <c r="O935" s="114"/>
      <c r="P935" s="114"/>
      <c r="Q935" s="114"/>
      <c r="R935" s="114"/>
      <c r="S935" s="114"/>
      <c r="T935" s="116"/>
      <c r="U935" s="116"/>
      <c r="V935" s="116"/>
      <c r="W935" s="209"/>
      <c r="X935" s="114"/>
      <c r="Y935" s="114"/>
      <c r="Z935" s="114"/>
      <c r="AA935" s="114"/>
      <c r="AB935" s="114"/>
      <c r="AC935" s="114"/>
      <c r="AD935" s="114"/>
      <c r="AE935" s="114"/>
      <c r="AF935" s="114"/>
      <c r="AG935" s="114"/>
      <c r="AH935" s="114"/>
    </row>
    <row r="936" spans="1:34" ht="24" customHeight="1" x14ac:dyDescent="0.6">
      <c r="A936" s="114"/>
      <c r="B936" s="114"/>
      <c r="C936" s="114"/>
      <c r="D936" s="114"/>
      <c r="E936" s="114"/>
      <c r="F936" s="115"/>
      <c r="G936" s="138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114"/>
      <c r="S936" s="114"/>
      <c r="T936" s="116"/>
      <c r="U936" s="116"/>
      <c r="V936" s="116"/>
      <c r="W936" s="209"/>
      <c r="X936" s="114"/>
      <c r="Y936" s="114"/>
      <c r="Z936" s="114"/>
      <c r="AA936" s="114"/>
      <c r="AB936" s="114"/>
      <c r="AC936" s="114"/>
      <c r="AD936" s="114"/>
      <c r="AE936" s="114"/>
      <c r="AF936" s="114"/>
      <c r="AG936" s="114"/>
      <c r="AH936" s="114"/>
    </row>
    <row r="937" spans="1:34" ht="24" customHeight="1" x14ac:dyDescent="0.6">
      <c r="A937" s="114"/>
      <c r="B937" s="114"/>
      <c r="C937" s="114"/>
      <c r="D937" s="114"/>
      <c r="E937" s="114"/>
      <c r="F937" s="115"/>
      <c r="G937" s="138"/>
      <c r="H937" s="114"/>
      <c r="I937" s="114"/>
      <c r="J937" s="114"/>
      <c r="K937" s="114"/>
      <c r="L937" s="114"/>
      <c r="M937" s="114"/>
      <c r="N937" s="114"/>
      <c r="O937" s="114"/>
      <c r="P937" s="114"/>
      <c r="Q937" s="114"/>
      <c r="R937" s="114"/>
      <c r="S937" s="114"/>
      <c r="T937" s="116"/>
      <c r="U937" s="116"/>
      <c r="V937" s="116"/>
      <c r="W937" s="209"/>
      <c r="X937" s="114"/>
      <c r="Y937" s="114"/>
      <c r="Z937" s="114"/>
      <c r="AA937" s="114"/>
      <c r="AB937" s="114"/>
      <c r="AC937" s="114"/>
      <c r="AD937" s="114"/>
      <c r="AE937" s="114"/>
      <c r="AF937" s="114"/>
      <c r="AG937" s="114"/>
      <c r="AH937" s="114"/>
    </row>
    <row r="938" spans="1:34" ht="24" customHeight="1" x14ac:dyDescent="0.6">
      <c r="A938" s="114"/>
      <c r="B938" s="114"/>
      <c r="C938" s="114"/>
      <c r="D938" s="114"/>
      <c r="E938" s="114"/>
      <c r="F938" s="115"/>
      <c r="G938" s="138"/>
      <c r="H938" s="114"/>
      <c r="I938" s="114"/>
      <c r="J938" s="114"/>
      <c r="K938" s="114"/>
      <c r="L938" s="114"/>
      <c r="M938" s="114"/>
      <c r="N938" s="114"/>
      <c r="O938" s="114"/>
      <c r="P938" s="114"/>
      <c r="Q938" s="114"/>
      <c r="R938" s="114"/>
      <c r="S938" s="114"/>
      <c r="T938" s="116"/>
      <c r="U938" s="116"/>
      <c r="V938" s="116"/>
      <c r="W938" s="209"/>
      <c r="X938" s="114"/>
      <c r="Y938" s="114"/>
      <c r="Z938" s="114"/>
      <c r="AA938" s="114"/>
      <c r="AB938" s="114"/>
      <c r="AC938" s="114"/>
      <c r="AD938" s="114"/>
      <c r="AE938" s="114"/>
      <c r="AF938" s="114"/>
      <c r="AG938" s="114"/>
      <c r="AH938" s="114"/>
    </row>
    <row r="939" spans="1:34" ht="24" customHeight="1" x14ac:dyDescent="0.6">
      <c r="A939" s="114"/>
      <c r="B939" s="114"/>
      <c r="C939" s="114"/>
      <c r="D939" s="114"/>
      <c r="E939" s="114"/>
      <c r="F939" s="115"/>
      <c r="G939" s="138"/>
      <c r="H939" s="114"/>
      <c r="I939" s="114"/>
      <c r="J939" s="114"/>
      <c r="K939" s="114"/>
      <c r="L939" s="114"/>
      <c r="M939" s="114"/>
      <c r="N939" s="114"/>
      <c r="O939" s="114"/>
      <c r="P939" s="114"/>
      <c r="Q939" s="114"/>
      <c r="R939" s="114"/>
      <c r="S939" s="114"/>
      <c r="T939" s="116"/>
      <c r="U939" s="116"/>
      <c r="V939" s="116"/>
      <c r="W939" s="209"/>
      <c r="X939" s="114"/>
      <c r="Y939" s="114"/>
      <c r="Z939" s="114"/>
      <c r="AA939" s="114"/>
      <c r="AB939" s="114"/>
      <c r="AC939" s="114"/>
      <c r="AD939" s="114"/>
      <c r="AE939" s="114"/>
      <c r="AF939" s="114"/>
      <c r="AG939" s="114"/>
      <c r="AH939" s="114"/>
    </row>
    <row r="940" spans="1:34" ht="24" customHeight="1" x14ac:dyDescent="0.6">
      <c r="A940" s="114"/>
      <c r="B940" s="114"/>
      <c r="C940" s="114"/>
      <c r="D940" s="114"/>
      <c r="E940" s="114"/>
      <c r="F940" s="115"/>
      <c r="G940" s="138"/>
      <c r="H940" s="114"/>
      <c r="I940" s="114"/>
      <c r="J940" s="114"/>
      <c r="K940" s="114"/>
      <c r="L940" s="114"/>
      <c r="M940" s="114"/>
      <c r="N940" s="114"/>
      <c r="O940" s="114"/>
      <c r="P940" s="114"/>
      <c r="Q940" s="114"/>
      <c r="R940" s="114"/>
      <c r="S940" s="114"/>
      <c r="T940" s="116"/>
      <c r="U940" s="116"/>
      <c r="V940" s="116"/>
      <c r="W940" s="209"/>
      <c r="X940" s="114"/>
      <c r="Y940" s="114"/>
      <c r="Z940" s="114"/>
      <c r="AA940" s="114"/>
      <c r="AB940" s="114"/>
      <c r="AC940" s="114"/>
      <c r="AD940" s="114"/>
      <c r="AE940" s="114"/>
      <c r="AF940" s="114"/>
      <c r="AG940" s="114"/>
      <c r="AH940" s="114"/>
    </row>
    <row r="941" spans="1:34" ht="24" customHeight="1" x14ac:dyDescent="0.6">
      <c r="A941" s="114"/>
      <c r="B941" s="114"/>
      <c r="C941" s="114"/>
      <c r="D941" s="114"/>
      <c r="E941" s="114"/>
      <c r="F941" s="115"/>
      <c r="G941" s="138"/>
      <c r="H941" s="114"/>
      <c r="I941" s="114"/>
      <c r="J941" s="114"/>
      <c r="K941" s="114"/>
      <c r="L941" s="114"/>
      <c r="M941" s="114"/>
      <c r="N941" s="114"/>
      <c r="O941" s="114"/>
      <c r="P941" s="114"/>
      <c r="Q941" s="114"/>
      <c r="R941" s="114"/>
      <c r="S941" s="114"/>
      <c r="T941" s="116"/>
      <c r="U941" s="116"/>
      <c r="V941" s="116"/>
      <c r="W941" s="209"/>
      <c r="X941" s="114"/>
      <c r="Y941" s="114"/>
      <c r="Z941" s="114"/>
      <c r="AA941" s="114"/>
      <c r="AB941" s="114"/>
      <c r="AC941" s="114"/>
      <c r="AD941" s="114"/>
      <c r="AE941" s="114"/>
      <c r="AF941" s="114"/>
      <c r="AG941" s="114"/>
      <c r="AH941" s="114"/>
    </row>
    <row r="942" spans="1:34" ht="24" customHeight="1" x14ac:dyDescent="0.6">
      <c r="A942" s="114"/>
      <c r="B942" s="114"/>
      <c r="C942" s="114"/>
      <c r="D942" s="114"/>
      <c r="E942" s="114"/>
      <c r="F942" s="115"/>
      <c r="G942" s="138"/>
      <c r="H942" s="114"/>
      <c r="I942" s="114"/>
      <c r="J942" s="114"/>
      <c r="K942" s="114"/>
      <c r="L942" s="114"/>
      <c r="M942" s="114"/>
      <c r="N942" s="114"/>
      <c r="O942" s="114"/>
      <c r="P942" s="114"/>
      <c r="Q942" s="114"/>
      <c r="R942" s="114"/>
      <c r="S942" s="114"/>
      <c r="T942" s="116"/>
      <c r="U942" s="116"/>
      <c r="V942" s="116"/>
      <c r="W942" s="209"/>
      <c r="X942" s="114"/>
      <c r="Y942" s="114"/>
      <c r="Z942" s="114"/>
      <c r="AA942" s="114"/>
      <c r="AB942" s="114"/>
      <c r="AC942" s="114"/>
      <c r="AD942" s="114"/>
      <c r="AE942" s="114"/>
      <c r="AF942" s="114"/>
      <c r="AG942" s="114"/>
      <c r="AH942" s="114"/>
    </row>
    <row r="943" spans="1:34" ht="24" customHeight="1" x14ac:dyDescent="0.6">
      <c r="A943" s="114"/>
      <c r="B943" s="114"/>
      <c r="C943" s="114"/>
      <c r="D943" s="114"/>
      <c r="E943" s="114"/>
      <c r="F943" s="115"/>
      <c r="G943" s="138"/>
      <c r="H943" s="114"/>
      <c r="I943" s="114"/>
      <c r="J943" s="114"/>
      <c r="K943" s="114"/>
      <c r="L943" s="114"/>
      <c r="M943" s="114"/>
      <c r="N943" s="114"/>
      <c r="O943" s="114"/>
      <c r="P943" s="114"/>
      <c r="Q943" s="114"/>
      <c r="R943" s="114"/>
      <c r="S943" s="114"/>
      <c r="T943" s="116"/>
      <c r="U943" s="116"/>
      <c r="V943" s="116"/>
      <c r="W943" s="209"/>
      <c r="X943" s="114"/>
      <c r="Y943" s="114"/>
      <c r="Z943" s="114"/>
      <c r="AA943" s="114"/>
      <c r="AB943" s="114"/>
      <c r="AC943" s="114"/>
      <c r="AD943" s="114"/>
      <c r="AE943" s="114"/>
      <c r="AF943" s="114"/>
      <c r="AG943" s="114"/>
      <c r="AH943" s="114"/>
    </row>
    <row r="944" spans="1:34" ht="24" customHeight="1" x14ac:dyDescent="0.6">
      <c r="A944" s="114"/>
      <c r="B944" s="114"/>
      <c r="C944" s="114"/>
      <c r="D944" s="114"/>
      <c r="E944" s="114"/>
      <c r="F944" s="115"/>
      <c r="G944" s="138"/>
      <c r="H944" s="114"/>
      <c r="I944" s="114"/>
      <c r="J944" s="114"/>
      <c r="K944" s="114"/>
      <c r="L944" s="114"/>
      <c r="M944" s="114"/>
      <c r="N944" s="114"/>
      <c r="O944" s="114"/>
      <c r="P944" s="114"/>
      <c r="Q944" s="114"/>
      <c r="R944" s="114"/>
      <c r="S944" s="114"/>
      <c r="T944" s="116"/>
      <c r="U944" s="116"/>
      <c r="V944" s="116"/>
      <c r="W944" s="209"/>
      <c r="X944" s="114"/>
      <c r="Y944" s="114"/>
      <c r="Z944" s="114"/>
      <c r="AA944" s="114"/>
      <c r="AB944" s="114"/>
      <c r="AC944" s="114"/>
      <c r="AD944" s="114"/>
      <c r="AE944" s="114"/>
      <c r="AF944" s="114"/>
      <c r="AG944" s="114"/>
      <c r="AH944" s="114"/>
    </row>
    <row r="945" spans="1:34" ht="24" customHeight="1" x14ac:dyDescent="0.6">
      <c r="A945" s="114"/>
      <c r="B945" s="114"/>
      <c r="C945" s="114"/>
      <c r="D945" s="114"/>
      <c r="E945" s="114"/>
      <c r="F945" s="115"/>
      <c r="G945" s="138"/>
      <c r="H945" s="114"/>
      <c r="I945" s="114"/>
      <c r="J945" s="114"/>
      <c r="K945" s="114"/>
      <c r="L945" s="114"/>
      <c r="M945" s="114"/>
      <c r="N945" s="114"/>
      <c r="O945" s="114"/>
      <c r="P945" s="114"/>
      <c r="Q945" s="114"/>
      <c r="R945" s="114"/>
      <c r="S945" s="114"/>
      <c r="T945" s="116"/>
      <c r="U945" s="116"/>
      <c r="V945" s="116"/>
      <c r="W945" s="209"/>
      <c r="X945" s="114"/>
      <c r="Y945" s="114"/>
      <c r="Z945" s="114"/>
      <c r="AA945" s="114"/>
      <c r="AB945" s="114"/>
      <c r="AC945" s="114"/>
      <c r="AD945" s="114"/>
      <c r="AE945" s="114"/>
      <c r="AF945" s="114"/>
      <c r="AG945" s="114"/>
      <c r="AH945" s="114"/>
    </row>
    <row r="946" spans="1:34" ht="24" customHeight="1" x14ac:dyDescent="0.6">
      <c r="A946" s="114"/>
      <c r="B946" s="114"/>
      <c r="C946" s="114"/>
      <c r="D946" s="114"/>
      <c r="E946" s="114"/>
      <c r="F946" s="115"/>
      <c r="G946" s="138"/>
      <c r="H946" s="114"/>
      <c r="I946" s="114"/>
      <c r="J946" s="114"/>
      <c r="K946" s="114"/>
      <c r="L946" s="114"/>
      <c r="M946" s="114"/>
      <c r="N946" s="114"/>
      <c r="O946" s="114"/>
      <c r="P946" s="114"/>
      <c r="Q946" s="114"/>
      <c r="R946" s="114"/>
      <c r="S946" s="114"/>
      <c r="T946" s="116"/>
      <c r="U946" s="116"/>
      <c r="V946" s="116"/>
      <c r="W946" s="209"/>
      <c r="X946" s="114"/>
      <c r="Y946" s="114"/>
      <c r="Z946" s="114"/>
      <c r="AA946" s="114"/>
      <c r="AB946" s="114"/>
      <c r="AC946" s="114"/>
      <c r="AD946" s="114"/>
      <c r="AE946" s="114"/>
      <c r="AF946" s="114"/>
      <c r="AG946" s="114"/>
      <c r="AH946" s="114"/>
    </row>
    <row r="947" spans="1:34" ht="24" customHeight="1" x14ac:dyDescent="0.6">
      <c r="A947" s="114"/>
      <c r="B947" s="114"/>
      <c r="C947" s="114"/>
      <c r="D947" s="114"/>
      <c r="E947" s="114"/>
      <c r="F947" s="115"/>
      <c r="G947" s="138"/>
      <c r="H947" s="114"/>
      <c r="I947" s="114"/>
      <c r="J947" s="114"/>
      <c r="K947" s="114"/>
      <c r="L947" s="114"/>
      <c r="M947" s="114"/>
      <c r="N947" s="114"/>
      <c r="O947" s="114"/>
      <c r="P947" s="114"/>
      <c r="Q947" s="114"/>
      <c r="R947" s="114"/>
      <c r="S947" s="114"/>
      <c r="T947" s="116"/>
      <c r="U947" s="116"/>
      <c r="V947" s="116"/>
      <c r="W947" s="209"/>
      <c r="X947" s="114"/>
      <c r="Y947" s="114"/>
      <c r="Z947" s="114"/>
      <c r="AA947" s="114"/>
      <c r="AB947" s="114"/>
      <c r="AC947" s="114"/>
      <c r="AD947" s="114"/>
      <c r="AE947" s="114"/>
      <c r="AF947" s="114"/>
      <c r="AG947" s="114"/>
      <c r="AH947" s="114"/>
    </row>
    <row r="948" spans="1:34" ht="24" customHeight="1" x14ac:dyDescent="0.6">
      <c r="A948" s="114"/>
      <c r="B948" s="114"/>
      <c r="C948" s="114"/>
      <c r="D948" s="114"/>
      <c r="E948" s="114"/>
      <c r="F948" s="115"/>
      <c r="G948" s="138"/>
      <c r="H948" s="114"/>
      <c r="I948" s="114"/>
      <c r="J948" s="114"/>
      <c r="K948" s="114"/>
      <c r="L948" s="114"/>
      <c r="M948" s="114"/>
      <c r="N948" s="114"/>
      <c r="O948" s="114"/>
      <c r="P948" s="114"/>
      <c r="Q948" s="114"/>
      <c r="R948" s="114"/>
      <c r="S948" s="114"/>
      <c r="T948" s="116"/>
      <c r="U948" s="116"/>
      <c r="V948" s="116"/>
      <c r="W948" s="209"/>
      <c r="X948" s="114"/>
      <c r="Y948" s="114"/>
      <c r="Z948" s="114"/>
      <c r="AA948" s="114"/>
      <c r="AB948" s="114"/>
      <c r="AC948" s="114"/>
      <c r="AD948" s="114"/>
      <c r="AE948" s="114"/>
      <c r="AF948" s="114"/>
      <c r="AG948" s="114"/>
      <c r="AH948" s="114"/>
    </row>
    <row r="949" spans="1:34" ht="24" customHeight="1" x14ac:dyDescent="0.6">
      <c r="A949" s="114"/>
      <c r="B949" s="114"/>
      <c r="C949" s="114"/>
      <c r="D949" s="114"/>
      <c r="E949" s="114"/>
      <c r="F949" s="115"/>
      <c r="G949" s="138"/>
      <c r="H949" s="114"/>
      <c r="I949" s="114"/>
      <c r="J949" s="114"/>
      <c r="K949" s="114"/>
      <c r="L949" s="114"/>
      <c r="M949" s="114"/>
      <c r="N949" s="114"/>
      <c r="O949" s="114"/>
      <c r="P949" s="114"/>
      <c r="Q949" s="114"/>
      <c r="R949" s="114"/>
      <c r="S949" s="114"/>
      <c r="T949" s="116"/>
      <c r="U949" s="116"/>
      <c r="V949" s="116"/>
      <c r="W949" s="209"/>
      <c r="X949" s="114"/>
      <c r="Y949" s="114"/>
      <c r="Z949" s="114"/>
      <c r="AA949" s="114"/>
      <c r="AB949" s="114"/>
      <c r="AC949" s="114"/>
      <c r="AD949" s="114"/>
      <c r="AE949" s="114"/>
      <c r="AF949" s="114"/>
      <c r="AG949" s="114"/>
      <c r="AH949" s="114"/>
    </row>
    <row r="950" spans="1:34" ht="24" customHeight="1" x14ac:dyDescent="0.6">
      <c r="A950" s="114"/>
      <c r="B950" s="114"/>
      <c r="C950" s="114"/>
      <c r="D950" s="114"/>
      <c r="E950" s="114"/>
      <c r="F950" s="115"/>
      <c r="G950" s="138"/>
      <c r="H950" s="114"/>
      <c r="I950" s="114"/>
      <c r="J950" s="114"/>
      <c r="K950" s="114"/>
      <c r="L950" s="114"/>
      <c r="M950" s="114"/>
      <c r="N950" s="114"/>
      <c r="O950" s="114"/>
      <c r="P950" s="114"/>
      <c r="Q950" s="114"/>
      <c r="R950" s="114"/>
      <c r="S950" s="114"/>
      <c r="T950" s="116"/>
      <c r="U950" s="116"/>
      <c r="V950" s="116"/>
      <c r="W950" s="209"/>
      <c r="X950" s="114"/>
      <c r="Y950" s="114"/>
      <c r="Z950" s="114"/>
      <c r="AA950" s="114"/>
      <c r="AB950" s="114"/>
      <c r="AC950" s="114"/>
      <c r="AD950" s="114"/>
      <c r="AE950" s="114"/>
      <c r="AF950" s="114"/>
      <c r="AG950" s="114"/>
      <c r="AH950" s="114"/>
    </row>
    <row r="951" spans="1:34" ht="24" customHeight="1" x14ac:dyDescent="0.6">
      <c r="A951" s="114"/>
      <c r="B951" s="114"/>
      <c r="C951" s="114"/>
      <c r="D951" s="114"/>
      <c r="E951" s="114"/>
      <c r="F951" s="115"/>
      <c r="G951" s="138"/>
      <c r="H951" s="114"/>
      <c r="I951" s="114"/>
      <c r="J951" s="114"/>
      <c r="K951" s="114"/>
      <c r="L951" s="114"/>
      <c r="M951" s="114"/>
      <c r="N951" s="114"/>
      <c r="O951" s="114"/>
      <c r="P951" s="114"/>
      <c r="Q951" s="114"/>
      <c r="R951" s="114"/>
      <c r="S951" s="114"/>
      <c r="T951" s="116"/>
      <c r="U951" s="116"/>
      <c r="V951" s="116"/>
      <c r="W951" s="209"/>
      <c r="X951" s="114"/>
      <c r="Y951" s="114"/>
      <c r="Z951" s="114"/>
      <c r="AA951" s="114"/>
      <c r="AB951" s="114"/>
      <c r="AC951" s="114"/>
      <c r="AD951" s="114"/>
      <c r="AE951" s="114"/>
      <c r="AF951" s="114"/>
      <c r="AG951" s="114"/>
      <c r="AH951" s="114"/>
    </row>
    <row r="952" spans="1:34" ht="24" customHeight="1" x14ac:dyDescent="0.6">
      <c r="A952" s="114"/>
      <c r="B952" s="114"/>
      <c r="C952" s="114"/>
      <c r="D952" s="114"/>
      <c r="E952" s="114"/>
      <c r="F952" s="115"/>
      <c r="G952" s="138"/>
      <c r="H952" s="114"/>
      <c r="I952" s="114"/>
      <c r="J952" s="114"/>
      <c r="K952" s="114"/>
      <c r="L952" s="114"/>
      <c r="M952" s="114"/>
      <c r="N952" s="114"/>
      <c r="O952" s="114"/>
      <c r="P952" s="114"/>
      <c r="Q952" s="114"/>
      <c r="R952" s="114"/>
      <c r="S952" s="114"/>
      <c r="T952" s="116"/>
      <c r="U952" s="116"/>
      <c r="V952" s="116"/>
      <c r="W952" s="209"/>
      <c r="X952" s="114"/>
      <c r="Y952" s="114"/>
      <c r="Z952" s="114"/>
      <c r="AA952" s="114"/>
      <c r="AB952" s="114"/>
      <c r="AC952" s="114"/>
      <c r="AD952" s="114"/>
      <c r="AE952" s="114"/>
      <c r="AF952" s="114"/>
      <c r="AG952" s="114"/>
      <c r="AH952" s="114"/>
    </row>
    <row r="953" spans="1:34" ht="24" customHeight="1" x14ac:dyDescent="0.6">
      <c r="A953" s="114"/>
      <c r="B953" s="114"/>
      <c r="C953" s="114"/>
      <c r="D953" s="114"/>
      <c r="E953" s="114"/>
      <c r="F953" s="115"/>
      <c r="G953" s="138"/>
      <c r="H953" s="114"/>
      <c r="I953" s="114"/>
      <c r="J953" s="114"/>
      <c r="K953" s="114"/>
      <c r="L953" s="114"/>
      <c r="M953" s="114"/>
      <c r="N953" s="114"/>
      <c r="O953" s="114"/>
      <c r="P953" s="114"/>
      <c r="Q953" s="114"/>
      <c r="R953" s="114"/>
      <c r="S953" s="114"/>
      <c r="T953" s="116"/>
      <c r="U953" s="116"/>
      <c r="V953" s="116"/>
      <c r="W953" s="209"/>
      <c r="X953" s="114"/>
      <c r="Y953" s="114"/>
      <c r="Z953" s="114"/>
      <c r="AA953" s="114"/>
      <c r="AB953" s="114"/>
      <c r="AC953" s="114"/>
      <c r="AD953" s="114"/>
      <c r="AE953" s="114"/>
      <c r="AF953" s="114"/>
      <c r="AG953" s="114"/>
      <c r="AH953" s="114"/>
    </row>
    <row r="954" spans="1:34" ht="24" customHeight="1" x14ac:dyDescent="0.6">
      <c r="A954" s="114"/>
      <c r="B954" s="114"/>
      <c r="C954" s="114"/>
      <c r="D954" s="114"/>
      <c r="E954" s="114"/>
      <c r="F954" s="115"/>
      <c r="G954" s="138"/>
      <c r="H954" s="114"/>
      <c r="I954" s="114"/>
      <c r="J954" s="114"/>
      <c r="K954" s="114"/>
      <c r="L954" s="114"/>
      <c r="M954" s="114"/>
      <c r="N954" s="114"/>
      <c r="O954" s="114"/>
      <c r="P954" s="114"/>
      <c r="Q954" s="114"/>
      <c r="R954" s="114"/>
      <c r="S954" s="114"/>
      <c r="T954" s="116"/>
      <c r="U954" s="116"/>
      <c r="V954" s="116"/>
      <c r="W954" s="209"/>
      <c r="X954" s="114"/>
      <c r="Y954" s="114"/>
      <c r="Z954" s="114"/>
      <c r="AA954" s="114"/>
      <c r="AB954" s="114"/>
      <c r="AC954" s="114"/>
      <c r="AD954" s="114"/>
      <c r="AE954" s="114"/>
      <c r="AF954" s="114"/>
      <c r="AG954" s="114"/>
      <c r="AH954" s="114"/>
    </row>
    <row r="955" spans="1:34" ht="24" customHeight="1" x14ac:dyDescent="0.6">
      <c r="A955" s="114"/>
      <c r="B955" s="114"/>
      <c r="C955" s="114"/>
      <c r="D955" s="114"/>
      <c r="E955" s="114"/>
      <c r="F955" s="115"/>
      <c r="G955" s="138"/>
      <c r="H955" s="114"/>
      <c r="I955" s="114"/>
      <c r="J955" s="114"/>
      <c r="K955" s="114"/>
      <c r="L955" s="114"/>
      <c r="M955" s="114"/>
      <c r="N955" s="114"/>
      <c r="O955" s="114"/>
      <c r="P955" s="114"/>
      <c r="Q955" s="114"/>
      <c r="R955" s="114"/>
      <c r="S955" s="114"/>
      <c r="T955" s="116"/>
      <c r="U955" s="116"/>
      <c r="V955" s="116"/>
      <c r="W955" s="209"/>
      <c r="X955" s="114"/>
      <c r="Y955" s="114"/>
      <c r="Z955" s="114"/>
      <c r="AA955" s="114"/>
      <c r="AB955" s="114"/>
      <c r="AC955" s="114"/>
      <c r="AD955" s="114"/>
      <c r="AE955" s="114"/>
      <c r="AF955" s="114"/>
      <c r="AG955" s="114"/>
      <c r="AH955" s="114"/>
    </row>
    <row r="956" spans="1:34" ht="24" customHeight="1" x14ac:dyDescent="0.6">
      <c r="A956" s="114"/>
      <c r="B956" s="114"/>
      <c r="C956" s="114"/>
      <c r="D956" s="114"/>
      <c r="E956" s="114"/>
      <c r="F956" s="115"/>
      <c r="G956" s="138"/>
      <c r="H956" s="114"/>
      <c r="I956" s="114"/>
      <c r="J956" s="114"/>
      <c r="K956" s="114"/>
      <c r="L956" s="114"/>
      <c r="M956" s="114"/>
      <c r="N956" s="114"/>
      <c r="O956" s="114"/>
      <c r="P956" s="114"/>
      <c r="Q956" s="114"/>
      <c r="R956" s="114"/>
      <c r="S956" s="114"/>
      <c r="T956" s="116"/>
      <c r="U956" s="116"/>
      <c r="V956" s="116"/>
      <c r="W956" s="209"/>
      <c r="X956" s="114"/>
      <c r="Y956" s="114"/>
      <c r="Z956" s="114"/>
      <c r="AA956" s="114"/>
      <c r="AB956" s="114"/>
      <c r="AC956" s="114"/>
      <c r="AD956" s="114"/>
      <c r="AE956" s="114"/>
      <c r="AF956" s="114"/>
      <c r="AG956" s="114"/>
      <c r="AH956" s="114"/>
    </row>
    <row r="957" spans="1:34" ht="24" customHeight="1" x14ac:dyDescent="0.6">
      <c r="A957" s="114"/>
      <c r="B957" s="114"/>
      <c r="C957" s="114"/>
      <c r="D957" s="114"/>
      <c r="E957" s="114"/>
      <c r="F957" s="115"/>
      <c r="G957" s="138"/>
      <c r="H957" s="114"/>
      <c r="I957" s="114"/>
      <c r="J957" s="114"/>
      <c r="K957" s="114"/>
      <c r="L957" s="114"/>
      <c r="M957" s="114"/>
      <c r="N957" s="114"/>
      <c r="O957" s="114"/>
      <c r="P957" s="114"/>
      <c r="Q957" s="114"/>
      <c r="R957" s="114"/>
      <c r="S957" s="114"/>
      <c r="T957" s="116"/>
      <c r="U957" s="116"/>
      <c r="V957" s="116"/>
      <c r="W957" s="209"/>
      <c r="X957" s="114"/>
      <c r="Y957" s="114"/>
      <c r="Z957" s="114"/>
      <c r="AA957" s="114"/>
      <c r="AB957" s="114"/>
      <c r="AC957" s="114"/>
      <c r="AD957" s="114"/>
      <c r="AE957" s="114"/>
      <c r="AF957" s="114"/>
      <c r="AG957" s="114"/>
      <c r="AH957" s="114"/>
    </row>
    <row r="958" spans="1:34" ht="24" customHeight="1" x14ac:dyDescent="0.6">
      <c r="A958" s="114"/>
      <c r="B958" s="114"/>
      <c r="C958" s="114"/>
      <c r="D958" s="114"/>
      <c r="E958" s="114"/>
      <c r="F958" s="115"/>
      <c r="G958" s="138"/>
      <c r="H958" s="114"/>
      <c r="I958" s="114"/>
      <c r="J958" s="114"/>
      <c r="K958" s="114"/>
      <c r="L958" s="114"/>
      <c r="M958" s="114"/>
      <c r="N958" s="114"/>
      <c r="O958" s="114"/>
      <c r="P958" s="114"/>
      <c r="Q958" s="114"/>
      <c r="R958" s="114"/>
      <c r="S958" s="114"/>
      <c r="T958" s="116"/>
      <c r="U958" s="116"/>
      <c r="V958" s="116"/>
      <c r="W958" s="209"/>
      <c r="X958" s="114"/>
      <c r="Y958" s="114"/>
      <c r="Z958" s="114"/>
      <c r="AA958" s="114"/>
      <c r="AB958" s="114"/>
      <c r="AC958" s="114"/>
      <c r="AD958" s="114"/>
      <c r="AE958" s="114"/>
      <c r="AF958" s="114"/>
      <c r="AG958" s="114"/>
      <c r="AH958" s="114"/>
    </row>
    <row r="959" spans="1:34" ht="24" customHeight="1" x14ac:dyDescent="0.6">
      <c r="A959" s="114"/>
      <c r="B959" s="114"/>
      <c r="C959" s="114"/>
      <c r="D959" s="114"/>
      <c r="E959" s="114"/>
      <c r="F959" s="115"/>
      <c r="G959" s="138"/>
      <c r="H959" s="114"/>
      <c r="I959" s="114"/>
      <c r="J959" s="114"/>
      <c r="K959" s="114"/>
      <c r="L959" s="114"/>
      <c r="M959" s="114"/>
      <c r="N959" s="114"/>
      <c r="O959" s="114"/>
      <c r="P959" s="114"/>
      <c r="Q959" s="114"/>
      <c r="R959" s="114"/>
      <c r="S959" s="114"/>
      <c r="T959" s="116"/>
      <c r="U959" s="116"/>
      <c r="V959" s="116"/>
      <c r="W959" s="209"/>
      <c r="X959" s="114"/>
      <c r="Y959" s="114"/>
      <c r="Z959" s="114"/>
      <c r="AA959" s="114"/>
      <c r="AB959" s="114"/>
      <c r="AC959" s="114"/>
      <c r="AD959" s="114"/>
      <c r="AE959" s="114"/>
      <c r="AF959" s="114"/>
      <c r="AG959" s="114"/>
      <c r="AH959" s="114"/>
    </row>
    <row r="960" spans="1:34" ht="24" customHeight="1" x14ac:dyDescent="0.6">
      <c r="A960" s="114"/>
      <c r="B960" s="114"/>
      <c r="C960" s="114"/>
      <c r="D960" s="114"/>
      <c r="E960" s="114"/>
      <c r="F960" s="115"/>
      <c r="G960" s="138"/>
      <c r="H960" s="114"/>
      <c r="I960" s="114"/>
      <c r="J960" s="114"/>
      <c r="K960" s="114"/>
      <c r="L960" s="114"/>
      <c r="M960" s="114"/>
      <c r="N960" s="114"/>
      <c r="O960" s="114"/>
      <c r="P960" s="114"/>
      <c r="Q960" s="114"/>
      <c r="R960" s="114"/>
      <c r="S960" s="114"/>
      <c r="T960" s="116"/>
      <c r="U960" s="116"/>
      <c r="V960" s="116"/>
      <c r="W960" s="209"/>
      <c r="X960" s="114"/>
      <c r="Y960" s="114"/>
      <c r="Z960" s="114"/>
      <c r="AA960" s="114"/>
      <c r="AB960" s="114"/>
      <c r="AC960" s="114"/>
      <c r="AD960" s="114"/>
      <c r="AE960" s="114"/>
      <c r="AF960" s="114"/>
      <c r="AG960" s="114"/>
      <c r="AH960" s="114"/>
    </row>
    <row r="961" spans="1:34" ht="24" customHeight="1" x14ac:dyDescent="0.6">
      <c r="A961" s="114"/>
      <c r="B961" s="114"/>
      <c r="C961" s="114"/>
      <c r="D961" s="114"/>
      <c r="E961" s="114"/>
      <c r="F961" s="115"/>
      <c r="G961" s="138"/>
      <c r="H961" s="114"/>
      <c r="I961" s="114"/>
      <c r="J961" s="114"/>
      <c r="K961" s="114"/>
      <c r="L961" s="114"/>
      <c r="M961" s="114"/>
      <c r="N961" s="114"/>
      <c r="O961" s="114"/>
      <c r="P961" s="114"/>
      <c r="Q961" s="114"/>
      <c r="R961" s="114"/>
      <c r="S961" s="114"/>
      <c r="T961" s="116"/>
      <c r="U961" s="116"/>
      <c r="V961" s="116"/>
      <c r="W961" s="209"/>
      <c r="X961" s="114"/>
      <c r="Y961" s="114"/>
      <c r="Z961" s="114"/>
      <c r="AA961" s="114"/>
      <c r="AB961" s="114"/>
      <c r="AC961" s="114"/>
      <c r="AD961" s="114"/>
      <c r="AE961" s="114"/>
      <c r="AF961" s="114"/>
      <c r="AG961" s="114"/>
      <c r="AH961" s="114"/>
    </row>
    <row r="962" spans="1:34" ht="24" customHeight="1" x14ac:dyDescent="0.6">
      <c r="A962" s="114"/>
      <c r="B962" s="114"/>
      <c r="C962" s="114"/>
      <c r="D962" s="114"/>
      <c r="E962" s="114"/>
      <c r="F962" s="115"/>
      <c r="G962" s="138"/>
      <c r="H962" s="114"/>
      <c r="I962" s="114"/>
      <c r="J962" s="114"/>
      <c r="K962" s="114"/>
      <c r="L962" s="114"/>
      <c r="M962" s="114"/>
      <c r="N962" s="114"/>
      <c r="O962" s="114"/>
      <c r="P962" s="114"/>
      <c r="Q962" s="114"/>
      <c r="R962" s="114"/>
      <c r="S962" s="114"/>
      <c r="T962" s="116"/>
      <c r="U962" s="116"/>
      <c r="V962" s="116"/>
      <c r="W962" s="209"/>
      <c r="X962" s="114"/>
      <c r="Y962" s="114"/>
      <c r="Z962" s="114"/>
      <c r="AA962" s="114"/>
      <c r="AB962" s="114"/>
      <c r="AC962" s="114"/>
      <c r="AD962" s="114"/>
      <c r="AE962" s="114"/>
      <c r="AF962" s="114"/>
      <c r="AG962" s="114"/>
      <c r="AH962" s="114"/>
    </row>
    <row r="963" spans="1:34" ht="24" customHeight="1" x14ac:dyDescent="0.6">
      <c r="A963" s="114"/>
      <c r="B963" s="114"/>
      <c r="C963" s="114"/>
      <c r="D963" s="114"/>
      <c r="E963" s="114"/>
      <c r="F963" s="115"/>
      <c r="G963" s="138"/>
      <c r="H963" s="114"/>
      <c r="I963" s="114"/>
      <c r="J963" s="114"/>
      <c r="K963" s="114"/>
      <c r="L963" s="114"/>
      <c r="M963" s="114"/>
      <c r="N963" s="114"/>
      <c r="O963" s="114"/>
      <c r="P963" s="114"/>
      <c r="Q963" s="114"/>
      <c r="R963" s="114"/>
      <c r="S963" s="114"/>
      <c r="T963" s="116"/>
      <c r="U963" s="116"/>
      <c r="V963" s="116"/>
      <c r="W963" s="209"/>
      <c r="X963" s="114"/>
      <c r="Y963" s="114"/>
      <c r="Z963" s="114"/>
      <c r="AA963" s="114"/>
      <c r="AB963" s="114"/>
      <c r="AC963" s="114"/>
      <c r="AD963" s="114"/>
      <c r="AE963" s="114"/>
      <c r="AF963" s="114"/>
      <c r="AG963" s="114"/>
      <c r="AH963" s="114"/>
    </row>
    <row r="964" spans="1:34" ht="24" customHeight="1" x14ac:dyDescent="0.6">
      <c r="A964" s="114"/>
      <c r="B964" s="114"/>
      <c r="C964" s="114"/>
      <c r="D964" s="114"/>
      <c r="E964" s="114"/>
      <c r="F964" s="115"/>
      <c r="G964" s="138"/>
      <c r="H964" s="114"/>
      <c r="I964" s="114"/>
      <c r="J964" s="114"/>
      <c r="K964" s="114"/>
      <c r="L964" s="114"/>
      <c r="M964" s="114"/>
      <c r="N964" s="114"/>
      <c r="O964" s="114"/>
      <c r="P964" s="114"/>
      <c r="Q964" s="114"/>
      <c r="R964" s="114"/>
      <c r="S964" s="114"/>
      <c r="T964" s="116"/>
      <c r="U964" s="116"/>
      <c r="V964" s="116"/>
      <c r="W964" s="209"/>
      <c r="X964" s="114"/>
      <c r="Y964" s="114"/>
      <c r="Z964" s="114"/>
      <c r="AA964" s="114"/>
      <c r="AB964" s="114"/>
      <c r="AC964" s="114"/>
      <c r="AD964" s="114"/>
      <c r="AE964" s="114"/>
      <c r="AF964" s="114"/>
      <c r="AG964" s="114"/>
      <c r="AH964" s="114"/>
    </row>
    <row r="965" spans="1:34" ht="24" customHeight="1" x14ac:dyDescent="0.6">
      <c r="A965" s="114"/>
      <c r="B965" s="114"/>
      <c r="C965" s="114"/>
      <c r="D965" s="114"/>
      <c r="E965" s="114"/>
      <c r="F965" s="115"/>
      <c r="G965" s="138"/>
      <c r="H965" s="114"/>
      <c r="I965" s="114"/>
      <c r="J965" s="114"/>
      <c r="K965" s="114"/>
      <c r="L965" s="114"/>
      <c r="M965" s="114"/>
      <c r="N965" s="114"/>
      <c r="O965" s="114"/>
      <c r="P965" s="114"/>
      <c r="Q965" s="114"/>
      <c r="R965" s="114"/>
      <c r="S965" s="114"/>
      <c r="T965" s="116"/>
      <c r="U965" s="116"/>
      <c r="V965" s="116"/>
      <c r="W965" s="209"/>
      <c r="X965" s="114"/>
      <c r="Y965" s="114"/>
      <c r="Z965" s="114"/>
      <c r="AA965" s="114"/>
      <c r="AB965" s="114"/>
      <c r="AC965" s="114"/>
      <c r="AD965" s="114"/>
      <c r="AE965" s="114"/>
      <c r="AF965" s="114"/>
      <c r="AG965" s="114"/>
      <c r="AH965" s="114"/>
    </row>
    <row r="966" spans="1:34" ht="24" customHeight="1" x14ac:dyDescent="0.6">
      <c r="A966" s="114"/>
      <c r="B966" s="114"/>
      <c r="C966" s="114"/>
      <c r="D966" s="114"/>
      <c r="E966" s="114"/>
      <c r="F966" s="115"/>
      <c r="G966" s="138"/>
      <c r="H966" s="114"/>
      <c r="I966" s="114"/>
      <c r="J966" s="114"/>
      <c r="K966" s="114"/>
      <c r="L966" s="114"/>
      <c r="M966" s="114"/>
      <c r="N966" s="114"/>
      <c r="O966" s="114"/>
      <c r="P966" s="114"/>
      <c r="Q966" s="114"/>
      <c r="R966" s="114"/>
      <c r="S966" s="114"/>
      <c r="T966" s="116"/>
      <c r="U966" s="116"/>
      <c r="V966" s="116"/>
      <c r="W966" s="209"/>
      <c r="X966" s="114"/>
      <c r="Y966" s="114"/>
      <c r="Z966" s="114"/>
      <c r="AA966" s="114"/>
      <c r="AB966" s="114"/>
      <c r="AC966" s="114"/>
      <c r="AD966" s="114"/>
      <c r="AE966" s="114"/>
      <c r="AF966" s="114"/>
      <c r="AG966" s="114"/>
      <c r="AH966" s="114"/>
    </row>
    <row r="967" spans="1:34" ht="24" customHeight="1" x14ac:dyDescent="0.6">
      <c r="A967" s="114"/>
      <c r="B967" s="114"/>
      <c r="C967" s="114"/>
      <c r="D967" s="114"/>
      <c r="E967" s="114"/>
      <c r="F967" s="115"/>
      <c r="G967" s="138"/>
      <c r="H967" s="114"/>
      <c r="I967" s="114"/>
      <c r="J967" s="114"/>
      <c r="K967" s="114"/>
      <c r="L967" s="114"/>
      <c r="M967" s="114"/>
      <c r="N967" s="114"/>
      <c r="O967" s="114"/>
      <c r="P967" s="114"/>
      <c r="Q967" s="114"/>
      <c r="R967" s="114"/>
      <c r="S967" s="114"/>
      <c r="T967" s="116"/>
      <c r="U967" s="116"/>
      <c r="V967" s="116"/>
      <c r="W967" s="209"/>
      <c r="X967" s="114"/>
      <c r="Y967" s="114"/>
      <c r="Z967" s="114"/>
      <c r="AA967" s="114"/>
      <c r="AB967" s="114"/>
      <c r="AC967" s="114"/>
      <c r="AD967" s="114"/>
      <c r="AE967" s="114"/>
      <c r="AF967" s="114"/>
      <c r="AG967" s="114"/>
      <c r="AH967" s="114"/>
    </row>
    <row r="968" spans="1:34" ht="24" customHeight="1" x14ac:dyDescent="0.6">
      <c r="A968" s="114"/>
      <c r="B968" s="114"/>
      <c r="C968" s="114"/>
      <c r="D968" s="114"/>
      <c r="E968" s="114"/>
      <c r="F968" s="115"/>
      <c r="G968" s="138"/>
      <c r="H968" s="114"/>
      <c r="I968" s="114"/>
      <c r="J968" s="114"/>
      <c r="K968" s="114"/>
      <c r="L968" s="114"/>
      <c r="M968" s="114"/>
      <c r="N968" s="114"/>
      <c r="O968" s="114"/>
      <c r="P968" s="114"/>
      <c r="Q968" s="114"/>
      <c r="R968" s="114"/>
      <c r="S968" s="114"/>
      <c r="T968" s="116"/>
      <c r="U968" s="116"/>
      <c r="V968" s="116"/>
      <c r="W968" s="209"/>
      <c r="X968" s="114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</row>
    <row r="969" spans="1:34" ht="24" customHeight="1" x14ac:dyDescent="0.6">
      <c r="A969" s="114"/>
      <c r="B969" s="114"/>
      <c r="C969" s="114"/>
      <c r="D969" s="114"/>
      <c r="E969" s="114"/>
      <c r="F969" s="115"/>
      <c r="G969" s="138"/>
      <c r="H969" s="114"/>
      <c r="I969" s="114"/>
      <c r="J969" s="114"/>
      <c r="K969" s="114"/>
      <c r="L969" s="114"/>
      <c r="M969" s="114"/>
      <c r="N969" s="114"/>
      <c r="O969" s="114"/>
      <c r="P969" s="114"/>
      <c r="Q969" s="114"/>
      <c r="R969" s="114"/>
      <c r="S969" s="114"/>
      <c r="T969" s="116"/>
      <c r="U969" s="116"/>
      <c r="V969" s="116"/>
      <c r="W969" s="209"/>
      <c r="X969" s="114"/>
      <c r="Y969" s="114"/>
      <c r="Z969" s="114"/>
      <c r="AA969" s="114"/>
      <c r="AB969" s="114"/>
      <c r="AC969" s="114"/>
      <c r="AD969" s="114"/>
      <c r="AE969" s="114"/>
      <c r="AF969" s="114"/>
      <c r="AG969" s="114"/>
      <c r="AH969" s="114"/>
    </row>
    <row r="970" spans="1:34" ht="24" customHeight="1" x14ac:dyDescent="0.6">
      <c r="A970" s="114"/>
      <c r="B970" s="114"/>
      <c r="C970" s="114"/>
      <c r="D970" s="114"/>
      <c r="E970" s="114"/>
      <c r="F970" s="115"/>
      <c r="G970" s="138"/>
      <c r="H970" s="114"/>
      <c r="I970" s="114"/>
      <c r="J970" s="114"/>
      <c r="K970" s="114"/>
      <c r="L970" s="114"/>
      <c r="M970" s="114"/>
      <c r="N970" s="114"/>
      <c r="O970" s="114"/>
      <c r="P970" s="114"/>
      <c r="Q970" s="114"/>
      <c r="R970" s="114"/>
      <c r="S970" s="114"/>
      <c r="T970" s="116"/>
      <c r="U970" s="116"/>
      <c r="V970" s="116"/>
      <c r="W970" s="209"/>
      <c r="X970" s="114"/>
      <c r="Y970" s="114"/>
      <c r="Z970" s="114"/>
      <c r="AA970" s="114"/>
      <c r="AB970" s="114"/>
      <c r="AC970" s="114"/>
      <c r="AD970" s="114"/>
      <c r="AE970" s="114"/>
      <c r="AF970" s="114"/>
      <c r="AG970" s="114"/>
      <c r="AH970" s="114"/>
    </row>
    <row r="971" spans="1:34" ht="24" customHeight="1" x14ac:dyDescent="0.6">
      <c r="A971" s="114"/>
      <c r="B971" s="114"/>
      <c r="C971" s="114"/>
      <c r="D971" s="114"/>
      <c r="E971" s="114"/>
      <c r="F971" s="115"/>
      <c r="G971" s="138"/>
      <c r="H971" s="114"/>
      <c r="I971" s="114"/>
      <c r="J971" s="114"/>
      <c r="K971" s="114"/>
      <c r="L971" s="114"/>
      <c r="M971" s="114"/>
      <c r="N971" s="114"/>
      <c r="O971" s="114"/>
      <c r="P971" s="114"/>
      <c r="Q971" s="114"/>
      <c r="R971" s="114"/>
      <c r="S971" s="114"/>
      <c r="T971" s="116"/>
      <c r="U971" s="116"/>
      <c r="V971" s="116"/>
      <c r="W971" s="209"/>
      <c r="X971" s="114"/>
      <c r="Y971" s="114"/>
      <c r="Z971" s="114"/>
      <c r="AA971" s="114"/>
      <c r="AB971" s="114"/>
      <c r="AC971" s="114"/>
      <c r="AD971" s="114"/>
      <c r="AE971" s="114"/>
      <c r="AF971" s="114"/>
      <c r="AG971" s="114"/>
      <c r="AH971" s="114"/>
    </row>
    <row r="972" spans="1:34" ht="24" customHeight="1" x14ac:dyDescent="0.6">
      <c r="A972" s="114"/>
      <c r="B972" s="114"/>
      <c r="C972" s="114"/>
      <c r="D972" s="114"/>
      <c r="E972" s="114"/>
      <c r="F972" s="115"/>
      <c r="G972" s="138"/>
      <c r="H972" s="114"/>
      <c r="I972" s="114"/>
      <c r="J972" s="114"/>
      <c r="K972" s="114"/>
      <c r="L972" s="114"/>
      <c r="M972" s="114"/>
      <c r="N972" s="114"/>
      <c r="O972" s="114"/>
      <c r="P972" s="114"/>
      <c r="Q972" s="114"/>
      <c r="R972" s="114"/>
      <c r="S972" s="114"/>
      <c r="T972" s="116"/>
      <c r="U972" s="116"/>
      <c r="V972" s="116"/>
      <c r="W972" s="209"/>
      <c r="X972" s="114"/>
      <c r="Y972" s="114"/>
      <c r="Z972" s="114"/>
      <c r="AA972" s="114"/>
      <c r="AB972" s="114"/>
      <c r="AC972" s="114"/>
      <c r="AD972" s="114"/>
      <c r="AE972" s="114"/>
      <c r="AF972" s="114"/>
      <c r="AG972" s="114"/>
      <c r="AH972" s="114"/>
    </row>
    <row r="973" spans="1:34" ht="24" customHeight="1" x14ac:dyDescent="0.6">
      <c r="A973" s="114"/>
      <c r="B973" s="114"/>
      <c r="C973" s="114"/>
      <c r="D973" s="114"/>
      <c r="E973" s="114"/>
      <c r="F973" s="115"/>
      <c r="G973" s="138"/>
      <c r="H973" s="114"/>
      <c r="I973" s="114"/>
      <c r="J973" s="114"/>
      <c r="K973" s="114"/>
      <c r="L973" s="114"/>
      <c r="M973" s="114"/>
      <c r="N973" s="114"/>
      <c r="O973" s="114"/>
      <c r="P973" s="114"/>
      <c r="Q973" s="114"/>
      <c r="R973" s="114"/>
      <c r="S973" s="114"/>
      <c r="T973" s="116"/>
      <c r="U973" s="116"/>
      <c r="V973" s="116"/>
      <c r="W973" s="209"/>
      <c r="X973" s="114"/>
      <c r="Y973" s="114"/>
      <c r="Z973" s="114"/>
      <c r="AA973" s="114"/>
      <c r="AB973" s="114"/>
      <c r="AC973" s="114"/>
      <c r="AD973" s="114"/>
      <c r="AE973" s="114"/>
      <c r="AF973" s="114"/>
      <c r="AG973" s="114"/>
      <c r="AH973" s="114"/>
    </row>
    <row r="974" spans="1:34" ht="24" customHeight="1" x14ac:dyDescent="0.6">
      <c r="A974" s="114"/>
      <c r="B974" s="114"/>
      <c r="C974" s="114"/>
      <c r="D974" s="114"/>
      <c r="E974" s="114"/>
      <c r="F974" s="115"/>
      <c r="G974" s="138"/>
      <c r="H974" s="114"/>
      <c r="I974" s="114"/>
      <c r="J974" s="114"/>
      <c r="K974" s="114"/>
      <c r="L974" s="114"/>
      <c r="M974" s="114"/>
      <c r="N974" s="114"/>
      <c r="O974" s="114"/>
      <c r="P974" s="114"/>
      <c r="Q974" s="114"/>
      <c r="R974" s="114"/>
      <c r="S974" s="114"/>
      <c r="T974" s="116"/>
      <c r="U974" s="116"/>
      <c r="V974" s="116"/>
      <c r="W974" s="209"/>
      <c r="X974" s="114"/>
      <c r="Y974" s="114"/>
      <c r="Z974" s="114"/>
      <c r="AA974" s="114"/>
      <c r="AB974" s="114"/>
      <c r="AC974" s="114"/>
      <c r="AD974" s="114"/>
      <c r="AE974" s="114"/>
      <c r="AF974" s="114"/>
      <c r="AG974" s="114"/>
      <c r="AH974" s="114"/>
    </row>
    <row r="975" spans="1:34" ht="24" customHeight="1" x14ac:dyDescent="0.6">
      <c r="A975" s="114"/>
      <c r="B975" s="114"/>
      <c r="C975" s="114"/>
      <c r="D975" s="114"/>
      <c r="E975" s="114"/>
      <c r="F975" s="115"/>
      <c r="G975" s="138"/>
      <c r="H975" s="114"/>
      <c r="I975" s="114"/>
      <c r="J975" s="114"/>
      <c r="K975" s="114"/>
      <c r="L975" s="114"/>
      <c r="M975" s="114"/>
      <c r="N975" s="114"/>
      <c r="O975" s="114"/>
      <c r="P975" s="114"/>
      <c r="Q975" s="114"/>
      <c r="R975" s="114"/>
      <c r="S975" s="114"/>
      <c r="T975" s="116"/>
      <c r="U975" s="116"/>
      <c r="V975" s="116"/>
      <c r="W975" s="209"/>
      <c r="X975" s="114"/>
      <c r="Y975" s="114"/>
      <c r="Z975" s="114"/>
      <c r="AA975" s="114"/>
      <c r="AB975" s="114"/>
      <c r="AC975" s="114"/>
      <c r="AD975" s="114"/>
      <c r="AE975" s="114"/>
      <c r="AF975" s="114"/>
      <c r="AG975" s="114"/>
      <c r="AH975" s="114"/>
    </row>
    <row r="976" spans="1:34" ht="24" customHeight="1" x14ac:dyDescent="0.6">
      <c r="A976" s="114"/>
      <c r="B976" s="114"/>
      <c r="C976" s="114"/>
      <c r="D976" s="114"/>
      <c r="E976" s="114"/>
      <c r="F976" s="115"/>
      <c r="G976" s="138"/>
      <c r="H976" s="114"/>
      <c r="I976" s="114"/>
      <c r="J976" s="114"/>
      <c r="K976" s="114"/>
      <c r="L976" s="114"/>
      <c r="M976" s="114"/>
      <c r="N976" s="114"/>
      <c r="O976" s="114"/>
      <c r="P976" s="114"/>
      <c r="Q976" s="114"/>
      <c r="R976" s="114"/>
      <c r="S976" s="114"/>
      <c r="T976" s="116"/>
      <c r="U976" s="116"/>
      <c r="V976" s="116"/>
      <c r="W976" s="209"/>
      <c r="X976" s="114"/>
      <c r="Y976" s="114"/>
      <c r="Z976" s="114"/>
      <c r="AA976" s="114"/>
      <c r="AB976" s="114"/>
      <c r="AC976" s="114"/>
      <c r="AD976" s="114"/>
      <c r="AE976" s="114"/>
      <c r="AF976" s="114"/>
      <c r="AG976" s="114"/>
      <c r="AH976" s="114"/>
    </row>
    <row r="977" spans="1:34" ht="24" customHeight="1" x14ac:dyDescent="0.6">
      <c r="A977" s="114"/>
      <c r="B977" s="114"/>
      <c r="C977" s="114"/>
      <c r="D977" s="114"/>
      <c r="E977" s="114"/>
      <c r="F977" s="115"/>
      <c r="G977" s="138"/>
      <c r="H977" s="114"/>
      <c r="I977" s="114"/>
      <c r="J977" s="114"/>
      <c r="K977" s="114"/>
      <c r="L977" s="114"/>
      <c r="M977" s="114"/>
      <c r="N977" s="114"/>
      <c r="O977" s="114"/>
      <c r="P977" s="114"/>
      <c r="Q977" s="114"/>
      <c r="R977" s="114"/>
      <c r="S977" s="114"/>
      <c r="T977" s="116"/>
      <c r="U977" s="116"/>
      <c r="V977" s="116"/>
      <c r="W977" s="209"/>
      <c r="X977" s="114"/>
      <c r="Y977" s="114"/>
      <c r="Z977" s="114"/>
      <c r="AA977" s="114"/>
      <c r="AB977" s="114"/>
      <c r="AC977" s="114"/>
      <c r="AD977" s="114"/>
      <c r="AE977" s="114"/>
      <c r="AF977" s="114"/>
      <c r="AG977" s="114"/>
      <c r="AH977" s="114"/>
    </row>
    <row r="978" spans="1:34" ht="24" customHeight="1" x14ac:dyDescent="0.6">
      <c r="A978" s="114"/>
      <c r="B978" s="114"/>
      <c r="C978" s="114"/>
      <c r="D978" s="114"/>
      <c r="E978" s="114"/>
      <c r="F978" s="115"/>
      <c r="G978" s="138"/>
      <c r="H978" s="114"/>
      <c r="I978" s="114"/>
      <c r="J978" s="114"/>
      <c r="K978" s="114"/>
      <c r="L978" s="114"/>
      <c r="M978" s="114"/>
      <c r="N978" s="114"/>
      <c r="O978" s="114"/>
      <c r="P978" s="114"/>
      <c r="Q978" s="114"/>
      <c r="R978" s="114"/>
      <c r="S978" s="114"/>
      <c r="T978" s="116"/>
      <c r="U978" s="116"/>
      <c r="V978" s="116"/>
      <c r="W978" s="209"/>
      <c r="X978" s="114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</row>
    <row r="979" spans="1:34" ht="24" customHeight="1" x14ac:dyDescent="0.6">
      <c r="A979" s="114"/>
      <c r="B979" s="114"/>
      <c r="C979" s="114"/>
      <c r="D979" s="114"/>
      <c r="E979" s="114"/>
      <c r="F979" s="115"/>
      <c r="G979" s="138"/>
      <c r="H979" s="114"/>
      <c r="I979" s="114"/>
      <c r="J979" s="114"/>
      <c r="K979" s="114"/>
      <c r="L979" s="114"/>
      <c r="M979" s="114"/>
      <c r="N979" s="114"/>
      <c r="O979" s="114"/>
      <c r="P979" s="114"/>
      <c r="Q979" s="114"/>
      <c r="R979" s="114"/>
      <c r="S979" s="114"/>
      <c r="T979" s="116"/>
      <c r="U979" s="116"/>
      <c r="V979" s="116"/>
      <c r="W979" s="209"/>
      <c r="X979" s="114"/>
      <c r="Y979" s="114"/>
      <c r="Z979" s="114"/>
      <c r="AA979" s="114"/>
      <c r="AB979" s="114"/>
      <c r="AC979" s="114"/>
      <c r="AD979" s="114"/>
      <c r="AE979" s="114"/>
      <c r="AF979" s="114"/>
      <c r="AG979" s="114"/>
      <c r="AH979" s="114"/>
    </row>
    <row r="980" spans="1:34" ht="24" customHeight="1" x14ac:dyDescent="0.6">
      <c r="A980" s="114"/>
      <c r="B980" s="114"/>
      <c r="C980" s="114"/>
      <c r="D980" s="114"/>
      <c r="E980" s="114"/>
      <c r="F980" s="115"/>
      <c r="G980" s="138"/>
      <c r="H980" s="114"/>
      <c r="I980" s="114"/>
      <c r="J980" s="114"/>
      <c r="K980" s="114"/>
      <c r="L980" s="114"/>
      <c r="M980" s="114"/>
      <c r="N980" s="114"/>
      <c r="O980" s="114"/>
      <c r="P980" s="114"/>
      <c r="Q980" s="114"/>
      <c r="R980" s="114"/>
      <c r="S980" s="114"/>
      <c r="T980" s="116"/>
      <c r="U980" s="116"/>
      <c r="V980" s="116"/>
      <c r="W980" s="209"/>
      <c r="X980" s="114"/>
      <c r="Y980" s="114"/>
      <c r="Z980" s="114"/>
      <c r="AA980" s="114"/>
      <c r="AB980" s="114"/>
      <c r="AC980" s="114"/>
      <c r="AD980" s="114"/>
      <c r="AE980" s="114"/>
      <c r="AF980" s="114"/>
      <c r="AG980" s="114"/>
      <c r="AH980" s="114"/>
    </row>
    <row r="981" spans="1:34" ht="24" customHeight="1" x14ac:dyDescent="0.6">
      <c r="A981" s="114"/>
      <c r="B981" s="114"/>
      <c r="C981" s="114"/>
      <c r="D981" s="114"/>
      <c r="E981" s="114"/>
      <c r="F981" s="115"/>
      <c r="G981" s="138"/>
      <c r="H981" s="114"/>
      <c r="I981" s="114"/>
      <c r="J981" s="114"/>
      <c r="K981" s="114"/>
      <c r="L981" s="114"/>
      <c r="M981" s="114"/>
      <c r="N981" s="114"/>
      <c r="O981" s="114"/>
      <c r="P981" s="114"/>
      <c r="Q981" s="114"/>
      <c r="R981" s="114"/>
      <c r="S981" s="114"/>
      <c r="T981" s="116"/>
      <c r="U981" s="116"/>
      <c r="V981" s="116"/>
      <c r="W981" s="209"/>
      <c r="X981" s="114"/>
      <c r="Y981" s="114"/>
      <c r="Z981" s="114"/>
      <c r="AA981" s="114"/>
      <c r="AB981" s="114"/>
      <c r="AC981" s="114"/>
      <c r="AD981" s="114"/>
      <c r="AE981" s="114"/>
      <c r="AF981" s="114"/>
      <c r="AG981" s="114"/>
      <c r="AH981" s="114"/>
    </row>
    <row r="982" spans="1:34" ht="24" customHeight="1" x14ac:dyDescent="0.6">
      <c r="A982" s="114"/>
      <c r="B982" s="114"/>
      <c r="C982" s="114"/>
      <c r="D982" s="114"/>
      <c r="E982" s="114"/>
      <c r="F982" s="115"/>
      <c r="G982" s="138"/>
      <c r="H982" s="114"/>
      <c r="I982" s="114"/>
      <c r="J982" s="114"/>
      <c r="K982" s="114"/>
      <c r="L982" s="114"/>
      <c r="M982" s="114"/>
      <c r="N982" s="114"/>
      <c r="O982" s="114"/>
      <c r="P982" s="114"/>
      <c r="Q982" s="114"/>
      <c r="R982" s="114"/>
      <c r="S982" s="114"/>
      <c r="T982" s="116"/>
      <c r="U982" s="116"/>
      <c r="V982" s="116"/>
      <c r="W982" s="209"/>
      <c r="X982" s="114"/>
      <c r="Y982" s="114"/>
      <c r="Z982" s="114"/>
      <c r="AA982" s="114"/>
      <c r="AB982" s="114"/>
      <c r="AC982" s="114"/>
      <c r="AD982" s="114"/>
      <c r="AE982" s="114"/>
      <c r="AF982" s="114"/>
      <c r="AG982" s="114"/>
      <c r="AH982" s="114"/>
    </row>
    <row r="983" spans="1:34" ht="24" customHeight="1" x14ac:dyDescent="0.6">
      <c r="A983" s="114"/>
      <c r="B983" s="114"/>
      <c r="C983" s="114"/>
      <c r="D983" s="114"/>
      <c r="E983" s="114"/>
      <c r="F983" s="115"/>
      <c r="G983" s="138"/>
      <c r="H983" s="114"/>
      <c r="I983" s="114"/>
      <c r="J983" s="114"/>
      <c r="K983" s="114"/>
      <c r="L983" s="114"/>
      <c r="M983" s="114"/>
      <c r="N983" s="114"/>
      <c r="O983" s="114"/>
      <c r="P983" s="114"/>
      <c r="Q983" s="114"/>
      <c r="R983" s="114"/>
      <c r="S983" s="114"/>
      <c r="T983" s="116"/>
      <c r="U983" s="116"/>
      <c r="V983" s="116"/>
      <c r="W983" s="209"/>
      <c r="X983" s="114"/>
      <c r="Y983" s="114"/>
      <c r="Z983" s="114"/>
      <c r="AA983" s="114"/>
      <c r="AB983" s="114"/>
      <c r="AC983" s="114"/>
      <c r="AD983" s="114"/>
      <c r="AE983" s="114"/>
      <c r="AF983" s="114"/>
      <c r="AG983" s="114"/>
      <c r="AH983" s="114"/>
    </row>
    <row r="984" spans="1:34" ht="24" customHeight="1" x14ac:dyDescent="0.6">
      <c r="A984" s="114"/>
      <c r="B984" s="114"/>
      <c r="C984" s="114"/>
      <c r="D984" s="114"/>
      <c r="E984" s="114"/>
      <c r="F984" s="115"/>
      <c r="G984" s="138"/>
      <c r="H984" s="114"/>
      <c r="I984" s="114"/>
      <c r="J984" s="114"/>
      <c r="K984" s="114"/>
      <c r="L984" s="114"/>
      <c r="M984" s="114"/>
      <c r="N984" s="114"/>
      <c r="O984" s="114"/>
      <c r="P984" s="114"/>
      <c r="Q984" s="114"/>
      <c r="R984" s="114"/>
      <c r="S984" s="114"/>
      <c r="T984" s="116"/>
      <c r="U984" s="116"/>
      <c r="V984" s="116"/>
      <c r="W984" s="209"/>
      <c r="X984" s="114"/>
      <c r="Y984" s="114"/>
      <c r="Z984" s="114"/>
      <c r="AA984" s="114"/>
      <c r="AB984" s="114"/>
      <c r="AC984" s="114"/>
      <c r="AD984" s="114"/>
      <c r="AE984" s="114"/>
      <c r="AF984" s="114"/>
      <c r="AG984" s="114"/>
      <c r="AH984" s="114"/>
    </row>
    <row r="985" spans="1:34" ht="24" customHeight="1" x14ac:dyDescent="0.6">
      <c r="A985" s="114"/>
      <c r="B985" s="114"/>
      <c r="C985" s="114"/>
      <c r="D985" s="114"/>
      <c r="E985" s="114"/>
      <c r="F985" s="115"/>
      <c r="G985" s="138"/>
      <c r="H985" s="114"/>
      <c r="I985" s="114"/>
      <c r="J985" s="114"/>
      <c r="K985" s="114"/>
      <c r="L985" s="114"/>
      <c r="M985" s="114"/>
      <c r="N985" s="114"/>
      <c r="O985" s="114"/>
      <c r="P985" s="114"/>
      <c r="Q985" s="114"/>
      <c r="R985" s="114"/>
      <c r="S985" s="114"/>
      <c r="T985" s="116"/>
      <c r="U985" s="116"/>
      <c r="V985" s="116"/>
      <c r="W985" s="209"/>
      <c r="X985" s="114"/>
      <c r="Y985" s="114"/>
      <c r="Z985" s="114"/>
      <c r="AA985" s="114"/>
      <c r="AB985" s="114"/>
      <c r="AC985" s="114"/>
      <c r="AD985" s="114"/>
      <c r="AE985" s="114"/>
      <c r="AF985" s="114"/>
      <c r="AG985" s="114"/>
      <c r="AH985" s="114"/>
    </row>
    <row r="986" spans="1:34" ht="24" customHeight="1" x14ac:dyDescent="0.6">
      <c r="A986" s="114"/>
      <c r="B986" s="114"/>
      <c r="C986" s="114"/>
      <c r="D986" s="114"/>
      <c r="E986" s="114"/>
      <c r="F986" s="115"/>
      <c r="G986" s="138"/>
      <c r="H986" s="114"/>
      <c r="I986" s="114"/>
      <c r="J986" s="114"/>
      <c r="K986" s="114"/>
      <c r="L986" s="114"/>
      <c r="M986" s="114"/>
      <c r="N986" s="114"/>
      <c r="O986" s="114"/>
      <c r="P986" s="114"/>
      <c r="Q986" s="114"/>
      <c r="R986" s="114"/>
      <c r="S986" s="114"/>
      <c r="T986" s="116"/>
      <c r="U986" s="116"/>
      <c r="V986" s="116"/>
      <c r="W986" s="209"/>
      <c r="X986" s="114"/>
      <c r="Y986" s="114"/>
      <c r="Z986" s="114"/>
      <c r="AA986" s="114"/>
      <c r="AB986" s="114"/>
      <c r="AC986" s="114"/>
      <c r="AD986" s="114"/>
      <c r="AE986" s="114"/>
      <c r="AF986" s="114"/>
      <c r="AG986" s="114"/>
      <c r="AH986" s="114"/>
    </row>
    <row r="987" spans="1:34" ht="24" customHeight="1" x14ac:dyDescent="0.6">
      <c r="A987" s="114"/>
      <c r="B987" s="114"/>
      <c r="C987" s="114"/>
      <c r="D987" s="114"/>
      <c r="E987" s="114"/>
      <c r="F987" s="115"/>
      <c r="G987" s="138"/>
      <c r="H987" s="114"/>
      <c r="I987" s="114"/>
      <c r="J987" s="114"/>
      <c r="K987" s="114"/>
      <c r="L987" s="114"/>
      <c r="M987" s="114"/>
      <c r="N987" s="114"/>
      <c r="O987" s="114"/>
      <c r="P987" s="114"/>
      <c r="Q987" s="114"/>
      <c r="R987" s="114"/>
      <c r="S987" s="114"/>
      <c r="T987" s="116"/>
      <c r="U987" s="116"/>
      <c r="V987" s="116"/>
      <c r="W987" s="209"/>
      <c r="X987" s="114"/>
      <c r="Y987" s="114"/>
      <c r="Z987" s="114"/>
      <c r="AA987" s="114"/>
      <c r="AB987" s="114"/>
      <c r="AC987" s="114"/>
      <c r="AD987" s="114"/>
      <c r="AE987" s="114"/>
      <c r="AF987" s="114"/>
      <c r="AG987" s="114"/>
      <c r="AH987" s="114"/>
    </row>
    <row r="988" spans="1:34" ht="24" customHeight="1" x14ac:dyDescent="0.6">
      <c r="A988" s="114"/>
      <c r="B988" s="114"/>
      <c r="C988" s="114"/>
      <c r="D988" s="114"/>
      <c r="E988" s="114"/>
      <c r="F988" s="115"/>
      <c r="G988" s="138"/>
      <c r="H988" s="114"/>
      <c r="I988" s="114"/>
      <c r="J988" s="114"/>
      <c r="K988" s="114"/>
      <c r="L988" s="114"/>
      <c r="M988" s="114"/>
      <c r="N988" s="114"/>
      <c r="O988" s="114"/>
      <c r="P988" s="114"/>
      <c r="Q988" s="114"/>
      <c r="R988" s="114"/>
      <c r="S988" s="114"/>
      <c r="T988" s="116"/>
      <c r="U988" s="116"/>
      <c r="V988" s="116"/>
      <c r="W988" s="209"/>
      <c r="X988" s="114"/>
      <c r="Y988" s="114"/>
      <c r="Z988" s="114"/>
      <c r="AA988" s="114"/>
      <c r="AB988" s="114"/>
      <c r="AC988" s="114"/>
      <c r="AD988" s="114"/>
      <c r="AE988" s="114"/>
      <c r="AF988" s="114"/>
      <c r="AG988" s="114"/>
      <c r="AH988" s="114"/>
    </row>
    <row r="989" spans="1:34" ht="24" customHeight="1" x14ac:dyDescent="0.6">
      <c r="A989" s="114"/>
      <c r="B989" s="114"/>
      <c r="C989" s="114"/>
      <c r="D989" s="114"/>
      <c r="E989" s="114"/>
      <c r="F989" s="115"/>
      <c r="G989" s="138"/>
      <c r="H989" s="114"/>
      <c r="I989" s="114"/>
      <c r="J989" s="114"/>
      <c r="K989" s="114"/>
      <c r="L989" s="114"/>
      <c r="M989" s="114"/>
      <c r="N989" s="114"/>
      <c r="O989" s="114"/>
      <c r="P989" s="114"/>
      <c r="Q989" s="114"/>
      <c r="R989" s="114"/>
      <c r="S989" s="114"/>
      <c r="T989" s="116"/>
      <c r="U989" s="116"/>
      <c r="V989" s="116"/>
      <c r="W989" s="209"/>
      <c r="X989" s="114"/>
      <c r="Y989" s="114"/>
      <c r="Z989" s="114"/>
      <c r="AA989" s="114"/>
      <c r="AB989" s="114"/>
      <c r="AC989" s="114"/>
      <c r="AD989" s="114"/>
      <c r="AE989" s="114"/>
      <c r="AF989" s="114"/>
      <c r="AG989" s="114"/>
      <c r="AH989" s="114"/>
    </row>
    <row r="990" spans="1:34" ht="24" customHeight="1" x14ac:dyDescent="0.6">
      <c r="A990" s="114"/>
      <c r="B990" s="114"/>
      <c r="C990" s="114"/>
      <c r="D990" s="114"/>
      <c r="E990" s="114"/>
      <c r="F990" s="115"/>
      <c r="G990" s="138"/>
      <c r="H990" s="114"/>
      <c r="I990" s="114"/>
      <c r="J990" s="114"/>
      <c r="K990" s="114"/>
      <c r="L990" s="114"/>
      <c r="M990" s="114"/>
      <c r="N990" s="114"/>
      <c r="O990" s="114"/>
      <c r="P990" s="114"/>
      <c r="Q990" s="114"/>
      <c r="R990" s="114"/>
      <c r="S990" s="114"/>
      <c r="T990" s="116"/>
      <c r="U990" s="116"/>
      <c r="V990" s="116"/>
      <c r="W990" s="209"/>
      <c r="X990" s="114"/>
      <c r="Y990" s="114"/>
      <c r="Z990" s="114"/>
      <c r="AA990" s="114"/>
      <c r="AB990" s="114"/>
      <c r="AC990" s="114"/>
      <c r="AD990" s="114"/>
      <c r="AE990" s="114"/>
      <c r="AF990" s="114"/>
      <c r="AG990" s="114"/>
      <c r="AH990" s="114"/>
    </row>
    <row r="991" spans="1:34" ht="24" customHeight="1" x14ac:dyDescent="0.6">
      <c r="A991" s="114"/>
      <c r="B991" s="114"/>
      <c r="C991" s="114"/>
      <c r="D991" s="114"/>
      <c r="E991" s="114"/>
      <c r="F991" s="115"/>
      <c r="G991" s="138"/>
      <c r="H991" s="114"/>
      <c r="I991" s="114"/>
      <c r="J991" s="114"/>
      <c r="K991" s="114"/>
      <c r="L991" s="114"/>
      <c r="M991" s="114"/>
      <c r="N991" s="114"/>
      <c r="O991" s="114"/>
      <c r="P991" s="114"/>
      <c r="Q991" s="114"/>
      <c r="R991" s="114"/>
      <c r="S991" s="114"/>
      <c r="T991" s="116"/>
      <c r="U991" s="116"/>
      <c r="V991" s="116"/>
      <c r="W991" s="209"/>
      <c r="X991" s="114"/>
      <c r="Y991" s="114"/>
      <c r="Z991" s="114"/>
      <c r="AA991" s="114"/>
      <c r="AB991" s="114"/>
      <c r="AC991" s="114"/>
      <c r="AD991" s="114"/>
      <c r="AE991" s="114"/>
      <c r="AF991" s="114"/>
      <c r="AG991" s="114"/>
      <c r="AH991" s="114"/>
    </row>
    <row r="992" spans="1:34" ht="24" customHeight="1" x14ac:dyDescent="0.6">
      <c r="A992" s="114"/>
      <c r="B992" s="114"/>
      <c r="C992" s="114"/>
      <c r="D992" s="114"/>
      <c r="E992" s="114"/>
      <c r="F992" s="115"/>
      <c r="G992" s="138"/>
      <c r="H992" s="114"/>
      <c r="I992" s="114"/>
      <c r="J992" s="114"/>
      <c r="K992" s="114"/>
      <c r="L992" s="114"/>
      <c r="M992" s="114"/>
      <c r="N992" s="114"/>
      <c r="O992" s="114"/>
      <c r="P992" s="114"/>
      <c r="Q992" s="114"/>
      <c r="R992" s="114"/>
      <c r="S992" s="114"/>
      <c r="T992" s="116"/>
      <c r="U992" s="116"/>
      <c r="V992" s="116"/>
      <c r="W992" s="209"/>
      <c r="X992" s="114"/>
      <c r="Y992" s="114"/>
      <c r="Z992" s="114"/>
      <c r="AA992" s="114"/>
      <c r="AB992" s="114"/>
      <c r="AC992" s="114"/>
      <c r="AD992" s="114"/>
      <c r="AE992" s="114"/>
      <c r="AF992" s="114"/>
      <c r="AG992" s="114"/>
      <c r="AH992" s="114"/>
    </row>
    <row r="993" spans="1:34" ht="24" customHeight="1" x14ac:dyDescent="0.6">
      <c r="A993" s="114"/>
      <c r="B993" s="114"/>
      <c r="C993" s="114"/>
      <c r="D993" s="114"/>
      <c r="E993" s="114"/>
      <c r="F993" s="115"/>
      <c r="G993" s="138"/>
      <c r="H993" s="114"/>
      <c r="I993" s="114"/>
      <c r="J993" s="114"/>
      <c r="K993" s="114"/>
      <c r="L993" s="114"/>
      <c r="M993" s="114"/>
      <c r="N993" s="114"/>
      <c r="O993" s="114"/>
      <c r="P993" s="114"/>
      <c r="Q993" s="114"/>
      <c r="R993" s="114"/>
      <c r="S993" s="114"/>
      <c r="T993" s="116"/>
      <c r="U993" s="116"/>
      <c r="V993" s="116"/>
      <c r="W993" s="209"/>
      <c r="X993" s="114"/>
      <c r="Y993" s="114"/>
      <c r="Z993" s="114"/>
      <c r="AA993" s="114"/>
      <c r="AB993" s="114"/>
      <c r="AC993" s="114"/>
      <c r="AD993" s="114"/>
      <c r="AE993" s="114"/>
      <c r="AF993" s="114"/>
      <c r="AG993" s="114"/>
      <c r="AH993" s="114"/>
    </row>
    <row r="994" spans="1:34" ht="24" customHeight="1" x14ac:dyDescent="0.6">
      <c r="A994" s="114"/>
      <c r="B994" s="114"/>
      <c r="C994" s="114"/>
      <c r="D994" s="114"/>
      <c r="E994" s="114"/>
      <c r="F994" s="115"/>
      <c r="G994" s="138"/>
      <c r="H994" s="114"/>
      <c r="I994" s="114"/>
      <c r="J994" s="114"/>
      <c r="K994" s="114"/>
      <c r="L994" s="114"/>
      <c r="M994" s="114"/>
      <c r="N994" s="114"/>
      <c r="O994" s="114"/>
      <c r="P994" s="114"/>
      <c r="Q994" s="114"/>
      <c r="R994" s="114"/>
      <c r="S994" s="114"/>
      <c r="T994" s="116"/>
      <c r="U994" s="116"/>
      <c r="V994" s="116"/>
      <c r="W994" s="209"/>
      <c r="X994" s="114"/>
      <c r="Y994" s="114"/>
      <c r="Z994" s="114"/>
      <c r="AA994" s="114"/>
      <c r="AB994" s="114"/>
      <c r="AC994" s="114"/>
      <c r="AD994" s="114"/>
      <c r="AE994" s="114"/>
      <c r="AF994" s="114"/>
      <c r="AG994" s="114"/>
      <c r="AH994" s="114"/>
    </row>
    <row r="995" spans="1:34" ht="24" customHeight="1" x14ac:dyDescent="0.6">
      <c r="A995" s="114"/>
      <c r="B995" s="114"/>
      <c r="C995" s="114"/>
      <c r="D995" s="114"/>
      <c r="E995" s="114"/>
      <c r="F995" s="115"/>
      <c r="G995" s="138"/>
      <c r="H995" s="114"/>
      <c r="I995" s="114"/>
      <c r="J995" s="114"/>
      <c r="K995" s="114"/>
      <c r="L995" s="114"/>
      <c r="M995" s="114"/>
      <c r="N995" s="114"/>
      <c r="O995" s="114"/>
      <c r="P995" s="114"/>
      <c r="Q995" s="114"/>
      <c r="R995" s="114"/>
      <c r="S995" s="114"/>
      <c r="T995" s="116"/>
      <c r="U995" s="116"/>
      <c r="V995" s="116"/>
      <c r="W995" s="209"/>
      <c r="X995" s="114"/>
      <c r="Y995" s="114"/>
      <c r="Z995" s="114"/>
      <c r="AA995" s="114"/>
      <c r="AB995" s="114"/>
      <c r="AC995" s="114"/>
      <c r="AD995" s="114"/>
      <c r="AE995" s="114"/>
      <c r="AF995" s="114"/>
      <c r="AG995" s="114"/>
      <c r="AH995" s="114"/>
    </row>
    <row r="996" spans="1:34" ht="24" customHeight="1" x14ac:dyDescent="0.6">
      <c r="A996" s="114"/>
      <c r="B996" s="114"/>
      <c r="C996" s="114"/>
      <c r="D996" s="114"/>
      <c r="E996" s="114"/>
      <c r="F996" s="115"/>
      <c r="G996" s="138"/>
      <c r="H996" s="114"/>
      <c r="I996" s="114"/>
      <c r="J996" s="114"/>
      <c r="K996" s="114"/>
      <c r="L996" s="114"/>
      <c r="M996" s="114"/>
      <c r="N996" s="114"/>
      <c r="O996" s="114"/>
      <c r="P996" s="114"/>
      <c r="Q996" s="114"/>
      <c r="R996" s="114"/>
      <c r="S996" s="114"/>
      <c r="T996" s="116"/>
      <c r="U996" s="116"/>
      <c r="V996" s="116"/>
      <c r="W996" s="209"/>
      <c r="X996" s="114"/>
      <c r="Y996" s="114"/>
      <c r="Z996" s="114"/>
      <c r="AA996" s="114"/>
      <c r="AB996" s="114"/>
      <c r="AC996" s="114"/>
      <c r="AD996" s="114"/>
      <c r="AE996" s="114"/>
      <c r="AF996" s="114"/>
      <c r="AG996" s="114"/>
      <c r="AH996" s="114"/>
    </row>
    <row r="997" spans="1:34" ht="24" customHeight="1" x14ac:dyDescent="0.6">
      <c r="A997" s="114"/>
      <c r="B997" s="114"/>
      <c r="C997" s="114"/>
      <c r="D997" s="114"/>
      <c r="E997" s="114"/>
      <c r="F997" s="115"/>
      <c r="G997" s="138"/>
      <c r="H997" s="114"/>
      <c r="I997" s="114"/>
      <c r="J997" s="114"/>
      <c r="K997" s="114"/>
      <c r="L997" s="114"/>
      <c r="M997" s="114"/>
      <c r="N997" s="114"/>
      <c r="O997" s="114"/>
      <c r="P997" s="114"/>
      <c r="Q997" s="114"/>
      <c r="R997" s="114"/>
      <c r="S997" s="114"/>
      <c r="T997" s="116"/>
      <c r="U997" s="116"/>
      <c r="V997" s="116"/>
      <c r="W997" s="209"/>
      <c r="X997" s="114"/>
      <c r="Y997" s="114"/>
      <c r="Z997" s="114"/>
      <c r="AA997" s="114"/>
      <c r="AB997" s="114"/>
      <c r="AC997" s="114"/>
      <c r="AD997" s="114"/>
      <c r="AE997" s="114"/>
      <c r="AF997" s="114"/>
      <c r="AG997" s="114"/>
      <c r="AH997" s="114"/>
    </row>
    <row r="998" spans="1:34" ht="24" customHeight="1" x14ac:dyDescent="0.6">
      <c r="A998" s="114"/>
      <c r="B998" s="114"/>
      <c r="C998" s="114"/>
      <c r="D998" s="114"/>
      <c r="E998" s="114"/>
      <c r="F998" s="115"/>
      <c r="G998" s="138"/>
      <c r="H998" s="114"/>
      <c r="I998" s="114"/>
      <c r="J998" s="114"/>
      <c r="K998" s="114"/>
      <c r="L998" s="114"/>
      <c r="M998" s="114"/>
      <c r="N998" s="114"/>
      <c r="O998" s="114"/>
      <c r="P998" s="114"/>
      <c r="Q998" s="114"/>
      <c r="R998" s="114"/>
      <c r="S998" s="114"/>
      <c r="T998" s="116"/>
      <c r="U998" s="116"/>
      <c r="V998" s="116"/>
      <c r="W998" s="209"/>
      <c r="X998" s="114"/>
      <c r="Y998" s="114"/>
      <c r="Z998" s="114"/>
      <c r="AA998" s="114"/>
      <c r="AB998" s="114"/>
      <c r="AC998" s="114"/>
      <c r="AD998" s="114"/>
      <c r="AE998" s="114"/>
      <c r="AF998" s="114"/>
      <c r="AG998" s="114"/>
      <c r="AH998" s="114"/>
    </row>
    <row r="999" spans="1:34" ht="24" customHeight="1" x14ac:dyDescent="0.6">
      <c r="A999" s="114"/>
      <c r="B999" s="114"/>
      <c r="C999" s="114"/>
      <c r="D999" s="114"/>
      <c r="E999" s="114"/>
      <c r="F999" s="115"/>
      <c r="G999" s="138"/>
      <c r="H999" s="114"/>
      <c r="I999" s="114"/>
      <c r="J999" s="114"/>
      <c r="K999" s="114"/>
      <c r="L999" s="114"/>
      <c r="M999" s="114"/>
      <c r="N999" s="114"/>
      <c r="O999" s="114"/>
      <c r="P999" s="114"/>
      <c r="Q999" s="114"/>
      <c r="R999" s="114"/>
      <c r="S999" s="114"/>
      <c r="T999" s="116"/>
      <c r="U999" s="116"/>
      <c r="V999" s="116"/>
      <c r="W999" s="209"/>
      <c r="X999" s="114"/>
      <c r="Y999" s="114"/>
      <c r="Z999" s="114"/>
      <c r="AA999" s="114"/>
      <c r="AB999" s="114"/>
      <c r="AC999" s="114"/>
      <c r="AD999" s="114"/>
      <c r="AE999" s="114"/>
      <c r="AF999" s="114"/>
      <c r="AG999" s="114"/>
      <c r="AH999" s="114"/>
    </row>
    <row r="1000" spans="1:34" ht="24" customHeight="1" x14ac:dyDescent="0.6">
      <c r="A1000" s="114"/>
      <c r="B1000" s="114"/>
      <c r="C1000" s="114"/>
      <c r="D1000" s="114"/>
      <c r="E1000" s="114"/>
      <c r="F1000" s="115"/>
      <c r="G1000" s="138"/>
      <c r="H1000" s="114"/>
      <c r="I1000" s="114"/>
      <c r="J1000" s="114"/>
      <c r="K1000" s="114"/>
      <c r="L1000" s="114"/>
      <c r="M1000" s="114"/>
      <c r="N1000" s="114"/>
      <c r="O1000" s="114"/>
      <c r="P1000" s="114"/>
      <c r="Q1000" s="114"/>
      <c r="R1000" s="114"/>
      <c r="S1000" s="114"/>
      <c r="T1000" s="116"/>
      <c r="U1000" s="116"/>
      <c r="V1000" s="116"/>
      <c r="W1000" s="209"/>
      <c r="X1000" s="114"/>
      <c r="Y1000" s="114"/>
      <c r="Z1000" s="114"/>
      <c r="AA1000" s="114"/>
      <c r="AB1000" s="114"/>
      <c r="AC1000" s="114"/>
      <c r="AD1000" s="114"/>
      <c r="AE1000" s="114"/>
      <c r="AF1000" s="114"/>
      <c r="AG1000" s="114"/>
      <c r="AH1000" s="114"/>
    </row>
    <row r="1001" spans="1:34" ht="24" customHeight="1" x14ac:dyDescent="0.6">
      <c r="A1001" s="114"/>
      <c r="B1001" s="114"/>
      <c r="C1001" s="114"/>
      <c r="D1001" s="114"/>
      <c r="E1001" s="114"/>
      <c r="F1001" s="115"/>
      <c r="G1001" s="138"/>
      <c r="H1001" s="114"/>
      <c r="I1001" s="114"/>
      <c r="J1001" s="114"/>
      <c r="K1001" s="114"/>
      <c r="L1001" s="114"/>
      <c r="M1001" s="114"/>
      <c r="N1001" s="114"/>
      <c r="O1001" s="114"/>
      <c r="P1001" s="114"/>
      <c r="Q1001" s="114"/>
      <c r="R1001" s="114"/>
      <c r="S1001" s="114"/>
      <c r="T1001" s="116"/>
      <c r="U1001" s="116"/>
      <c r="V1001" s="116"/>
      <c r="W1001" s="209"/>
      <c r="X1001" s="114"/>
      <c r="Y1001" s="114"/>
      <c r="Z1001" s="114"/>
      <c r="AA1001" s="114"/>
      <c r="AB1001" s="114"/>
      <c r="AC1001" s="114"/>
      <c r="AD1001" s="114"/>
      <c r="AE1001" s="114"/>
      <c r="AF1001" s="114"/>
      <c r="AG1001" s="114"/>
      <c r="AH1001" s="114"/>
    </row>
    <row r="1002" spans="1:34" ht="24" customHeight="1" x14ac:dyDescent="0.6">
      <c r="A1002" s="114"/>
      <c r="B1002" s="114"/>
      <c r="C1002" s="114"/>
      <c r="D1002" s="114"/>
      <c r="E1002" s="114"/>
      <c r="F1002" s="115"/>
      <c r="G1002" s="138"/>
      <c r="H1002" s="114"/>
      <c r="I1002" s="114"/>
      <c r="J1002" s="114"/>
      <c r="K1002" s="114"/>
      <c r="L1002" s="114"/>
      <c r="M1002" s="114"/>
      <c r="N1002" s="114"/>
      <c r="O1002" s="114"/>
      <c r="P1002" s="114"/>
      <c r="Q1002" s="114"/>
      <c r="R1002" s="114"/>
      <c r="S1002" s="114"/>
      <c r="T1002" s="116"/>
      <c r="U1002" s="116"/>
      <c r="V1002" s="116"/>
      <c r="W1002" s="209"/>
      <c r="X1002" s="114"/>
      <c r="Y1002" s="114"/>
      <c r="Z1002" s="114"/>
      <c r="AA1002" s="114"/>
      <c r="AB1002" s="114"/>
      <c r="AC1002" s="114"/>
      <c r="AD1002" s="114"/>
      <c r="AE1002" s="114"/>
      <c r="AF1002" s="114"/>
      <c r="AG1002" s="114"/>
      <c r="AH1002" s="114"/>
    </row>
    <row r="1003" spans="1:34" ht="24" customHeight="1" x14ac:dyDescent="0.6">
      <c r="A1003" s="114"/>
      <c r="B1003" s="114"/>
      <c r="C1003" s="114"/>
      <c r="D1003" s="114"/>
      <c r="E1003" s="114"/>
      <c r="F1003" s="115"/>
      <c r="G1003" s="138"/>
      <c r="H1003" s="114"/>
      <c r="I1003" s="114"/>
      <c r="J1003" s="114"/>
      <c r="K1003" s="114"/>
      <c r="L1003" s="114"/>
      <c r="M1003" s="114"/>
      <c r="N1003" s="114"/>
      <c r="O1003" s="114"/>
      <c r="P1003" s="114"/>
      <c r="Q1003" s="114"/>
      <c r="R1003" s="114"/>
      <c r="S1003" s="114"/>
      <c r="T1003" s="116"/>
      <c r="U1003" s="116"/>
      <c r="V1003" s="116"/>
      <c r="W1003" s="209"/>
      <c r="X1003" s="114"/>
      <c r="Y1003" s="114"/>
      <c r="Z1003" s="114"/>
      <c r="AA1003" s="114"/>
      <c r="AB1003" s="114"/>
      <c r="AC1003" s="114"/>
      <c r="AD1003" s="114"/>
      <c r="AE1003" s="114"/>
      <c r="AF1003" s="114"/>
      <c r="AG1003" s="114"/>
      <c r="AH1003" s="114"/>
    </row>
    <row r="1004" spans="1:34" ht="24" customHeight="1" x14ac:dyDescent="0.6">
      <c r="A1004" s="114"/>
      <c r="B1004" s="114"/>
      <c r="C1004" s="114"/>
      <c r="D1004" s="114"/>
      <c r="E1004" s="114"/>
      <c r="F1004" s="115"/>
      <c r="G1004" s="138"/>
      <c r="H1004" s="114"/>
      <c r="I1004" s="114"/>
      <c r="J1004" s="114"/>
      <c r="K1004" s="114"/>
      <c r="L1004" s="114"/>
      <c r="M1004" s="114"/>
      <c r="N1004" s="114"/>
      <c r="O1004" s="114"/>
      <c r="P1004" s="114"/>
      <c r="Q1004" s="114"/>
      <c r="R1004" s="114"/>
      <c r="S1004" s="114"/>
      <c r="T1004" s="116"/>
      <c r="U1004" s="116"/>
      <c r="V1004" s="116"/>
      <c r="W1004" s="209"/>
      <c r="X1004" s="114"/>
      <c r="Y1004" s="114"/>
      <c r="Z1004" s="114"/>
      <c r="AA1004" s="114"/>
      <c r="AB1004" s="114"/>
      <c r="AC1004" s="114"/>
      <c r="AD1004" s="114"/>
      <c r="AE1004" s="114"/>
      <c r="AF1004" s="114"/>
      <c r="AG1004" s="114"/>
      <c r="AH1004" s="114"/>
    </row>
    <row r="1005" spans="1:34" ht="24" customHeight="1" x14ac:dyDescent="0.6">
      <c r="A1005" s="114"/>
      <c r="B1005" s="114"/>
      <c r="C1005" s="114"/>
      <c r="D1005" s="114"/>
      <c r="E1005" s="114"/>
      <c r="F1005" s="115"/>
      <c r="G1005" s="138"/>
      <c r="H1005" s="114"/>
      <c r="I1005" s="114"/>
      <c r="J1005" s="114"/>
      <c r="K1005" s="114"/>
      <c r="L1005" s="114"/>
      <c r="M1005" s="114"/>
      <c r="N1005" s="114"/>
      <c r="O1005" s="114"/>
      <c r="P1005" s="114"/>
      <c r="Q1005" s="114"/>
      <c r="R1005" s="114"/>
      <c r="S1005" s="114"/>
      <c r="T1005" s="116"/>
      <c r="U1005" s="116"/>
      <c r="V1005" s="116"/>
      <c r="W1005" s="209"/>
      <c r="X1005" s="114"/>
      <c r="Y1005" s="114"/>
      <c r="Z1005" s="114"/>
      <c r="AA1005" s="114"/>
      <c r="AB1005" s="114"/>
      <c r="AC1005" s="114"/>
      <c r="AD1005" s="114"/>
      <c r="AE1005" s="114"/>
      <c r="AF1005" s="114"/>
      <c r="AG1005" s="114"/>
      <c r="AH1005" s="114"/>
    </row>
    <row r="1006" spans="1:34" ht="24" customHeight="1" x14ac:dyDescent="0.6">
      <c r="A1006" s="114"/>
      <c r="B1006" s="114"/>
      <c r="C1006" s="114"/>
      <c r="D1006" s="114"/>
      <c r="E1006" s="114"/>
      <c r="F1006" s="115"/>
      <c r="G1006" s="138"/>
      <c r="H1006" s="114"/>
      <c r="I1006" s="114"/>
      <c r="J1006" s="114"/>
      <c r="K1006" s="114"/>
      <c r="L1006" s="114"/>
      <c r="M1006" s="114"/>
      <c r="N1006" s="114"/>
      <c r="O1006" s="114"/>
      <c r="P1006" s="114"/>
      <c r="Q1006" s="114"/>
      <c r="R1006" s="114"/>
      <c r="S1006" s="114"/>
      <c r="T1006" s="116"/>
      <c r="U1006" s="116"/>
      <c r="V1006" s="116"/>
      <c r="W1006" s="209"/>
      <c r="X1006" s="114"/>
      <c r="Y1006" s="114"/>
      <c r="Z1006" s="114"/>
      <c r="AA1006" s="114"/>
      <c r="AB1006" s="114"/>
      <c r="AC1006" s="114"/>
      <c r="AD1006" s="114"/>
      <c r="AE1006" s="114"/>
      <c r="AF1006" s="114"/>
      <c r="AG1006" s="114"/>
      <c r="AH1006" s="114"/>
    </row>
    <row r="1007" spans="1:34" ht="24" customHeight="1" x14ac:dyDescent="0.6">
      <c r="A1007" s="114"/>
      <c r="B1007" s="114"/>
      <c r="C1007" s="114"/>
      <c r="D1007" s="114"/>
      <c r="E1007" s="114"/>
      <c r="F1007" s="115"/>
      <c r="G1007" s="138"/>
      <c r="H1007" s="114"/>
      <c r="I1007" s="114"/>
      <c r="J1007" s="114"/>
      <c r="K1007" s="114"/>
      <c r="L1007" s="114"/>
      <c r="M1007" s="114"/>
      <c r="N1007" s="114"/>
      <c r="O1007" s="114"/>
      <c r="P1007" s="114"/>
      <c r="Q1007" s="114"/>
      <c r="R1007" s="114"/>
      <c r="S1007" s="114"/>
      <c r="T1007" s="116"/>
      <c r="U1007" s="116"/>
      <c r="V1007" s="116"/>
      <c r="W1007" s="209"/>
      <c r="X1007" s="114"/>
      <c r="Y1007" s="114"/>
      <c r="Z1007" s="114"/>
      <c r="AA1007" s="114"/>
      <c r="AB1007" s="114"/>
      <c r="AC1007" s="114"/>
      <c r="AD1007" s="114"/>
      <c r="AE1007" s="114"/>
      <c r="AF1007" s="114"/>
      <c r="AG1007" s="114"/>
      <c r="AH1007" s="114"/>
    </row>
    <row r="1008" spans="1:34" ht="24" customHeight="1" x14ac:dyDescent="0.6">
      <c r="A1008" s="114"/>
      <c r="B1008" s="114"/>
      <c r="C1008" s="114"/>
      <c r="D1008" s="114"/>
      <c r="E1008" s="114"/>
      <c r="F1008" s="115"/>
      <c r="G1008" s="138"/>
      <c r="H1008" s="114"/>
      <c r="I1008" s="114"/>
      <c r="J1008" s="114"/>
      <c r="K1008" s="114"/>
      <c r="L1008" s="114"/>
      <c r="M1008" s="114"/>
      <c r="N1008" s="114"/>
      <c r="O1008" s="114"/>
      <c r="P1008" s="114"/>
      <c r="Q1008" s="114"/>
      <c r="R1008" s="114"/>
      <c r="S1008" s="114"/>
      <c r="T1008" s="116"/>
      <c r="U1008" s="116"/>
      <c r="V1008" s="116"/>
      <c r="W1008" s="209"/>
      <c r="X1008" s="114"/>
      <c r="Y1008" s="114"/>
      <c r="Z1008" s="114"/>
      <c r="AA1008" s="114"/>
      <c r="AB1008" s="114"/>
      <c r="AC1008" s="114"/>
      <c r="AD1008" s="114"/>
      <c r="AE1008" s="114"/>
      <c r="AF1008" s="114"/>
      <c r="AG1008" s="114"/>
      <c r="AH1008" s="114"/>
    </row>
  </sheetData>
  <mergeCells count="35">
    <mergeCell ref="A8:B8"/>
    <mergeCell ref="D18:E18"/>
    <mergeCell ref="T81:U81"/>
    <mergeCell ref="K81:M81"/>
    <mergeCell ref="N81:P81"/>
    <mergeCell ref="Q81:S81"/>
    <mergeCell ref="A59:E59"/>
    <mergeCell ref="F62:G62"/>
    <mergeCell ref="B1:E1"/>
    <mergeCell ref="U3:V3"/>
    <mergeCell ref="H2:K2"/>
    <mergeCell ref="B62:E62"/>
    <mergeCell ref="F5:F11"/>
    <mergeCell ref="F19:F25"/>
    <mergeCell ref="A60:E60"/>
    <mergeCell ref="B61:E61"/>
    <mergeCell ref="I61:S61"/>
    <mergeCell ref="B18:B26"/>
    <mergeCell ref="D3:D8"/>
    <mergeCell ref="A7:B7"/>
    <mergeCell ref="I1:S1"/>
    <mergeCell ref="B2:E2"/>
    <mergeCell ref="F33:F39"/>
    <mergeCell ref="F47:F53"/>
    <mergeCell ref="N2:Q2"/>
    <mergeCell ref="F88:J88"/>
    <mergeCell ref="N62:Q62"/>
    <mergeCell ref="F79:G79"/>
    <mergeCell ref="F83:J83"/>
    <mergeCell ref="F84:J84"/>
    <mergeCell ref="F85:J85"/>
    <mergeCell ref="F86:J86"/>
    <mergeCell ref="F81:J82"/>
    <mergeCell ref="F87:J87"/>
    <mergeCell ref="F80:S80"/>
  </mergeCells>
  <phoneticPr fontId="34" type="noConversion"/>
  <pageMargins left="0.27" right="0.19685039370078741" top="0.35" bottom="0.11811023622047245" header="0" footer="0"/>
  <pageSetup paperSize="9" scale="64" orientation="landscape" r:id="rId1"/>
  <rowBreaks count="1" manualBreakCount="1">
    <brk id="60" max="24" man="1"/>
  </rowBreaks>
  <ignoredErrors>
    <ignoredError sqref="D3 A8 B18 D18" unlockedFormula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J111"/>
  <sheetViews>
    <sheetView zoomScale="70" zoomScaleNormal="70" workbookViewId="0">
      <pane xSplit="1" ySplit="2" topLeftCell="BN91" activePane="bottomRight" state="frozen"/>
      <selection pane="topRight" activeCell="B1" sqref="B1"/>
      <selection pane="bottomLeft" activeCell="A3" sqref="A3"/>
      <selection pane="bottomRight" activeCell="CU102" sqref="CU102"/>
    </sheetView>
  </sheetViews>
  <sheetFormatPr defaultColWidth="14.42578125" defaultRowHeight="15" customHeight="1" x14ac:dyDescent="0.6"/>
  <cols>
    <col min="1" max="1" width="17.140625" customWidth="1"/>
    <col min="2" max="134" width="6" customWidth="1"/>
    <col min="135" max="141" width="6" hidden="1" customWidth="1"/>
    <col min="142" max="162" width="6" customWidth="1"/>
    <col min="163" max="169" width="6" hidden="1" customWidth="1"/>
    <col min="170" max="190" width="6" customWidth="1"/>
    <col min="191" max="197" width="6" hidden="1" customWidth="1"/>
    <col min="198" max="218" width="6" customWidth="1"/>
  </cols>
  <sheetData>
    <row r="1" spans="1:218" ht="21.75" customHeight="1" x14ac:dyDescent="0.6">
      <c r="A1" s="9" t="s">
        <v>21</v>
      </c>
      <c r="B1" s="10"/>
      <c r="C1" s="11"/>
      <c r="D1" s="11"/>
      <c r="E1" s="12" t="s">
        <v>22</v>
      </c>
      <c r="F1" s="11"/>
      <c r="G1" s="11"/>
      <c r="H1" s="11"/>
      <c r="I1" s="10"/>
      <c r="J1" s="11"/>
      <c r="K1" s="11"/>
      <c r="L1" s="12" t="s">
        <v>23</v>
      </c>
      <c r="M1" s="11"/>
      <c r="N1" s="11"/>
      <c r="O1" s="11"/>
      <c r="P1" s="10"/>
      <c r="Q1" s="11"/>
      <c r="R1" s="11"/>
      <c r="S1" s="13" t="s">
        <v>24</v>
      </c>
      <c r="T1" s="11"/>
      <c r="U1" s="11"/>
      <c r="V1" s="11"/>
      <c r="W1" s="10"/>
      <c r="X1" s="11"/>
      <c r="Y1" s="11"/>
      <c r="Z1" s="12" t="s">
        <v>25</v>
      </c>
      <c r="AA1" s="11"/>
      <c r="AB1" s="11"/>
      <c r="AC1" s="11"/>
      <c r="AD1" s="14"/>
      <c r="AE1" s="15"/>
      <c r="AF1" s="15"/>
      <c r="AG1" s="16" t="s">
        <v>26</v>
      </c>
      <c r="AH1" s="15"/>
      <c r="AI1" s="15"/>
      <c r="AJ1" s="15"/>
      <c r="AK1" s="14"/>
      <c r="AL1" s="15"/>
      <c r="AM1" s="15"/>
      <c r="AN1" s="16" t="s">
        <v>27</v>
      </c>
      <c r="AO1" s="15"/>
      <c r="AP1" s="15"/>
      <c r="AQ1" s="15"/>
      <c r="AR1" s="14"/>
      <c r="AS1" s="15"/>
      <c r="AT1" s="15"/>
      <c r="AU1" s="17" t="s">
        <v>28</v>
      </c>
      <c r="AV1" s="15"/>
      <c r="AW1" s="15"/>
      <c r="AX1" s="15"/>
      <c r="AY1" s="14"/>
      <c r="AZ1" s="15"/>
      <c r="BA1" s="15"/>
      <c r="BB1" s="16" t="s">
        <v>29</v>
      </c>
      <c r="BC1" s="15"/>
      <c r="BD1" s="15"/>
      <c r="BE1" s="18"/>
      <c r="BF1" s="19"/>
      <c r="BG1" s="20"/>
      <c r="BH1" s="20"/>
      <c r="BI1" s="21" t="s">
        <v>30</v>
      </c>
      <c r="BJ1" s="20"/>
      <c r="BK1" s="20"/>
      <c r="BL1" s="20"/>
      <c r="BM1" s="19"/>
      <c r="BN1" s="20"/>
      <c r="BO1" s="20"/>
      <c r="BP1" s="21" t="s">
        <v>31</v>
      </c>
      <c r="BQ1" s="20"/>
      <c r="BR1" s="20"/>
      <c r="BS1" s="20"/>
      <c r="BT1" s="19"/>
      <c r="BU1" s="20"/>
      <c r="BV1" s="20"/>
      <c r="BW1" s="22" t="s">
        <v>32</v>
      </c>
      <c r="BX1" s="20"/>
      <c r="BY1" s="20"/>
      <c r="BZ1" s="20"/>
      <c r="CA1" s="19"/>
      <c r="CB1" s="20"/>
      <c r="CC1" s="20"/>
      <c r="CD1" s="21" t="s">
        <v>33</v>
      </c>
      <c r="CE1" s="20"/>
      <c r="CF1" s="20"/>
      <c r="CG1" s="23"/>
      <c r="CH1" s="24"/>
      <c r="CI1" s="25"/>
      <c r="CJ1" s="25"/>
      <c r="CK1" s="26" t="s">
        <v>34</v>
      </c>
      <c r="CL1" s="25"/>
      <c r="CM1" s="25"/>
      <c r="CN1" s="25"/>
      <c r="CO1" s="24"/>
      <c r="CP1" s="25"/>
      <c r="CQ1" s="25"/>
      <c r="CR1" s="26" t="s">
        <v>35</v>
      </c>
      <c r="CS1" s="25"/>
      <c r="CT1" s="25"/>
      <c r="CU1" s="25"/>
      <c r="CV1" s="24"/>
      <c r="CW1" s="25"/>
      <c r="CX1" s="25"/>
      <c r="CY1" s="27" t="s">
        <v>36</v>
      </c>
      <c r="CZ1" s="25"/>
      <c r="DA1" s="25"/>
      <c r="DB1" s="25"/>
      <c r="DC1" s="24"/>
      <c r="DD1" s="25"/>
      <c r="DE1" s="25"/>
      <c r="DF1" s="26" t="s">
        <v>37</v>
      </c>
      <c r="DG1" s="25"/>
      <c r="DH1" s="25"/>
      <c r="DI1" s="28"/>
      <c r="DJ1" s="29"/>
      <c r="DK1" s="30"/>
      <c r="DL1" s="30"/>
      <c r="DM1" s="31" t="s">
        <v>38</v>
      </c>
      <c r="DN1" s="30"/>
      <c r="DO1" s="30"/>
      <c r="DP1" s="30"/>
      <c r="DQ1" s="29"/>
      <c r="DR1" s="30"/>
      <c r="DS1" s="30"/>
      <c r="DT1" s="31" t="s">
        <v>39</v>
      </c>
      <c r="DU1" s="30"/>
      <c r="DV1" s="30"/>
      <c r="DW1" s="30"/>
      <c r="DX1" s="29"/>
      <c r="DY1" s="30"/>
      <c r="DZ1" s="30"/>
      <c r="EA1" s="31" t="s">
        <v>40</v>
      </c>
      <c r="EB1" s="30"/>
      <c r="EC1" s="30"/>
      <c r="ED1" s="30"/>
      <c r="EE1" s="271"/>
      <c r="EF1" s="271"/>
      <c r="EG1" s="271"/>
      <c r="EH1" s="271"/>
      <c r="EI1" s="271"/>
      <c r="EJ1" s="271"/>
      <c r="EK1" s="271"/>
      <c r="EL1" s="32"/>
      <c r="EM1" s="33"/>
      <c r="EN1" s="33"/>
      <c r="EO1" s="34" t="s">
        <v>41</v>
      </c>
      <c r="EP1" s="33"/>
      <c r="EQ1" s="33"/>
      <c r="ER1" s="33"/>
      <c r="ES1" s="32"/>
      <c r="ET1" s="33"/>
      <c r="EU1" s="33"/>
      <c r="EV1" s="34" t="s">
        <v>42</v>
      </c>
      <c r="EW1" s="33"/>
      <c r="EX1" s="33"/>
      <c r="EY1" s="35"/>
      <c r="EZ1" s="32"/>
      <c r="FA1" s="33"/>
      <c r="FB1" s="33"/>
      <c r="FC1" s="34" t="s">
        <v>43</v>
      </c>
      <c r="FD1" s="33"/>
      <c r="FE1" s="33"/>
      <c r="FF1" s="33"/>
      <c r="FG1" s="278"/>
      <c r="FH1" s="278"/>
      <c r="FI1" s="278"/>
      <c r="FJ1" s="278"/>
      <c r="FK1" s="278"/>
      <c r="FL1" s="278"/>
      <c r="FM1" s="278"/>
      <c r="FN1" s="36"/>
      <c r="FO1" s="37"/>
      <c r="FP1" s="37"/>
      <c r="FQ1" s="38" t="s">
        <v>44</v>
      </c>
      <c r="FR1" s="37"/>
      <c r="FS1" s="37"/>
      <c r="FT1" s="37"/>
      <c r="FU1" s="36"/>
      <c r="FV1" s="37"/>
      <c r="FW1" s="37"/>
      <c r="FX1" s="38" t="s">
        <v>45</v>
      </c>
      <c r="FY1" s="37"/>
      <c r="FZ1" s="37"/>
      <c r="GA1" s="39"/>
      <c r="GB1" s="36"/>
      <c r="GC1" s="37"/>
      <c r="GD1" s="37"/>
      <c r="GE1" s="38" t="s">
        <v>46</v>
      </c>
      <c r="GF1" s="37"/>
      <c r="GG1" s="37"/>
      <c r="GH1" s="37"/>
      <c r="GI1" s="279"/>
      <c r="GJ1" s="279"/>
      <c r="GK1" s="279"/>
      <c r="GL1" s="279"/>
      <c r="GM1" s="279"/>
      <c r="GN1" s="279"/>
      <c r="GO1" s="279"/>
      <c r="GP1" s="40"/>
      <c r="GQ1" s="41"/>
      <c r="GR1" s="41"/>
      <c r="GS1" s="42" t="s">
        <v>47</v>
      </c>
      <c r="GT1" s="41"/>
      <c r="GU1" s="41"/>
      <c r="GV1" s="41"/>
      <c r="GW1" s="40"/>
      <c r="GX1" s="41"/>
      <c r="GY1" s="41"/>
      <c r="GZ1" s="42" t="s">
        <v>48</v>
      </c>
      <c r="HA1" s="41"/>
      <c r="HB1" s="41"/>
      <c r="HC1" s="43"/>
      <c r="HD1" s="40"/>
      <c r="HE1" s="41"/>
      <c r="HF1" s="41"/>
      <c r="HG1" s="42" t="s">
        <v>49</v>
      </c>
      <c r="HH1" s="41"/>
      <c r="HI1" s="41"/>
      <c r="HJ1" s="41"/>
    </row>
    <row r="2" spans="1:218" s="172" customFormat="1" ht="30.75" customHeight="1" x14ac:dyDescent="0.5">
      <c r="A2" s="163" t="s">
        <v>50</v>
      </c>
      <c r="B2" s="173" t="s">
        <v>51</v>
      </c>
      <c r="C2" s="173" t="s">
        <v>52</v>
      </c>
      <c r="D2" s="173" t="s">
        <v>53</v>
      </c>
      <c r="E2" s="173" t="s">
        <v>54</v>
      </c>
      <c r="F2" s="173" t="s">
        <v>55</v>
      </c>
      <c r="G2" s="173" t="s">
        <v>56</v>
      </c>
      <c r="H2" s="164" t="s">
        <v>57</v>
      </c>
      <c r="I2" s="164" t="s">
        <v>51</v>
      </c>
      <c r="J2" s="164" t="s">
        <v>52</v>
      </c>
      <c r="K2" s="164" t="s">
        <v>53</v>
      </c>
      <c r="L2" s="164" t="s">
        <v>54</v>
      </c>
      <c r="M2" s="164" t="s">
        <v>55</v>
      </c>
      <c r="N2" s="164" t="s">
        <v>56</v>
      </c>
      <c r="O2" s="164" t="s">
        <v>57</v>
      </c>
      <c r="P2" s="164" t="s">
        <v>51</v>
      </c>
      <c r="Q2" s="164" t="s">
        <v>52</v>
      </c>
      <c r="R2" s="164" t="s">
        <v>53</v>
      </c>
      <c r="S2" s="164" t="s">
        <v>54</v>
      </c>
      <c r="T2" s="164" t="s">
        <v>55</v>
      </c>
      <c r="U2" s="164" t="s">
        <v>56</v>
      </c>
      <c r="V2" s="164" t="s">
        <v>57</v>
      </c>
      <c r="W2" s="164" t="s">
        <v>51</v>
      </c>
      <c r="X2" s="164" t="s">
        <v>52</v>
      </c>
      <c r="Y2" s="164" t="s">
        <v>53</v>
      </c>
      <c r="Z2" s="164" t="s">
        <v>54</v>
      </c>
      <c r="AA2" s="164" t="s">
        <v>55</v>
      </c>
      <c r="AB2" s="164" t="s">
        <v>56</v>
      </c>
      <c r="AC2" s="164" t="s">
        <v>57</v>
      </c>
      <c r="AD2" s="165" t="s">
        <v>51</v>
      </c>
      <c r="AE2" s="165" t="s">
        <v>52</v>
      </c>
      <c r="AF2" s="165" t="s">
        <v>53</v>
      </c>
      <c r="AG2" s="165" t="s">
        <v>54</v>
      </c>
      <c r="AH2" s="165" t="s">
        <v>55</v>
      </c>
      <c r="AI2" s="165" t="s">
        <v>56</v>
      </c>
      <c r="AJ2" s="165" t="s">
        <v>57</v>
      </c>
      <c r="AK2" s="165" t="s">
        <v>51</v>
      </c>
      <c r="AL2" s="165" t="s">
        <v>52</v>
      </c>
      <c r="AM2" s="165" t="s">
        <v>53</v>
      </c>
      <c r="AN2" s="165" t="s">
        <v>54</v>
      </c>
      <c r="AO2" s="165" t="s">
        <v>55</v>
      </c>
      <c r="AP2" s="165" t="s">
        <v>56</v>
      </c>
      <c r="AQ2" s="165" t="s">
        <v>57</v>
      </c>
      <c r="AR2" s="165" t="s">
        <v>51</v>
      </c>
      <c r="AS2" s="165" t="s">
        <v>52</v>
      </c>
      <c r="AT2" s="165" t="s">
        <v>53</v>
      </c>
      <c r="AU2" s="165" t="s">
        <v>54</v>
      </c>
      <c r="AV2" s="165" t="s">
        <v>55</v>
      </c>
      <c r="AW2" s="165" t="s">
        <v>56</v>
      </c>
      <c r="AX2" s="165" t="s">
        <v>57</v>
      </c>
      <c r="AY2" s="165" t="s">
        <v>51</v>
      </c>
      <c r="AZ2" s="165" t="s">
        <v>52</v>
      </c>
      <c r="BA2" s="165" t="s">
        <v>53</v>
      </c>
      <c r="BB2" s="165" t="s">
        <v>54</v>
      </c>
      <c r="BC2" s="165" t="s">
        <v>55</v>
      </c>
      <c r="BD2" s="165" t="s">
        <v>56</v>
      </c>
      <c r="BE2" s="165" t="s">
        <v>57</v>
      </c>
      <c r="BF2" s="166" t="s">
        <v>51</v>
      </c>
      <c r="BG2" s="166" t="s">
        <v>52</v>
      </c>
      <c r="BH2" s="166" t="s">
        <v>53</v>
      </c>
      <c r="BI2" s="166" t="s">
        <v>54</v>
      </c>
      <c r="BJ2" s="166" t="s">
        <v>55</v>
      </c>
      <c r="BK2" s="166" t="s">
        <v>56</v>
      </c>
      <c r="BL2" s="166" t="s">
        <v>57</v>
      </c>
      <c r="BM2" s="166" t="s">
        <v>51</v>
      </c>
      <c r="BN2" s="166" t="s">
        <v>52</v>
      </c>
      <c r="BO2" s="166" t="s">
        <v>53</v>
      </c>
      <c r="BP2" s="166" t="s">
        <v>54</v>
      </c>
      <c r="BQ2" s="166" t="s">
        <v>55</v>
      </c>
      <c r="BR2" s="166" t="s">
        <v>56</v>
      </c>
      <c r="BS2" s="166" t="s">
        <v>57</v>
      </c>
      <c r="BT2" s="166" t="s">
        <v>51</v>
      </c>
      <c r="BU2" s="166" t="s">
        <v>52</v>
      </c>
      <c r="BV2" s="166" t="s">
        <v>53</v>
      </c>
      <c r="BW2" s="166" t="s">
        <v>54</v>
      </c>
      <c r="BX2" s="166" t="s">
        <v>55</v>
      </c>
      <c r="BY2" s="166" t="s">
        <v>56</v>
      </c>
      <c r="BZ2" s="166" t="s">
        <v>57</v>
      </c>
      <c r="CA2" s="166" t="s">
        <v>51</v>
      </c>
      <c r="CB2" s="166" t="s">
        <v>52</v>
      </c>
      <c r="CC2" s="166" t="s">
        <v>53</v>
      </c>
      <c r="CD2" s="166" t="s">
        <v>54</v>
      </c>
      <c r="CE2" s="166" t="s">
        <v>55</v>
      </c>
      <c r="CF2" s="166" t="s">
        <v>56</v>
      </c>
      <c r="CG2" s="166" t="s">
        <v>57</v>
      </c>
      <c r="CH2" s="167" t="s">
        <v>51</v>
      </c>
      <c r="CI2" s="167" t="s">
        <v>52</v>
      </c>
      <c r="CJ2" s="167" t="s">
        <v>53</v>
      </c>
      <c r="CK2" s="167" t="s">
        <v>54</v>
      </c>
      <c r="CL2" s="167" t="s">
        <v>55</v>
      </c>
      <c r="CM2" s="167" t="s">
        <v>56</v>
      </c>
      <c r="CN2" s="167" t="s">
        <v>57</v>
      </c>
      <c r="CO2" s="167" t="s">
        <v>51</v>
      </c>
      <c r="CP2" s="167" t="s">
        <v>52</v>
      </c>
      <c r="CQ2" s="167" t="s">
        <v>53</v>
      </c>
      <c r="CR2" s="167" t="s">
        <v>54</v>
      </c>
      <c r="CS2" s="167" t="s">
        <v>55</v>
      </c>
      <c r="CT2" s="167" t="s">
        <v>56</v>
      </c>
      <c r="CU2" s="167" t="s">
        <v>57</v>
      </c>
      <c r="CV2" s="167" t="s">
        <v>51</v>
      </c>
      <c r="CW2" s="167" t="s">
        <v>52</v>
      </c>
      <c r="CX2" s="167" t="s">
        <v>53</v>
      </c>
      <c r="CY2" s="167" t="s">
        <v>54</v>
      </c>
      <c r="CZ2" s="167" t="s">
        <v>55</v>
      </c>
      <c r="DA2" s="167" t="s">
        <v>56</v>
      </c>
      <c r="DB2" s="167" t="s">
        <v>57</v>
      </c>
      <c r="DC2" s="167" t="s">
        <v>51</v>
      </c>
      <c r="DD2" s="167" t="s">
        <v>52</v>
      </c>
      <c r="DE2" s="167" t="s">
        <v>53</v>
      </c>
      <c r="DF2" s="167" t="s">
        <v>54</v>
      </c>
      <c r="DG2" s="167" t="s">
        <v>55</v>
      </c>
      <c r="DH2" s="167" t="s">
        <v>56</v>
      </c>
      <c r="DI2" s="167" t="s">
        <v>57</v>
      </c>
      <c r="DJ2" s="168" t="s">
        <v>51</v>
      </c>
      <c r="DK2" s="168" t="s">
        <v>52</v>
      </c>
      <c r="DL2" s="168" t="s">
        <v>53</v>
      </c>
      <c r="DM2" s="168" t="s">
        <v>54</v>
      </c>
      <c r="DN2" s="168" t="s">
        <v>55</v>
      </c>
      <c r="DO2" s="168" t="s">
        <v>56</v>
      </c>
      <c r="DP2" s="168" t="s">
        <v>57</v>
      </c>
      <c r="DQ2" s="168" t="s">
        <v>51</v>
      </c>
      <c r="DR2" s="168" t="s">
        <v>52</v>
      </c>
      <c r="DS2" s="168" t="s">
        <v>53</v>
      </c>
      <c r="DT2" s="168" t="s">
        <v>54</v>
      </c>
      <c r="DU2" s="168" t="s">
        <v>55</v>
      </c>
      <c r="DV2" s="168" t="s">
        <v>56</v>
      </c>
      <c r="DW2" s="168" t="s">
        <v>57</v>
      </c>
      <c r="DX2" s="168" t="s">
        <v>51</v>
      </c>
      <c r="DY2" s="168" t="s">
        <v>52</v>
      </c>
      <c r="DZ2" s="168" t="s">
        <v>53</v>
      </c>
      <c r="EA2" s="168" t="s">
        <v>54</v>
      </c>
      <c r="EB2" s="168" t="s">
        <v>55</v>
      </c>
      <c r="EC2" s="168" t="s">
        <v>56</v>
      </c>
      <c r="ED2" s="168" t="s">
        <v>57</v>
      </c>
      <c r="EE2" s="168"/>
      <c r="EF2" s="168"/>
      <c r="EG2" s="168"/>
      <c r="EH2" s="168"/>
      <c r="EI2" s="168"/>
      <c r="EJ2" s="168"/>
      <c r="EK2" s="168"/>
      <c r="EL2" s="169" t="s">
        <v>51</v>
      </c>
      <c r="EM2" s="169" t="s">
        <v>52</v>
      </c>
      <c r="EN2" s="169" t="s">
        <v>53</v>
      </c>
      <c r="EO2" s="169" t="s">
        <v>54</v>
      </c>
      <c r="EP2" s="169" t="s">
        <v>55</v>
      </c>
      <c r="EQ2" s="169" t="s">
        <v>56</v>
      </c>
      <c r="ER2" s="169" t="s">
        <v>57</v>
      </c>
      <c r="ES2" s="169" t="s">
        <v>51</v>
      </c>
      <c r="ET2" s="169" t="s">
        <v>52</v>
      </c>
      <c r="EU2" s="169" t="s">
        <v>53</v>
      </c>
      <c r="EV2" s="169" t="s">
        <v>54</v>
      </c>
      <c r="EW2" s="169" t="s">
        <v>55</v>
      </c>
      <c r="EX2" s="169" t="s">
        <v>56</v>
      </c>
      <c r="EY2" s="169" t="s">
        <v>57</v>
      </c>
      <c r="EZ2" s="169" t="s">
        <v>51</v>
      </c>
      <c r="FA2" s="169" t="s">
        <v>52</v>
      </c>
      <c r="FB2" s="169" t="s">
        <v>53</v>
      </c>
      <c r="FC2" s="169" t="s">
        <v>54</v>
      </c>
      <c r="FD2" s="169" t="s">
        <v>55</v>
      </c>
      <c r="FE2" s="169" t="s">
        <v>56</v>
      </c>
      <c r="FF2" s="169" t="s">
        <v>57</v>
      </c>
      <c r="FG2" s="169"/>
      <c r="FH2" s="169"/>
      <c r="FI2" s="169"/>
      <c r="FJ2" s="169"/>
      <c r="FK2" s="169"/>
      <c r="FL2" s="169"/>
      <c r="FM2" s="169"/>
      <c r="FN2" s="170" t="s">
        <v>51</v>
      </c>
      <c r="FO2" s="170" t="s">
        <v>52</v>
      </c>
      <c r="FP2" s="170" t="s">
        <v>53</v>
      </c>
      <c r="FQ2" s="170" t="s">
        <v>54</v>
      </c>
      <c r="FR2" s="170" t="s">
        <v>55</v>
      </c>
      <c r="FS2" s="170" t="s">
        <v>56</v>
      </c>
      <c r="FT2" s="170" t="s">
        <v>57</v>
      </c>
      <c r="FU2" s="170" t="s">
        <v>51</v>
      </c>
      <c r="FV2" s="170" t="s">
        <v>52</v>
      </c>
      <c r="FW2" s="170" t="s">
        <v>53</v>
      </c>
      <c r="FX2" s="170" t="s">
        <v>54</v>
      </c>
      <c r="FY2" s="170" t="s">
        <v>55</v>
      </c>
      <c r="FZ2" s="170" t="s">
        <v>56</v>
      </c>
      <c r="GA2" s="170" t="s">
        <v>57</v>
      </c>
      <c r="GB2" s="170" t="s">
        <v>51</v>
      </c>
      <c r="GC2" s="170" t="s">
        <v>52</v>
      </c>
      <c r="GD2" s="170" t="s">
        <v>53</v>
      </c>
      <c r="GE2" s="170" t="s">
        <v>54</v>
      </c>
      <c r="GF2" s="170" t="s">
        <v>55</v>
      </c>
      <c r="GG2" s="170" t="s">
        <v>56</v>
      </c>
      <c r="GH2" s="170" t="s">
        <v>57</v>
      </c>
      <c r="GI2" s="170"/>
      <c r="GJ2" s="170"/>
      <c r="GK2" s="170"/>
      <c r="GL2" s="170"/>
      <c r="GM2" s="170"/>
      <c r="GN2" s="170"/>
      <c r="GO2" s="170"/>
      <c r="GP2" s="171" t="s">
        <v>51</v>
      </c>
      <c r="GQ2" s="171" t="s">
        <v>52</v>
      </c>
      <c r="GR2" s="171" t="s">
        <v>53</v>
      </c>
      <c r="GS2" s="171" t="s">
        <v>54</v>
      </c>
      <c r="GT2" s="171" t="s">
        <v>55</v>
      </c>
      <c r="GU2" s="171" t="s">
        <v>56</v>
      </c>
      <c r="GV2" s="171" t="s">
        <v>57</v>
      </c>
      <c r="GW2" s="171" t="s">
        <v>51</v>
      </c>
      <c r="GX2" s="171" t="s">
        <v>52</v>
      </c>
      <c r="GY2" s="171" t="s">
        <v>53</v>
      </c>
      <c r="GZ2" s="171" t="s">
        <v>54</v>
      </c>
      <c r="HA2" s="171" t="s">
        <v>55</v>
      </c>
      <c r="HB2" s="171" t="s">
        <v>56</v>
      </c>
      <c r="HC2" s="171" t="s">
        <v>57</v>
      </c>
      <c r="HD2" s="171" t="s">
        <v>51</v>
      </c>
      <c r="HE2" s="171" t="s">
        <v>52</v>
      </c>
      <c r="HF2" s="171" t="s">
        <v>53</v>
      </c>
      <c r="HG2" s="171" t="s">
        <v>54</v>
      </c>
      <c r="HH2" s="171" t="s">
        <v>55</v>
      </c>
      <c r="HI2" s="171" t="s">
        <v>56</v>
      </c>
      <c r="HJ2" s="171" t="s">
        <v>57</v>
      </c>
    </row>
    <row r="3" spans="1:218" ht="21.75" customHeight="1" x14ac:dyDescent="0.6">
      <c r="A3" s="44" t="s">
        <v>58</v>
      </c>
      <c r="B3" s="45">
        <f>volume!B3</f>
        <v>38</v>
      </c>
      <c r="C3" s="46">
        <f>volume!C3</f>
        <v>7</v>
      </c>
      <c r="D3" s="46">
        <f>volume!D3</f>
        <v>0</v>
      </c>
      <c r="E3" s="46">
        <f>volume!E3</f>
        <v>0</v>
      </c>
      <c r="F3" s="46">
        <f>volume!F3</f>
        <v>1</v>
      </c>
      <c r="G3" s="47">
        <f>volume!G3</f>
        <v>0</v>
      </c>
      <c r="H3" s="48">
        <f t="shared" ref="H3:H50" si="0">SUM($B3:$G3)</f>
        <v>46</v>
      </c>
      <c r="I3" s="45">
        <f>volume!I3</f>
        <v>22</v>
      </c>
      <c r="J3" s="46">
        <f>volume!J3</f>
        <v>5</v>
      </c>
      <c r="K3" s="46">
        <f>volume!K3</f>
        <v>0</v>
      </c>
      <c r="L3" s="46">
        <f>volume!L3</f>
        <v>0</v>
      </c>
      <c r="M3" s="46">
        <f>volume!M3</f>
        <v>0</v>
      </c>
      <c r="N3" s="47">
        <f>volume!N3</f>
        <v>0</v>
      </c>
      <c r="O3" s="49">
        <f t="shared" ref="O3:O50" si="1">SUM(I3:N3)</f>
        <v>27</v>
      </c>
      <c r="P3" s="45">
        <f>volume!P3</f>
        <v>29</v>
      </c>
      <c r="Q3" s="46">
        <f>volume!Q3</f>
        <v>9</v>
      </c>
      <c r="R3" s="46">
        <f>volume!R3</f>
        <v>0</v>
      </c>
      <c r="S3" s="46">
        <f>volume!S3</f>
        <v>0</v>
      </c>
      <c r="T3" s="46">
        <f>volume!T3</f>
        <v>0</v>
      </c>
      <c r="U3" s="47">
        <f>volume!U3</f>
        <v>0</v>
      </c>
      <c r="V3" s="49">
        <f t="shared" ref="V3:V50" si="2">SUM(P3:U3)</f>
        <v>38</v>
      </c>
      <c r="W3" s="45">
        <f>volume!W3</f>
        <v>0</v>
      </c>
      <c r="X3" s="46">
        <f>volume!X3</f>
        <v>0</v>
      </c>
      <c r="Y3" s="46">
        <f>volume!Y3</f>
        <v>0</v>
      </c>
      <c r="Z3" s="46">
        <f>volume!Z3</f>
        <v>0</v>
      </c>
      <c r="AA3" s="46">
        <f>volume!AA3</f>
        <v>0</v>
      </c>
      <c r="AB3" s="47">
        <f>volume!AB3</f>
        <v>0</v>
      </c>
      <c r="AC3" s="49">
        <f t="shared" ref="AC3:AC50" si="3">SUM(W3:AB3)</f>
        <v>0</v>
      </c>
      <c r="AD3" s="45">
        <f>volume!AD3</f>
        <v>48</v>
      </c>
      <c r="AE3" s="46">
        <f>volume!AE3</f>
        <v>18</v>
      </c>
      <c r="AF3" s="46">
        <f>volume!AF3</f>
        <v>0</v>
      </c>
      <c r="AG3" s="46">
        <f>volume!AG3</f>
        <v>0</v>
      </c>
      <c r="AH3" s="46">
        <f>volume!AH3</f>
        <v>1</v>
      </c>
      <c r="AI3" s="47">
        <f>volume!AI3</f>
        <v>0</v>
      </c>
      <c r="AJ3" s="49">
        <f t="shared" ref="AJ3:AJ50" si="4">SUM(AD3:AI3)</f>
        <v>67</v>
      </c>
      <c r="AK3" s="45">
        <f>volume!AK3</f>
        <v>191</v>
      </c>
      <c r="AL3" s="46">
        <f>volume!AL3</f>
        <v>39</v>
      </c>
      <c r="AM3" s="46">
        <f>volume!AM3</f>
        <v>0</v>
      </c>
      <c r="AN3" s="46">
        <f>volume!AN3</f>
        <v>0</v>
      </c>
      <c r="AO3" s="46">
        <f>volume!AO3</f>
        <v>0</v>
      </c>
      <c r="AP3" s="47">
        <f>volume!AP3</f>
        <v>0</v>
      </c>
      <c r="AQ3" s="49">
        <f t="shared" ref="AQ3:AQ50" si="5">SUM(AK3:AP3)</f>
        <v>230</v>
      </c>
      <c r="AR3" s="45">
        <f>volume!AR3</f>
        <v>35</v>
      </c>
      <c r="AS3" s="46">
        <f>volume!AS3</f>
        <v>7</v>
      </c>
      <c r="AT3" s="46">
        <f>volume!AT3</f>
        <v>0</v>
      </c>
      <c r="AU3" s="46">
        <f>volume!AU3</f>
        <v>0</v>
      </c>
      <c r="AV3" s="46">
        <f>volume!AV3</f>
        <v>0</v>
      </c>
      <c r="AW3" s="47">
        <f>volume!AW3</f>
        <v>0</v>
      </c>
      <c r="AX3" s="49">
        <f t="shared" ref="AX3:AX50" si="6">SUM(AR3:AW3)</f>
        <v>42</v>
      </c>
      <c r="AY3" s="45">
        <f>volume!AY3</f>
        <v>54</v>
      </c>
      <c r="AZ3" s="46">
        <f>volume!AZ3</f>
        <v>11</v>
      </c>
      <c r="BA3" s="46">
        <f>volume!BA3</f>
        <v>0</v>
      </c>
      <c r="BB3" s="46">
        <f>volume!BB3</f>
        <v>0</v>
      </c>
      <c r="BC3" s="46">
        <f>volume!BC3</f>
        <v>1</v>
      </c>
      <c r="BD3" s="47">
        <f>volume!BD3</f>
        <v>0</v>
      </c>
      <c r="BE3" s="49">
        <f t="shared" ref="BE3:BE50" si="7">SUM(AY3:BD3)</f>
        <v>66</v>
      </c>
      <c r="BF3" s="45">
        <f>volume!BF3</f>
        <v>2</v>
      </c>
      <c r="BG3" s="46">
        <f>volume!BG3</f>
        <v>0</v>
      </c>
      <c r="BH3" s="46">
        <f>volume!BH3</f>
        <v>0</v>
      </c>
      <c r="BI3" s="46">
        <f>volume!BI3</f>
        <v>0</v>
      </c>
      <c r="BJ3" s="46">
        <f>volume!BJ3</f>
        <v>0</v>
      </c>
      <c r="BK3" s="47">
        <f>volume!BK3</f>
        <v>0</v>
      </c>
      <c r="BL3" s="49">
        <f t="shared" ref="BL3:BL50" si="8">SUM(BF3:BK3)</f>
        <v>2</v>
      </c>
      <c r="BM3" s="45">
        <f>volume!BM3</f>
        <v>75</v>
      </c>
      <c r="BN3" s="46">
        <f>volume!BN3</f>
        <v>7</v>
      </c>
      <c r="BO3" s="46">
        <f>volume!BO3</f>
        <v>0</v>
      </c>
      <c r="BP3" s="46">
        <f>volume!BP3</f>
        <v>0</v>
      </c>
      <c r="BQ3" s="46">
        <f>volume!BQ3</f>
        <v>0</v>
      </c>
      <c r="BR3" s="47">
        <f>volume!BR3</f>
        <v>0</v>
      </c>
      <c r="BS3" s="49">
        <f t="shared" ref="BS3:BS50" si="9">SUM(BM3:BR3)</f>
        <v>82</v>
      </c>
      <c r="BT3" s="45">
        <f>volume!BT3</f>
        <v>65</v>
      </c>
      <c r="BU3" s="46">
        <f>volume!BU3</f>
        <v>10</v>
      </c>
      <c r="BV3" s="46">
        <f>volume!BV3</f>
        <v>0</v>
      </c>
      <c r="BW3" s="46">
        <f>volume!BW3</f>
        <v>0</v>
      </c>
      <c r="BX3" s="46">
        <f>volume!BX3</f>
        <v>0</v>
      </c>
      <c r="BY3" s="47">
        <f>volume!BY3</f>
        <v>0</v>
      </c>
      <c r="BZ3" s="49">
        <f t="shared" ref="BZ3:BZ50" si="10">SUM(BT3:BY3)</f>
        <v>75</v>
      </c>
      <c r="CA3" s="45">
        <f>volume!CA3</f>
        <v>0</v>
      </c>
      <c r="CB3" s="46">
        <f>volume!CB3</f>
        <v>0</v>
      </c>
      <c r="CC3" s="46">
        <f>volume!CC3</f>
        <v>0</v>
      </c>
      <c r="CD3" s="46">
        <f>volume!CD3</f>
        <v>0</v>
      </c>
      <c r="CE3" s="46">
        <f>volume!CE3</f>
        <v>0</v>
      </c>
      <c r="CF3" s="47">
        <f>volume!CF3</f>
        <v>0</v>
      </c>
      <c r="CG3" s="49">
        <f t="shared" ref="CG3:CG50" si="11">SUM(CA3:CF3)</f>
        <v>0</v>
      </c>
      <c r="CH3" s="45">
        <f>volume!CH3</f>
        <v>67</v>
      </c>
      <c r="CI3" s="46">
        <f>volume!CI3</f>
        <v>6</v>
      </c>
      <c r="CJ3" s="46">
        <f>volume!CJ3</f>
        <v>0</v>
      </c>
      <c r="CK3" s="46">
        <f>volume!CK3</f>
        <v>0</v>
      </c>
      <c r="CL3" s="46">
        <f>volume!CL3</f>
        <v>0</v>
      </c>
      <c r="CM3" s="47">
        <f>volume!CM3</f>
        <v>0</v>
      </c>
      <c r="CN3" s="49">
        <f t="shared" ref="CN3:CN50" si="12">SUM(CH3:CM3)</f>
        <v>73</v>
      </c>
      <c r="CO3" s="45">
        <f>volume!CO3</f>
        <v>138</v>
      </c>
      <c r="CP3" s="46">
        <f>volume!CP3</f>
        <v>15</v>
      </c>
      <c r="CQ3" s="46">
        <f>volume!CQ3</f>
        <v>3</v>
      </c>
      <c r="CR3" s="46">
        <f>volume!CR3</f>
        <v>0</v>
      </c>
      <c r="CS3" s="46">
        <f>volume!CS3</f>
        <v>5</v>
      </c>
      <c r="CT3" s="47">
        <f>volume!CT3</f>
        <v>0</v>
      </c>
      <c r="CU3" s="49">
        <f t="shared" ref="CU3:CU50" si="13">SUM(CO3:CT3)</f>
        <v>161</v>
      </c>
      <c r="CV3" s="45">
        <f>volume!CV3</f>
        <v>0</v>
      </c>
      <c r="CW3" s="46">
        <f>volume!CW3</f>
        <v>0</v>
      </c>
      <c r="CX3" s="46">
        <f>volume!CX3</f>
        <v>0</v>
      </c>
      <c r="CY3" s="46">
        <f>volume!CY3</f>
        <v>0</v>
      </c>
      <c r="CZ3" s="46">
        <f>volume!CZ3</f>
        <v>0</v>
      </c>
      <c r="DA3" s="47">
        <f>volume!DA3</f>
        <v>0</v>
      </c>
      <c r="DB3" s="49">
        <f t="shared" ref="DB3:DB50" si="14">SUM(CV3:DA3)</f>
        <v>0</v>
      </c>
      <c r="DC3" s="45">
        <f>volume!DC3</f>
        <v>0</v>
      </c>
      <c r="DD3" s="46">
        <f>volume!DD3</f>
        <v>0</v>
      </c>
      <c r="DE3" s="46">
        <f>volume!DE3</f>
        <v>0</v>
      </c>
      <c r="DF3" s="46">
        <f>volume!DF3</f>
        <v>0</v>
      </c>
      <c r="DG3" s="46">
        <f>volume!DG3</f>
        <v>0</v>
      </c>
      <c r="DH3" s="47">
        <f>volume!DH3</f>
        <v>0</v>
      </c>
      <c r="DI3" s="49">
        <f t="shared" ref="DI3:DI50" si="15">SUM(DC3:DH3)</f>
        <v>0</v>
      </c>
      <c r="DJ3" s="45">
        <f>volume!DJ3</f>
        <v>0</v>
      </c>
      <c r="DK3" s="46">
        <f>volume!DK3</f>
        <v>0</v>
      </c>
      <c r="DL3" s="46">
        <f>volume!DL3</f>
        <v>0</v>
      </c>
      <c r="DM3" s="46">
        <f>volume!DM3</f>
        <v>0</v>
      </c>
      <c r="DN3" s="46">
        <f>volume!DN3</f>
        <v>0</v>
      </c>
      <c r="DO3" s="47">
        <f>volume!DO3</f>
        <v>0</v>
      </c>
      <c r="DP3" s="50">
        <f t="shared" ref="DP3:DP50" si="16">SUM(DJ3:DO3)</f>
        <v>0</v>
      </c>
      <c r="DQ3" s="45">
        <f>volume!DQ3</f>
        <v>0</v>
      </c>
      <c r="DR3" s="46">
        <f>volume!DR3</f>
        <v>0</v>
      </c>
      <c r="DS3" s="46">
        <f>volume!DS3</f>
        <v>0</v>
      </c>
      <c r="DT3" s="46">
        <f>volume!DT3</f>
        <v>0</v>
      </c>
      <c r="DU3" s="46">
        <f>volume!DU3</f>
        <v>0</v>
      </c>
      <c r="DV3" s="47">
        <f>volume!DV3</f>
        <v>0</v>
      </c>
      <c r="DW3" s="50">
        <f t="shared" ref="DW3:DW50" si="17">SUM(DQ3:DV3)</f>
        <v>0</v>
      </c>
      <c r="DX3" s="45">
        <f>volume!DX3</f>
        <v>0</v>
      </c>
      <c r="DY3" s="46">
        <f>volume!DY3</f>
        <v>0</v>
      </c>
      <c r="DZ3" s="46">
        <f>volume!DZ3</f>
        <v>0</v>
      </c>
      <c r="EA3" s="46">
        <f>volume!EA3</f>
        <v>0</v>
      </c>
      <c r="EB3" s="46">
        <f>volume!EB3</f>
        <v>0</v>
      </c>
      <c r="EC3" s="47">
        <f>volume!EC3</f>
        <v>0</v>
      </c>
      <c r="ED3" s="50">
        <f t="shared" ref="ED3:ED50" si="18">SUM(DX3:EC3)</f>
        <v>0</v>
      </c>
      <c r="EE3" s="272"/>
      <c r="EF3" s="272"/>
      <c r="EG3" s="272"/>
      <c r="EH3" s="272"/>
      <c r="EI3" s="272"/>
      <c r="EJ3" s="272"/>
      <c r="EK3" s="272"/>
      <c r="EL3" s="45">
        <f>volume!EL3</f>
        <v>0</v>
      </c>
      <c r="EM3" s="46">
        <f>volume!EM3</f>
        <v>0</v>
      </c>
      <c r="EN3" s="46">
        <f>volume!EN3</f>
        <v>0</v>
      </c>
      <c r="EO3" s="46">
        <f>volume!EO3</f>
        <v>0</v>
      </c>
      <c r="EP3" s="46">
        <f>volume!EP3</f>
        <v>0</v>
      </c>
      <c r="EQ3" s="47">
        <f>volume!EQ3</f>
        <v>0</v>
      </c>
      <c r="ER3" s="50">
        <f t="shared" ref="ER3:ER50" si="19">SUM(EL3:EQ3)</f>
        <v>0</v>
      </c>
      <c r="ES3" s="45">
        <f>volume!ES3</f>
        <v>0</v>
      </c>
      <c r="ET3" s="46">
        <f>volume!ET3</f>
        <v>0</v>
      </c>
      <c r="EU3" s="46">
        <f>volume!EU3</f>
        <v>0</v>
      </c>
      <c r="EV3" s="46">
        <f>volume!EV3</f>
        <v>0</v>
      </c>
      <c r="EW3" s="46">
        <f>volume!EW3</f>
        <v>0</v>
      </c>
      <c r="EX3" s="47">
        <f>volume!EX3</f>
        <v>0</v>
      </c>
      <c r="EY3" s="50">
        <f t="shared" ref="EY3:EY50" si="20">SUM(ES3:EX3)</f>
        <v>0</v>
      </c>
      <c r="EZ3" s="45">
        <f>volume!EZ3</f>
        <v>0</v>
      </c>
      <c r="FA3" s="46">
        <f>volume!FA3</f>
        <v>0</v>
      </c>
      <c r="FB3" s="46">
        <f>volume!FB3</f>
        <v>0</v>
      </c>
      <c r="FC3" s="46">
        <f>volume!FC3</f>
        <v>0</v>
      </c>
      <c r="FD3" s="46">
        <f>volume!FD3</f>
        <v>0</v>
      </c>
      <c r="FE3" s="47">
        <f>volume!FE3</f>
        <v>0</v>
      </c>
      <c r="FF3" s="50">
        <f t="shared" ref="FF3:FF50" si="21">SUM(EZ3:FE3)</f>
        <v>0</v>
      </c>
      <c r="FG3" s="272"/>
      <c r="FH3" s="272"/>
      <c r="FI3" s="272"/>
      <c r="FJ3" s="272"/>
      <c r="FK3" s="272"/>
      <c r="FL3" s="272"/>
      <c r="FM3" s="272"/>
      <c r="FN3" s="45">
        <f>volume!FN3</f>
        <v>0</v>
      </c>
      <c r="FO3" s="46">
        <f>volume!FO3</f>
        <v>0</v>
      </c>
      <c r="FP3" s="46">
        <f>volume!FP3</f>
        <v>0</v>
      </c>
      <c r="FQ3" s="46">
        <f>volume!FQ3</f>
        <v>0</v>
      </c>
      <c r="FR3" s="46">
        <f>volume!FR3</f>
        <v>0</v>
      </c>
      <c r="FS3" s="47">
        <f>volume!FS3</f>
        <v>0</v>
      </c>
      <c r="FT3" s="50">
        <f t="shared" ref="FT3:FT50" si="22">SUM(FN3:FS3)</f>
        <v>0</v>
      </c>
      <c r="FU3" s="45">
        <f>volume!FU3</f>
        <v>0</v>
      </c>
      <c r="FV3" s="46">
        <f>volume!FV3</f>
        <v>0</v>
      </c>
      <c r="FW3" s="46">
        <f>volume!FW3</f>
        <v>0</v>
      </c>
      <c r="FX3" s="46">
        <f>volume!FX3</f>
        <v>0</v>
      </c>
      <c r="FY3" s="46">
        <f>volume!FY3</f>
        <v>0</v>
      </c>
      <c r="FZ3" s="47">
        <f>volume!FZ3</f>
        <v>0</v>
      </c>
      <c r="GA3" s="50">
        <f t="shared" ref="GA3:GA50" si="23">SUM(FU3:FZ3)</f>
        <v>0</v>
      </c>
      <c r="GB3" s="45">
        <f>volume!GB3</f>
        <v>0</v>
      </c>
      <c r="GC3" s="46">
        <f>volume!GC3</f>
        <v>0</v>
      </c>
      <c r="GD3" s="46">
        <f>volume!GD3</f>
        <v>0</v>
      </c>
      <c r="GE3" s="46">
        <f>volume!GE3</f>
        <v>0</v>
      </c>
      <c r="GF3" s="46">
        <f>volume!GF3</f>
        <v>0</v>
      </c>
      <c r="GG3" s="47">
        <f>volume!GG3</f>
        <v>0</v>
      </c>
      <c r="GH3" s="50">
        <f t="shared" ref="GH3:GH50" si="24">SUM(GB3:GG3)</f>
        <v>0</v>
      </c>
      <c r="GI3" s="272"/>
      <c r="GJ3" s="272"/>
      <c r="GK3" s="272"/>
      <c r="GL3" s="272"/>
      <c r="GM3" s="272"/>
      <c r="GN3" s="272"/>
      <c r="GO3" s="272"/>
      <c r="GP3" s="45">
        <f>volume!GP3</f>
        <v>0</v>
      </c>
      <c r="GQ3" s="46">
        <f>volume!GQ3</f>
        <v>0</v>
      </c>
      <c r="GR3" s="46">
        <f>volume!GR3</f>
        <v>0</v>
      </c>
      <c r="GS3" s="46">
        <f>volume!GS3</f>
        <v>0</v>
      </c>
      <c r="GT3" s="46">
        <f>volume!GT3</f>
        <v>0</v>
      </c>
      <c r="GU3" s="47">
        <f>volume!GU3</f>
        <v>0</v>
      </c>
      <c r="GV3" s="50">
        <f t="shared" ref="GV3:GV50" si="25">SUM(GP3:GU3)</f>
        <v>0</v>
      </c>
      <c r="GW3" s="45">
        <f>volume!GW3</f>
        <v>0</v>
      </c>
      <c r="GX3" s="46">
        <f>volume!GX3</f>
        <v>0</v>
      </c>
      <c r="GY3" s="46">
        <f>volume!GY3</f>
        <v>0</v>
      </c>
      <c r="GZ3" s="46">
        <f>volume!GZ3</f>
        <v>0</v>
      </c>
      <c r="HA3" s="46">
        <f>volume!HA3</f>
        <v>0</v>
      </c>
      <c r="HB3" s="47">
        <f>volume!HB3</f>
        <v>0</v>
      </c>
      <c r="HC3" s="50">
        <f t="shared" ref="HC3:HC50" si="26">SUM(GW3:HB3)</f>
        <v>0</v>
      </c>
      <c r="HD3" s="45">
        <f>volume!HD3</f>
        <v>0</v>
      </c>
      <c r="HE3" s="46">
        <f>volume!HE3</f>
        <v>0</v>
      </c>
      <c r="HF3" s="46">
        <f>volume!HF3</f>
        <v>0</v>
      </c>
      <c r="HG3" s="46">
        <f>volume!HG3</f>
        <v>0</v>
      </c>
      <c r="HH3" s="46">
        <f>volume!HH3</f>
        <v>0</v>
      </c>
      <c r="HI3" s="47">
        <f>volume!HI3</f>
        <v>0</v>
      </c>
      <c r="HJ3" s="50">
        <f t="shared" ref="HJ3:HJ50" si="27">SUM(HD3:HI3)</f>
        <v>0</v>
      </c>
    </row>
    <row r="4" spans="1:218" ht="21.75" customHeight="1" x14ac:dyDescent="0.6">
      <c r="A4" s="51" t="s">
        <v>59</v>
      </c>
      <c r="B4" s="52">
        <f>volume!B4</f>
        <v>44</v>
      </c>
      <c r="C4" s="53">
        <f>volume!C4</f>
        <v>4</v>
      </c>
      <c r="D4" s="53">
        <f>volume!D4</f>
        <v>0</v>
      </c>
      <c r="E4" s="53">
        <f>volume!E4</f>
        <v>0</v>
      </c>
      <c r="F4" s="53">
        <f>volume!F4</f>
        <v>0</v>
      </c>
      <c r="G4" s="54">
        <f>volume!G4</f>
        <v>1</v>
      </c>
      <c r="H4" s="48">
        <f t="shared" si="0"/>
        <v>49</v>
      </c>
      <c r="I4" s="52">
        <f>volume!I4</f>
        <v>27</v>
      </c>
      <c r="J4" s="53">
        <f>volume!J4</f>
        <v>4</v>
      </c>
      <c r="K4" s="53">
        <f>volume!K4</f>
        <v>0</v>
      </c>
      <c r="L4" s="53">
        <f>volume!L4</f>
        <v>0</v>
      </c>
      <c r="M4" s="53">
        <f>volume!M4</f>
        <v>0</v>
      </c>
      <c r="N4" s="54">
        <f>volume!N4</f>
        <v>0</v>
      </c>
      <c r="O4" s="49">
        <f t="shared" si="1"/>
        <v>31</v>
      </c>
      <c r="P4" s="52">
        <f>volume!P4</f>
        <v>30</v>
      </c>
      <c r="Q4" s="53">
        <f>volume!Q4</f>
        <v>3</v>
      </c>
      <c r="R4" s="53">
        <f>volume!R4</f>
        <v>0</v>
      </c>
      <c r="S4" s="53">
        <f>volume!S4</f>
        <v>0</v>
      </c>
      <c r="T4" s="53">
        <f>volume!T4</f>
        <v>0</v>
      </c>
      <c r="U4" s="54">
        <f>volume!U4</f>
        <v>0</v>
      </c>
      <c r="V4" s="49">
        <f t="shared" si="2"/>
        <v>33</v>
      </c>
      <c r="W4" s="52">
        <f>volume!W4</f>
        <v>0</v>
      </c>
      <c r="X4" s="53">
        <f>volume!X4</f>
        <v>0</v>
      </c>
      <c r="Y4" s="53">
        <f>volume!Y4</f>
        <v>0</v>
      </c>
      <c r="Z4" s="53">
        <f>volume!Z4</f>
        <v>0</v>
      </c>
      <c r="AA4" s="53">
        <f>volume!AA4</f>
        <v>0</v>
      </c>
      <c r="AB4" s="54">
        <f>volume!AB4</f>
        <v>0</v>
      </c>
      <c r="AC4" s="49">
        <f t="shared" si="3"/>
        <v>0</v>
      </c>
      <c r="AD4" s="52">
        <f>volume!AD4</f>
        <v>51</v>
      </c>
      <c r="AE4" s="53">
        <f>volume!AE4</f>
        <v>14</v>
      </c>
      <c r="AF4" s="53">
        <f>volume!AF4</f>
        <v>0</v>
      </c>
      <c r="AG4" s="53">
        <f>volume!AG4</f>
        <v>0</v>
      </c>
      <c r="AH4" s="53">
        <f>volume!AH4</f>
        <v>0</v>
      </c>
      <c r="AI4" s="54">
        <f>volume!AI4</f>
        <v>0</v>
      </c>
      <c r="AJ4" s="49">
        <f t="shared" si="4"/>
        <v>65</v>
      </c>
      <c r="AK4" s="52">
        <f>volume!AK4</f>
        <v>180</v>
      </c>
      <c r="AL4" s="53">
        <f>volume!AL4</f>
        <v>24</v>
      </c>
      <c r="AM4" s="53">
        <f>volume!AM4</f>
        <v>0</v>
      </c>
      <c r="AN4" s="53">
        <f>volume!AN4</f>
        <v>0</v>
      </c>
      <c r="AO4" s="53">
        <f>volume!AO4</f>
        <v>7</v>
      </c>
      <c r="AP4" s="54">
        <f>volume!AP4</f>
        <v>0</v>
      </c>
      <c r="AQ4" s="49">
        <f t="shared" si="5"/>
        <v>211</v>
      </c>
      <c r="AR4" s="52">
        <f>volume!AR4</f>
        <v>26</v>
      </c>
      <c r="AS4" s="53">
        <f>volume!AS4</f>
        <v>3</v>
      </c>
      <c r="AT4" s="53">
        <f>volume!AT4</f>
        <v>0</v>
      </c>
      <c r="AU4" s="53">
        <f>volume!AU4</f>
        <v>0</v>
      </c>
      <c r="AV4" s="53">
        <f>volume!AV4</f>
        <v>0</v>
      </c>
      <c r="AW4" s="54">
        <f>volume!AW4</f>
        <v>0</v>
      </c>
      <c r="AX4" s="49">
        <f t="shared" si="6"/>
        <v>29</v>
      </c>
      <c r="AY4" s="52">
        <f>volume!AY4</f>
        <v>61</v>
      </c>
      <c r="AZ4" s="53">
        <f>volume!AZ4</f>
        <v>13</v>
      </c>
      <c r="BA4" s="53">
        <f>volume!BA4</f>
        <v>0</v>
      </c>
      <c r="BB4" s="53">
        <f>volume!BB4</f>
        <v>0</v>
      </c>
      <c r="BC4" s="53">
        <f>volume!BC4</f>
        <v>0</v>
      </c>
      <c r="BD4" s="54">
        <f>volume!BD4</f>
        <v>0</v>
      </c>
      <c r="BE4" s="49">
        <f t="shared" si="7"/>
        <v>74</v>
      </c>
      <c r="BF4" s="52">
        <f>volume!BF4</f>
        <v>2</v>
      </c>
      <c r="BG4" s="53">
        <f>volume!BG4</f>
        <v>0</v>
      </c>
      <c r="BH4" s="53">
        <f>volume!BH4</f>
        <v>0</v>
      </c>
      <c r="BI4" s="53">
        <f>volume!BI4</f>
        <v>0</v>
      </c>
      <c r="BJ4" s="53">
        <f>volume!BJ4</f>
        <v>0</v>
      </c>
      <c r="BK4" s="54">
        <f>volume!BK4</f>
        <v>0</v>
      </c>
      <c r="BL4" s="49">
        <f t="shared" si="8"/>
        <v>2</v>
      </c>
      <c r="BM4" s="52">
        <f>volume!BM4</f>
        <v>68</v>
      </c>
      <c r="BN4" s="53">
        <f>volume!BN4</f>
        <v>9</v>
      </c>
      <c r="BO4" s="53">
        <f>volume!BO4</f>
        <v>0</v>
      </c>
      <c r="BP4" s="53">
        <f>volume!BP4</f>
        <v>0</v>
      </c>
      <c r="BQ4" s="53">
        <f>volume!BQ4</f>
        <v>0</v>
      </c>
      <c r="BR4" s="54">
        <f>volume!BR4</f>
        <v>0</v>
      </c>
      <c r="BS4" s="49">
        <f t="shared" si="9"/>
        <v>77</v>
      </c>
      <c r="BT4" s="52">
        <f>volume!BT4</f>
        <v>49</v>
      </c>
      <c r="BU4" s="53">
        <f>volume!BU4</f>
        <v>8</v>
      </c>
      <c r="BV4" s="53">
        <f>volume!BV4</f>
        <v>0</v>
      </c>
      <c r="BW4" s="53">
        <f>volume!BW4</f>
        <v>0</v>
      </c>
      <c r="BX4" s="53">
        <f>volume!BX4</f>
        <v>0</v>
      </c>
      <c r="BY4" s="54">
        <f>volume!BY4</f>
        <v>0</v>
      </c>
      <c r="BZ4" s="49">
        <f t="shared" si="10"/>
        <v>57</v>
      </c>
      <c r="CA4" s="52">
        <f>volume!CA4</f>
        <v>0</v>
      </c>
      <c r="CB4" s="53">
        <f>volume!CB4</f>
        <v>0</v>
      </c>
      <c r="CC4" s="53">
        <f>volume!CC4</f>
        <v>0</v>
      </c>
      <c r="CD4" s="53">
        <f>volume!CD4</f>
        <v>0</v>
      </c>
      <c r="CE4" s="53">
        <f>volume!CE4</f>
        <v>0</v>
      </c>
      <c r="CF4" s="54">
        <f>volume!CF4</f>
        <v>0</v>
      </c>
      <c r="CG4" s="49">
        <f t="shared" si="11"/>
        <v>0</v>
      </c>
      <c r="CH4" s="52">
        <f>volume!CH4</f>
        <v>56</v>
      </c>
      <c r="CI4" s="53">
        <f>volume!CI4</f>
        <v>3</v>
      </c>
      <c r="CJ4" s="53">
        <f>volume!CJ4</f>
        <v>0</v>
      </c>
      <c r="CK4" s="53">
        <f>volume!CK4</f>
        <v>0</v>
      </c>
      <c r="CL4" s="53">
        <f>volume!CL4</f>
        <v>1</v>
      </c>
      <c r="CM4" s="54">
        <f>volume!CM4</f>
        <v>0</v>
      </c>
      <c r="CN4" s="49">
        <f t="shared" si="12"/>
        <v>60</v>
      </c>
      <c r="CO4" s="52">
        <f>volume!CO4</f>
        <v>146</v>
      </c>
      <c r="CP4" s="53">
        <f>volume!CP4</f>
        <v>21</v>
      </c>
      <c r="CQ4" s="53">
        <f>volume!CQ4</f>
        <v>2</v>
      </c>
      <c r="CR4" s="53">
        <f>volume!CR4</f>
        <v>0</v>
      </c>
      <c r="CS4" s="53">
        <f>volume!CS4</f>
        <v>3</v>
      </c>
      <c r="CT4" s="54">
        <f>volume!CT4</f>
        <v>0</v>
      </c>
      <c r="CU4" s="49">
        <f t="shared" si="13"/>
        <v>172</v>
      </c>
      <c r="CV4" s="52">
        <f>volume!CV4</f>
        <v>0</v>
      </c>
      <c r="CW4" s="53">
        <f>volume!CW4</f>
        <v>0</v>
      </c>
      <c r="CX4" s="53">
        <f>volume!CX4</f>
        <v>0</v>
      </c>
      <c r="CY4" s="53">
        <f>volume!CY4</f>
        <v>0</v>
      </c>
      <c r="CZ4" s="53">
        <f>volume!CZ4</f>
        <v>0</v>
      </c>
      <c r="DA4" s="54">
        <f>volume!DA4</f>
        <v>0</v>
      </c>
      <c r="DB4" s="49">
        <f t="shared" si="14"/>
        <v>0</v>
      </c>
      <c r="DC4" s="52">
        <f>volume!DC4</f>
        <v>0</v>
      </c>
      <c r="DD4" s="53">
        <f>volume!DD4</f>
        <v>0</v>
      </c>
      <c r="DE4" s="53">
        <f>volume!DE4</f>
        <v>0</v>
      </c>
      <c r="DF4" s="53">
        <f>volume!DF4</f>
        <v>0</v>
      </c>
      <c r="DG4" s="53">
        <f>volume!DG4</f>
        <v>0</v>
      </c>
      <c r="DH4" s="54">
        <f>volume!DH4</f>
        <v>0</v>
      </c>
      <c r="DI4" s="49">
        <f t="shared" si="15"/>
        <v>0</v>
      </c>
      <c r="DJ4" s="52">
        <f>volume!DJ4</f>
        <v>0</v>
      </c>
      <c r="DK4" s="53">
        <f>volume!DK4</f>
        <v>0</v>
      </c>
      <c r="DL4" s="53">
        <f>volume!DL4</f>
        <v>0</v>
      </c>
      <c r="DM4" s="53">
        <f>volume!DM4</f>
        <v>0</v>
      </c>
      <c r="DN4" s="53">
        <f>volume!DN4</f>
        <v>0</v>
      </c>
      <c r="DO4" s="54">
        <f>volume!DO4</f>
        <v>0</v>
      </c>
      <c r="DP4" s="50">
        <f t="shared" si="16"/>
        <v>0</v>
      </c>
      <c r="DQ4" s="52">
        <f>volume!DQ4</f>
        <v>0</v>
      </c>
      <c r="DR4" s="53">
        <f>volume!DR4</f>
        <v>0</v>
      </c>
      <c r="DS4" s="53">
        <f>volume!DS4</f>
        <v>0</v>
      </c>
      <c r="DT4" s="53">
        <f>volume!DT4</f>
        <v>0</v>
      </c>
      <c r="DU4" s="53">
        <f>volume!DU4</f>
        <v>0</v>
      </c>
      <c r="DV4" s="54">
        <f>volume!DV4</f>
        <v>0</v>
      </c>
      <c r="DW4" s="50">
        <f t="shared" si="17"/>
        <v>0</v>
      </c>
      <c r="DX4" s="52">
        <f>volume!DX4</f>
        <v>0</v>
      </c>
      <c r="DY4" s="53">
        <f>volume!DY4</f>
        <v>0</v>
      </c>
      <c r="DZ4" s="53">
        <f>volume!DZ4</f>
        <v>0</v>
      </c>
      <c r="EA4" s="53">
        <f>volume!EA4</f>
        <v>0</v>
      </c>
      <c r="EB4" s="53">
        <f>volume!EB4</f>
        <v>0</v>
      </c>
      <c r="EC4" s="54">
        <f>volume!EC4</f>
        <v>0</v>
      </c>
      <c r="ED4" s="50">
        <f t="shared" si="18"/>
        <v>0</v>
      </c>
      <c r="EE4" s="273"/>
      <c r="EF4" s="273"/>
      <c r="EG4" s="273"/>
      <c r="EH4" s="273"/>
      <c r="EI4" s="273"/>
      <c r="EJ4" s="273"/>
      <c r="EK4" s="273"/>
      <c r="EL4" s="52">
        <f>volume!EL4</f>
        <v>0</v>
      </c>
      <c r="EM4" s="53">
        <f>volume!EM4</f>
        <v>0</v>
      </c>
      <c r="EN4" s="53">
        <f>volume!EN4</f>
        <v>0</v>
      </c>
      <c r="EO4" s="53">
        <f>volume!EO4</f>
        <v>0</v>
      </c>
      <c r="EP4" s="53">
        <f>volume!EP4</f>
        <v>0</v>
      </c>
      <c r="EQ4" s="54">
        <f>volume!EQ4</f>
        <v>0</v>
      </c>
      <c r="ER4" s="50">
        <f t="shared" si="19"/>
        <v>0</v>
      </c>
      <c r="ES4" s="52">
        <f>volume!ES4</f>
        <v>0</v>
      </c>
      <c r="ET4" s="53">
        <f>volume!ET4</f>
        <v>0</v>
      </c>
      <c r="EU4" s="53">
        <f>volume!EU4</f>
        <v>0</v>
      </c>
      <c r="EV4" s="53">
        <f>volume!EV4</f>
        <v>0</v>
      </c>
      <c r="EW4" s="53">
        <f>volume!EW4</f>
        <v>0</v>
      </c>
      <c r="EX4" s="54">
        <f>volume!EX4</f>
        <v>0</v>
      </c>
      <c r="EY4" s="50">
        <f t="shared" si="20"/>
        <v>0</v>
      </c>
      <c r="EZ4" s="52">
        <f>volume!EZ4</f>
        <v>0</v>
      </c>
      <c r="FA4" s="53">
        <f>volume!FA4</f>
        <v>0</v>
      </c>
      <c r="FB4" s="53">
        <f>volume!FB4</f>
        <v>0</v>
      </c>
      <c r="FC4" s="53">
        <f>volume!FC4</f>
        <v>0</v>
      </c>
      <c r="FD4" s="53">
        <f>volume!FD4</f>
        <v>0</v>
      </c>
      <c r="FE4" s="54">
        <f>volume!FE4</f>
        <v>0</v>
      </c>
      <c r="FF4" s="50">
        <f t="shared" si="21"/>
        <v>0</v>
      </c>
      <c r="FG4" s="273"/>
      <c r="FH4" s="273"/>
      <c r="FI4" s="273"/>
      <c r="FJ4" s="273"/>
      <c r="FK4" s="273"/>
      <c r="FL4" s="273"/>
      <c r="FM4" s="273"/>
      <c r="FN4" s="52">
        <f>volume!FN4</f>
        <v>0</v>
      </c>
      <c r="FO4" s="53">
        <f>volume!FO4</f>
        <v>0</v>
      </c>
      <c r="FP4" s="53">
        <f>volume!FP4</f>
        <v>0</v>
      </c>
      <c r="FQ4" s="53">
        <f>volume!FQ4</f>
        <v>0</v>
      </c>
      <c r="FR4" s="53">
        <f>volume!FR4</f>
        <v>0</v>
      </c>
      <c r="FS4" s="54">
        <f>volume!FS4</f>
        <v>0</v>
      </c>
      <c r="FT4" s="50">
        <f t="shared" si="22"/>
        <v>0</v>
      </c>
      <c r="FU4" s="52">
        <f>volume!FU4</f>
        <v>0</v>
      </c>
      <c r="FV4" s="53">
        <f>volume!FV4</f>
        <v>0</v>
      </c>
      <c r="FW4" s="53">
        <f>volume!FW4</f>
        <v>0</v>
      </c>
      <c r="FX4" s="53">
        <f>volume!FX4</f>
        <v>0</v>
      </c>
      <c r="FY4" s="53">
        <f>volume!FY4</f>
        <v>0</v>
      </c>
      <c r="FZ4" s="54">
        <f>volume!FZ4</f>
        <v>0</v>
      </c>
      <c r="GA4" s="50">
        <f t="shared" si="23"/>
        <v>0</v>
      </c>
      <c r="GB4" s="52">
        <f>volume!GB4</f>
        <v>0</v>
      </c>
      <c r="GC4" s="53">
        <f>volume!GC4</f>
        <v>0</v>
      </c>
      <c r="GD4" s="53">
        <f>volume!GD4</f>
        <v>0</v>
      </c>
      <c r="GE4" s="53">
        <f>volume!GE4</f>
        <v>0</v>
      </c>
      <c r="GF4" s="53">
        <f>volume!GF4</f>
        <v>0</v>
      </c>
      <c r="GG4" s="54">
        <f>volume!GG4</f>
        <v>0</v>
      </c>
      <c r="GH4" s="50">
        <f t="shared" si="24"/>
        <v>0</v>
      </c>
      <c r="GI4" s="273"/>
      <c r="GJ4" s="273"/>
      <c r="GK4" s="273"/>
      <c r="GL4" s="273"/>
      <c r="GM4" s="273"/>
      <c r="GN4" s="273"/>
      <c r="GO4" s="273"/>
      <c r="GP4" s="52">
        <f>volume!GP4</f>
        <v>0</v>
      </c>
      <c r="GQ4" s="53">
        <f>volume!GQ4</f>
        <v>0</v>
      </c>
      <c r="GR4" s="53">
        <f>volume!GR4</f>
        <v>0</v>
      </c>
      <c r="GS4" s="53">
        <f>volume!GS4</f>
        <v>0</v>
      </c>
      <c r="GT4" s="53">
        <f>volume!GT4</f>
        <v>0</v>
      </c>
      <c r="GU4" s="54">
        <f>volume!GU4</f>
        <v>0</v>
      </c>
      <c r="GV4" s="50">
        <f t="shared" si="25"/>
        <v>0</v>
      </c>
      <c r="GW4" s="52">
        <f>volume!GW4</f>
        <v>0</v>
      </c>
      <c r="GX4" s="53">
        <f>volume!GX4</f>
        <v>0</v>
      </c>
      <c r="GY4" s="53">
        <f>volume!GY4</f>
        <v>0</v>
      </c>
      <c r="GZ4" s="53">
        <f>volume!GZ4</f>
        <v>0</v>
      </c>
      <c r="HA4" s="53">
        <f>volume!HA4</f>
        <v>0</v>
      </c>
      <c r="HB4" s="54">
        <f>volume!HB4</f>
        <v>0</v>
      </c>
      <c r="HC4" s="50">
        <f t="shared" si="26"/>
        <v>0</v>
      </c>
      <c r="HD4" s="52">
        <f>volume!HD4</f>
        <v>0</v>
      </c>
      <c r="HE4" s="53">
        <f>volume!HE4</f>
        <v>0</v>
      </c>
      <c r="HF4" s="53">
        <f>volume!HF4</f>
        <v>0</v>
      </c>
      <c r="HG4" s="53">
        <f>volume!HG4</f>
        <v>0</v>
      </c>
      <c r="HH4" s="53">
        <f>volume!HH4</f>
        <v>0</v>
      </c>
      <c r="HI4" s="54">
        <f>volume!HI4</f>
        <v>0</v>
      </c>
      <c r="HJ4" s="50">
        <f t="shared" si="27"/>
        <v>0</v>
      </c>
    </row>
    <row r="5" spans="1:218" ht="21.75" customHeight="1" x14ac:dyDescent="0.6">
      <c r="A5" s="51" t="s">
        <v>60</v>
      </c>
      <c r="B5" s="52">
        <f>volume!B5</f>
        <v>41</v>
      </c>
      <c r="C5" s="53">
        <f>volume!C5</f>
        <v>9</v>
      </c>
      <c r="D5" s="53">
        <f>volume!D5</f>
        <v>0</v>
      </c>
      <c r="E5" s="53">
        <f>volume!E5</f>
        <v>0</v>
      </c>
      <c r="F5" s="53">
        <f>volume!F5</f>
        <v>2</v>
      </c>
      <c r="G5" s="54">
        <f>volume!G5</f>
        <v>0</v>
      </c>
      <c r="H5" s="48">
        <f t="shared" si="0"/>
        <v>52</v>
      </c>
      <c r="I5" s="52">
        <f>volume!I5</f>
        <v>21</v>
      </c>
      <c r="J5" s="53">
        <f>volume!J5</f>
        <v>9</v>
      </c>
      <c r="K5" s="53">
        <f>volume!K5</f>
        <v>0</v>
      </c>
      <c r="L5" s="53">
        <f>volume!L5</f>
        <v>0</v>
      </c>
      <c r="M5" s="53">
        <f>volume!M5</f>
        <v>0</v>
      </c>
      <c r="N5" s="54">
        <f>volume!N5</f>
        <v>0</v>
      </c>
      <c r="O5" s="49">
        <f t="shared" si="1"/>
        <v>30</v>
      </c>
      <c r="P5" s="52">
        <f>volume!P5</f>
        <v>27</v>
      </c>
      <c r="Q5" s="53">
        <f>volume!Q5</f>
        <v>5</v>
      </c>
      <c r="R5" s="53">
        <f>volume!R5</f>
        <v>0</v>
      </c>
      <c r="S5" s="53">
        <f>volume!S5</f>
        <v>0</v>
      </c>
      <c r="T5" s="53">
        <f>volume!T5</f>
        <v>0</v>
      </c>
      <c r="U5" s="54">
        <f>volume!U5</f>
        <v>0</v>
      </c>
      <c r="V5" s="49">
        <f t="shared" si="2"/>
        <v>32</v>
      </c>
      <c r="W5" s="52">
        <f>volume!W5</f>
        <v>0</v>
      </c>
      <c r="X5" s="53">
        <f>volume!X5</f>
        <v>0</v>
      </c>
      <c r="Y5" s="53">
        <f>volume!Y5</f>
        <v>0</v>
      </c>
      <c r="Z5" s="53">
        <f>volume!Z5</f>
        <v>0</v>
      </c>
      <c r="AA5" s="53">
        <f>volume!AA5</f>
        <v>0</v>
      </c>
      <c r="AB5" s="54">
        <f>volume!AB5</f>
        <v>0</v>
      </c>
      <c r="AC5" s="49">
        <f t="shared" si="3"/>
        <v>0</v>
      </c>
      <c r="AD5" s="52">
        <f>volume!AD5</f>
        <v>43</v>
      </c>
      <c r="AE5" s="53">
        <f>volume!AE5</f>
        <v>16</v>
      </c>
      <c r="AF5" s="53">
        <f>volume!AF5</f>
        <v>0</v>
      </c>
      <c r="AG5" s="53">
        <f>volume!AG5</f>
        <v>0</v>
      </c>
      <c r="AH5" s="53">
        <f>volume!AH5</f>
        <v>0</v>
      </c>
      <c r="AI5" s="54">
        <f>volume!AI5</f>
        <v>0</v>
      </c>
      <c r="AJ5" s="49">
        <f t="shared" si="4"/>
        <v>59</v>
      </c>
      <c r="AK5" s="52">
        <f>volume!AK5</f>
        <v>177</v>
      </c>
      <c r="AL5" s="53">
        <f>volume!AL5</f>
        <v>41</v>
      </c>
      <c r="AM5" s="53">
        <f>volume!AM5</f>
        <v>1</v>
      </c>
      <c r="AN5" s="53">
        <f>volume!AN5</f>
        <v>1</v>
      </c>
      <c r="AO5" s="53">
        <f>volume!AO5</f>
        <v>2</v>
      </c>
      <c r="AP5" s="54">
        <f>volume!AP5</f>
        <v>0</v>
      </c>
      <c r="AQ5" s="49">
        <f t="shared" si="5"/>
        <v>222</v>
      </c>
      <c r="AR5" s="52">
        <f>volume!AR5</f>
        <v>31</v>
      </c>
      <c r="AS5" s="53">
        <f>volume!AS5</f>
        <v>9</v>
      </c>
      <c r="AT5" s="53">
        <f>volume!AT5</f>
        <v>0</v>
      </c>
      <c r="AU5" s="53">
        <f>volume!AU5</f>
        <v>0</v>
      </c>
      <c r="AV5" s="53">
        <f>volume!AV5</f>
        <v>0</v>
      </c>
      <c r="AW5" s="54">
        <f>volume!AW5</f>
        <v>0</v>
      </c>
      <c r="AX5" s="49">
        <f t="shared" si="6"/>
        <v>40</v>
      </c>
      <c r="AY5" s="52">
        <f>volume!AY5</f>
        <v>57</v>
      </c>
      <c r="AZ5" s="53">
        <f>volume!AZ5</f>
        <v>17</v>
      </c>
      <c r="BA5" s="53">
        <f>volume!BA5</f>
        <v>0</v>
      </c>
      <c r="BB5" s="53">
        <f>volume!BB5</f>
        <v>0</v>
      </c>
      <c r="BC5" s="53">
        <f>volume!BC5</f>
        <v>0</v>
      </c>
      <c r="BD5" s="54">
        <f>volume!BD5</f>
        <v>0</v>
      </c>
      <c r="BE5" s="49">
        <f t="shared" si="7"/>
        <v>74</v>
      </c>
      <c r="BF5" s="52">
        <f>volume!BF5</f>
        <v>3</v>
      </c>
      <c r="BG5" s="53">
        <f>volume!BG5</f>
        <v>1</v>
      </c>
      <c r="BH5" s="53">
        <f>volume!BH5</f>
        <v>0</v>
      </c>
      <c r="BI5" s="53">
        <f>volume!BI5</f>
        <v>0</v>
      </c>
      <c r="BJ5" s="53">
        <f>volume!BJ5</f>
        <v>0</v>
      </c>
      <c r="BK5" s="54">
        <f>volume!BK5</f>
        <v>0</v>
      </c>
      <c r="BL5" s="49">
        <f t="shared" si="8"/>
        <v>4</v>
      </c>
      <c r="BM5" s="52">
        <f>volume!BM5</f>
        <v>70</v>
      </c>
      <c r="BN5" s="53">
        <f>volume!BN5</f>
        <v>13</v>
      </c>
      <c r="BO5" s="53">
        <f>volume!BO5</f>
        <v>0</v>
      </c>
      <c r="BP5" s="53">
        <f>volume!BP5</f>
        <v>0</v>
      </c>
      <c r="BQ5" s="53">
        <f>volume!BQ5</f>
        <v>1</v>
      </c>
      <c r="BR5" s="54">
        <f>volume!BR5</f>
        <v>0</v>
      </c>
      <c r="BS5" s="49">
        <f t="shared" si="9"/>
        <v>84</v>
      </c>
      <c r="BT5" s="52">
        <f>volume!BT5</f>
        <v>60</v>
      </c>
      <c r="BU5" s="53">
        <f>volume!BU5</f>
        <v>12</v>
      </c>
      <c r="BV5" s="53">
        <f>volume!BV5</f>
        <v>0</v>
      </c>
      <c r="BW5" s="53">
        <f>volume!BW5</f>
        <v>0</v>
      </c>
      <c r="BX5" s="53">
        <f>volume!BX5</f>
        <v>0</v>
      </c>
      <c r="BY5" s="54">
        <f>volume!BY5</f>
        <v>0</v>
      </c>
      <c r="BZ5" s="49">
        <f t="shared" si="10"/>
        <v>72</v>
      </c>
      <c r="CA5" s="52">
        <f>volume!CA5</f>
        <v>0</v>
      </c>
      <c r="CB5" s="53">
        <f>volume!CB5</f>
        <v>0</v>
      </c>
      <c r="CC5" s="53">
        <f>volume!CC5</f>
        <v>0</v>
      </c>
      <c r="CD5" s="53">
        <f>volume!CD5</f>
        <v>0</v>
      </c>
      <c r="CE5" s="53">
        <f>volume!CE5</f>
        <v>0</v>
      </c>
      <c r="CF5" s="54">
        <f>volume!CF5</f>
        <v>0</v>
      </c>
      <c r="CG5" s="49">
        <f t="shared" si="11"/>
        <v>0</v>
      </c>
      <c r="CH5" s="52">
        <f>volume!CH5</f>
        <v>52</v>
      </c>
      <c r="CI5" s="53">
        <f>volume!CI5</f>
        <v>5</v>
      </c>
      <c r="CJ5" s="53">
        <f>volume!CJ5</f>
        <v>0</v>
      </c>
      <c r="CK5" s="53">
        <f>volume!CK5</f>
        <v>0</v>
      </c>
      <c r="CL5" s="53">
        <f>volume!CL5</f>
        <v>0</v>
      </c>
      <c r="CM5" s="54">
        <f>volume!CM5</f>
        <v>0</v>
      </c>
      <c r="CN5" s="49">
        <f t="shared" si="12"/>
        <v>57</v>
      </c>
      <c r="CO5" s="52">
        <f>volume!CO5</f>
        <v>153</v>
      </c>
      <c r="CP5" s="53">
        <f>volume!CP5</f>
        <v>23</v>
      </c>
      <c r="CQ5" s="53">
        <f>volume!CQ5</f>
        <v>1</v>
      </c>
      <c r="CR5" s="53">
        <f>volume!CR5</f>
        <v>0</v>
      </c>
      <c r="CS5" s="53">
        <f>volume!CS5</f>
        <v>1</v>
      </c>
      <c r="CT5" s="54">
        <f>volume!CT5</f>
        <v>0</v>
      </c>
      <c r="CU5" s="49">
        <f t="shared" si="13"/>
        <v>178</v>
      </c>
      <c r="CV5" s="52">
        <f>volume!CV5</f>
        <v>0</v>
      </c>
      <c r="CW5" s="53">
        <f>volume!CW5</f>
        <v>0</v>
      </c>
      <c r="CX5" s="53">
        <f>volume!CX5</f>
        <v>0</v>
      </c>
      <c r="CY5" s="53">
        <f>volume!CY5</f>
        <v>0</v>
      </c>
      <c r="CZ5" s="53">
        <f>volume!CZ5</f>
        <v>0</v>
      </c>
      <c r="DA5" s="54">
        <f>volume!DA5</f>
        <v>0</v>
      </c>
      <c r="DB5" s="49">
        <f t="shared" si="14"/>
        <v>0</v>
      </c>
      <c r="DC5" s="52">
        <f>volume!DC5</f>
        <v>0</v>
      </c>
      <c r="DD5" s="53">
        <f>volume!DD5</f>
        <v>0</v>
      </c>
      <c r="DE5" s="53">
        <f>volume!DE5</f>
        <v>0</v>
      </c>
      <c r="DF5" s="53">
        <f>volume!DF5</f>
        <v>0</v>
      </c>
      <c r="DG5" s="53">
        <f>volume!DG5</f>
        <v>0</v>
      </c>
      <c r="DH5" s="54">
        <f>volume!DH5</f>
        <v>0</v>
      </c>
      <c r="DI5" s="49">
        <f t="shared" si="15"/>
        <v>0</v>
      </c>
      <c r="DJ5" s="52">
        <f>volume!DJ5</f>
        <v>0</v>
      </c>
      <c r="DK5" s="53">
        <f>volume!DK5</f>
        <v>0</v>
      </c>
      <c r="DL5" s="53">
        <f>volume!DL5</f>
        <v>0</v>
      </c>
      <c r="DM5" s="53">
        <f>volume!DM5</f>
        <v>0</v>
      </c>
      <c r="DN5" s="53">
        <f>volume!DN5</f>
        <v>0</v>
      </c>
      <c r="DO5" s="54">
        <f>volume!DO5</f>
        <v>0</v>
      </c>
      <c r="DP5" s="50">
        <f t="shared" si="16"/>
        <v>0</v>
      </c>
      <c r="DQ5" s="52">
        <f>volume!DQ5</f>
        <v>0</v>
      </c>
      <c r="DR5" s="53">
        <f>volume!DR5</f>
        <v>0</v>
      </c>
      <c r="DS5" s="53">
        <f>volume!DS5</f>
        <v>0</v>
      </c>
      <c r="DT5" s="53">
        <f>volume!DT5</f>
        <v>0</v>
      </c>
      <c r="DU5" s="53">
        <f>volume!DU5</f>
        <v>0</v>
      </c>
      <c r="DV5" s="54">
        <f>volume!DV5</f>
        <v>0</v>
      </c>
      <c r="DW5" s="50">
        <f t="shared" si="17"/>
        <v>0</v>
      </c>
      <c r="DX5" s="52">
        <f>volume!DX5</f>
        <v>0</v>
      </c>
      <c r="DY5" s="53">
        <f>volume!DY5</f>
        <v>0</v>
      </c>
      <c r="DZ5" s="53">
        <f>volume!DZ5</f>
        <v>0</v>
      </c>
      <c r="EA5" s="53">
        <f>volume!EA5</f>
        <v>0</v>
      </c>
      <c r="EB5" s="53">
        <f>volume!EB5</f>
        <v>0</v>
      </c>
      <c r="EC5" s="54">
        <f>volume!EC5</f>
        <v>0</v>
      </c>
      <c r="ED5" s="50">
        <f t="shared" si="18"/>
        <v>0</v>
      </c>
      <c r="EE5" s="273"/>
      <c r="EF5" s="273"/>
      <c r="EG5" s="273"/>
      <c r="EH5" s="273"/>
      <c r="EI5" s="273"/>
      <c r="EJ5" s="273"/>
      <c r="EK5" s="273"/>
      <c r="EL5" s="52">
        <f>volume!EL5</f>
        <v>0</v>
      </c>
      <c r="EM5" s="53">
        <f>volume!EM5</f>
        <v>0</v>
      </c>
      <c r="EN5" s="53">
        <f>volume!EN5</f>
        <v>0</v>
      </c>
      <c r="EO5" s="53">
        <f>volume!EO5</f>
        <v>0</v>
      </c>
      <c r="EP5" s="53">
        <f>volume!EP5</f>
        <v>0</v>
      </c>
      <c r="EQ5" s="54">
        <f>volume!EQ5</f>
        <v>0</v>
      </c>
      <c r="ER5" s="50">
        <f t="shared" si="19"/>
        <v>0</v>
      </c>
      <c r="ES5" s="52">
        <f>volume!ES5</f>
        <v>0</v>
      </c>
      <c r="ET5" s="53">
        <f>volume!ET5</f>
        <v>0</v>
      </c>
      <c r="EU5" s="53">
        <f>volume!EU5</f>
        <v>0</v>
      </c>
      <c r="EV5" s="53">
        <f>volume!EV5</f>
        <v>0</v>
      </c>
      <c r="EW5" s="53">
        <f>volume!EW5</f>
        <v>0</v>
      </c>
      <c r="EX5" s="54">
        <f>volume!EX5</f>
        <v>0</v>
      </c>
      <c r="EY5" s="50">
        <f t="shared" si="20"/>
        <v>0</v>
      </c>
      <c r="EZ5" s="52">
        <f>volume!EZ5</f>
        <v>0</v>
      </c>
      <c r="FA5" s="53">
        <f>volume!FA5</f>
        <v>0</v>
      </c>
      <c r="FB5" s="53">
        <f>volume!FB5</f>
        <v>0</v>
      </c>
      <c r="FC5" s="53">
        <f>volume!FC5</f>
        <v>0</v>
      </c>
      <c r="FD5" s="53">
        <f>volume!FD5</f>
        <v>0</v>
      </c>
      <c r="FE5" s="54">
        <f>volume!FE5</f>
        <v>0</v>
      </c>
      <c r="FF5" s="50">
        <f t="shared" si="21"/>
        <v>0</v>
      </c>
      <c r="FG5" s="273"/>
      <c r="FH5" s="273"/>
      <c r="FI5" s="273"/>
      <c r="FJ5" s="273"/>
      <c r="FK5" s="273"/>
      <c r="FL5" s="273"/>
      <c r="FM5" s="273"/>
      <c r="FN5" s="52">
        <f>volume!FN5</f>
        <v>0</v>
      </c>
      <c r="FO5" s="53">
        <f>volume!FO5</f>
        <v>0</v>
      </c>
      <c r="FP5" s="53">
        <f>volume!FP5</f>
        <v>0</v>
      </c>
      <c r="FQ5" s="53">
        <f>volume!FQ5</f>
        <v>0</v>
      </c>
      <c r="FR5" s="53">
        <f>volume!FR5</f>
        <v>0</v>
      </c>
      <c r="FS5" s="54">
        <f>volume!FS5</f>
        <v>0</v>
      </c>
      <c r="FT5" s="50">
        <f t="shared" si="22"/>
        <v>0</v>
      </c>
      <c r="FU5" s="52">
        <f>volume!FU5</f>
        <v>0</v>
      </c>
      <c r="FV5" s="53">
        <f>volume!FV5</f>
        <v>0</v>
      </c>
      <c r="FW5" s="53">
        <f>volume!FW5</f>
        <v>0</v>
      </c>
      <c r="FX5" s="53">
        <f>volume!FX5</f>
        <v>0</v>
      </c>
      <c r="FY5" s="53">
        <f>volume!FY5</f>
        <v>0</v>
      </c>
      <c r="FZ5" s="54">
        <f>volume!FZ5</f>
        <v>0</v>
      </c>
      <c r="GA5" s="50">
        <f t="shared" si="23"/>
        <v>0</v>
      </c>
      <c r="GB5" s="52">
        <f>volume!GB5</f>
        <v>0</v>
      </c>
      <c r="GC5" s="53">
        <f>volume!GC5</f>
        <v>0</v>
      </c>
      <c r="GD5" s="53">
        <f>volume!GD5</f>
        <v>0</v>
      </c>
      <c r="GE5" s="53">
        <f>volume!GE5</f>
        <v>0</v>
      </c>
      <c r="GF5" s="53">
        <f>volume!GF5</f>
        <v>0</v>
      </c>
      <c r="GG5" s="54">
        <f>volume!GG5</f>
        <v>0</v>
      </c>
      <c r="GH5" s="50">
        <f t="shared" si="24"/>
        <v>0</v>
      </c>
      <c r="GI5" s="273"/>
      <c r="GJ5" s="273"/>
      <c r="GK5" s="273"/>
      <c r="GL5" s="273"/>
      <c r="GM5" s="273"/>
      <c r="GN5" s="273"/>
      <c r="GO5" s="273"/>
      <c r="GP5" s="52">
        <f>volume!GP5</f>
        <v>0</v>
      </c>
      <c r="GQ5" s="53">
        <f>volume!GQ5</f>
        <v>0</v>
      </c>
      <c r="GR5" s="53">
        <f>volume!GR5</f>
        <v>0</v>
      </c>
      <c r="GS5" s="53">
        <f>volume!GS5</f>
        <v>0</v>
      </c>
      <c r="GT5" s="53">
        <f>volume!GT5</f>
        <v>0</v>
      </c>
      <c r="GU5" s="54">
        <f>volume!GU5</f>
        <v>0</v>
      </c>
      <c r="GV5" s="50">
        <f t="shared" si="25"/>
        <v>0</v>
      </c>
      <c r="GW5" s="52">
        <f>volume!GW5</f>
        <v>0</v>
      </c>
      <c r="GX5" s="53">
        <f>volume!GX5</f>
        <v>0</v>
      </c>
      <c r="GY5" s="53">
        <f>volume!GY5</f>
        <v>0</v>
      </c>
      <c r="GZ5" s="53">
        <f>volume!GZ5</f>
        <v>0</v>
      </c>
      <c r="HA5" s="53">
        <f>volume!HA5</f>
        <v>0</v>
      </c>
      <c r="HB5" s="54">
        <f>volume!HB5</f>
        <v>0</v>
      </c>
      <c r="HC5" s="50">
        <f t="shared" si="26"/>
        <v>0</v>
      </c>
      <c r="HD5" s="52">
        <f>volume!HD5</f>
        <v>0</v>
      </c>
      <c r="HE5" s="53">
        <f>volume!HE5</f>
        <v>0</v>
      </c>
      <c r="HF5" s="53">
        <f>volume!HF5</f>
        <v>0</v>
      </c>
      <c r="HG5" s="53">
        <f>volume!HG5</f>
        <v>0</v>
      </c>
      <c r="HH5" s="53">
        <f>volume!HH5</f>
        <v>0</v>
      </c>
      <c r="HI5" s="54">
        <f>volume!HI5</f>
        <v>0</v>
      </c>
      <c r="HJ5" s="50">
        <f t="shared" si="27"/>
        <v>0</v>
      </c>
    </row>
    <row r="6" spans="1:218" ht="21.75" customHeight="1" x14ac:dyDescent="0.6">
      <c r="A6" s="55" t="s">
        <v>61</v>
      </c>
      <c r="B6" s="52">
        <f>volume!B6</f>
        <v>56</v>
      </c>
      <c r="C6" s="53">
        <f>volume!C6</f>
        <v>5</v>
      </c>
      <c r="D6" s="53">
        <f>volume!D6</f>
        <v>0</v>
      </c>
      <c r="E6" s="53">
        <f>volume!E6</f>
        <v>0</v>
      </c>
      <c r="F6" s="53">
        <f>volume!F6</f>
        <v>0</v>
      </c>
      <c r="G6" s="54">
        <f>volume!G6</f>
        <v>0</v>
      </c>
      <c r="H6" s="48">
        <f t="shared" si="0"/>
        <v>61</v>
      </c>
      <c r="I6" s="52">
        <f>volume!I6</f>
        <v>18</v>
      </c>
      <c r="J6" s="53">
        <f>volume!J6</f>
        <v>11</v>
      </c>
      <c r="K6" s="53">
        <f>volume!K6</f>
        <v>0</v>
      </c>
      <c r="L6" s="53">
        <f>volume!L6</f>
        <v>0</v>
      </c>
      <c r="M6" s="53">
        <f>volume!M6</f>
        <v>0</v>
      </c>
      <c r="N6" s="54">
        <f>volume!N6</f>
        <v>0</v>
      </c>
      <c r="O6" s="49">
        <f t="shared" si="1"/>
        <v>29</v>
      </c>
      <c r="P6" s="52">
        <f>volume!P6</f>
        <v>18</v>
      </c>
      <c r="Q6" s="53">
        <f>volume!Q6</f>
        <v>6</v>
      </c>
      <c r="R6" s="53">
        <f>volume!R6</f>
        <v>0</v>
      </c>
      <c r="S6" s="53">
        <f>volume!S6</f>
        <v>0</v>
      </c>
      <c r="T6" s="53">
        <f>volume!T6</f>
        <v>0</v>
      </c>
      <c r="U6" s="54">
        <f>volume!U6</f>
        <v>0</v>
      </c>
      <c r="V6" s="49">
        <f t="shared" si="2"/>
        <v>24</v>
      </c>
      <c r="W6" s="52">
        <f>volume!W6</f>
        <v>0</v>
      </c>
      <c r="X6" s="53">
        <f>volume!X6</f>
        <v>0</v>
      </c>
      <c r="Y6" s="53">
        <f>volume!Y6</f>
        <v>0</v>
      </c>
      <c r="Z6" s="53">
        <f>volume!Z6</f>
        <v>0</v>
      </c>
      <c r="AA6" s="53">
        <f>volume!AA6</f>
        <v>0</v>
      </c>
      <c r="AB6" s="54">
        <f>volume!AB6</f>
        <v>0</v>
      </c>
      <c r="AC6" s="49">
        <f t="shared" si="3"/>
        <v>0</v>
      </c>
      <c r="AD6" s="52">
        <f>volume!AD6</f>
        <v>48</v>
      </c>
      <c r="AE6" s="53">
        <f>volume!AE6</f>
        <v>10</v>
      </c>
      <c r="AF6" s="53">
        <f>volume!AF6</f>
        <v>0</v>
      </c>
      <c r="AG6" s="53">
        <f>volume!AG6</f>
        <v>0</v>
      </c>
      <c r="AH6" s="53">
        <f>volume!AH6</f>
        <v>0</v>
      </c>
      <c r="AI6" s="54">
        <f>volume!AI6</f>
        <v>0</v>
      </c>
      <c r="AJ6" s="49">
        <f t="shared" si="4"/>
        <v>58</v>
      </c>
      <c r="AK6" s="52">
        <f>volume!AK6</f>
        <v>168</v>
      </c>
      <c r="AL6" s="53">
        <f>volume!AL6</f>
        <v>37</v>
      </c>
      <c r="AM6" s="53">
        <f>volume!AM6</f>
        <v>0</v>
      </c>
      <c r="AN6" s="53">
        <f>volume!AN6</f>
        <v>0</v>
      </c>
      <c r="AO6" s="53">
        <f>volume!AO6</f>
        <v>4</v>
      </c>
      <c r="AP6" s="54">
        <f>volume!AP6</f>
        <v>0</v>
      </c>
      <c r="AQ6" s="49">
        <f t="shared" si="5"/>
        <v>209</v>
      </c>
      <c r="AR6" s="52">
        <f>volume!AR6</f>
        <v>23</v>
      </c>
      <c r="AS6" s="53">
        <f>volume!AS6</f>
        <v>5</v>
      </c>
      <c r="AT6" s="53">
        <f>volume!AT6</f>
        <v>0</v>
      </c>
      <c r="AU6" s="53">
        <f>volume!AU6</f>
        <v>0</v>
      </c>
      <c r="AV6" s="53">
        <f>volume!AV6</f>
        <v>0</v>
      </c>
      <c r="AW6" s="54">
        <f>volume!AW6</f>
        <v>0</v>
      </c>
      <c r="AX6" s="49">
        <f t="shared" si="6"/>
        <v>28</v>
      </c>
      <c r="AY6" s="52">
        <f>volume!AY6</f>
        <v>66</v>
      </c>
      <c r="AZ6" s="53">
        <f>volume!AZ6</f>
        <v>12</v>
      </c>
      <c r="BA6" s="53">
        <f>volume!BA6</f>
        <v>1</v>
      </c>
      <c r="BB6" s="53">
        <f>volume!BB6</f>
        <v>0</v>
      </c>
      <c r="BC6" s="53">
        <f>volume!BC6</f>
        <v>2</v>
      </c>
      <c r="BD6" s="54">
        <f>volume!BD6</f>
        <v>0</v>
      </c>
      <c r="BE6" s="49">
        <f t="shared" si="7"/>
        <v>81</v>
      </c>
      <c r="BF6" s="52">
        <f>volume!BF6</f>
        <v>6</v>
      </c>
      <c r="BG6" s="53">
        <f>volume!BG6</f>
        <v>2</v>
      </c>
      <c r="BH6" s="53">
        <f>volume!BH6</f>
        <v>0</v>
      </c>
      <c r="BI6" s="53">
        <f>volume!BI6</f>
        <v>0</v>
      </c>
      <c r="BJ6" s="53">
        <f>volume!BJ6</f>
        <v>0</v>
      </c>
      <c r="BK6" s="54">
        <f>volume!BK6</f>
        <v>0</v>
      </c>
      <c r="BL6" s="49">
        <f t="shared" si="8"/>
        <v>8</v>
      </c>
      <c r="BM6" s="52">
        <f>volume!BM6</f>
        <v>62</v>
      </c>
      <c r="BN6" s="53">
        <f>volume!BN6</f>
        <v>8</v>
      </c>
      <c r="BO6" s="53">
        <f>volume!BO6</f>
        <v>0</v>
      </c>
      <c r="BP6" s="53">
        <f>volume!BP6</f>
        <v>0</v>
      </c>
      <c r="BQ6" s="53">
        <f>volume!BQ6</f>
        <v>0</v>
      </c>
      <c r="BR6" s="54">
        <f>volume!BR6</f>
        <v>0</v>
      </c>
      <c r="BS6" s="49">
        <f t="shared" si="9"/>
        <v>70</v>
      </c>
      <c r="BT6" s="52">
        <f>volume!BT6</f>
        <v>55</v>
      </c>
      <c r="BU6" s="53">
        <f>volume!BU6</f>
        <v>9</v>
      </c>
      <c r="BV6" s="53">
        <f>volume!BV6</f>
        <v>0</v>
      </c>
      <c r="BW6" s="53">
        <f>volume!BW6</f>
        <v>0</v>
      </c>
      <c r="BX6" s="53">
        <f>volume!BX6</f>
        <v>0</v>
      </c>
      <c r="BY6" s="54">
        <f>volume!BY6</f>
        <v>0</v>
      </c>
      <c r="BZ6" s="49">
        <f t="shared" si="10"/>
        <v>64</v>
      </c>
      <c r="CA6" s="52">
        <f>volume!CA6</f>
        <v>0</v>
      </c>
      <c r="CB6" s="53">
        <f>volume!CB6</f>
        <v>0</v>
      </c>
      <c r="CC6" s="53">
        <f>volume!CC6</f>
        <v>0</v>
      </c>
      <c r="CD6" s="53">
        <f>volume!CD6</f>
        <v>0</v>
      </c>
      <c r="CE6" s="53">
        <f>volume!CE6</f>
        <v>0</v>
      </c>
      <c r="CF6" s="54">
        <f>volume!CF6</f>
        <v>0</v>
      </c>
      <c r="CG6" s="49">
        <f t="shared" si="11"/>
        <v>0</v>
      </c>
      <c r="CH6" s="52">
        <f>volume!CH6</f>
        <v>60</v>
      </c>
      <c r="CI6" s="53">
        <f>volume!CI6</f>
        <v>7</v>
      </c>
      <c r="CJ6" s="53">
        <f>volume!CJ6</f>
        <v>0</v>
      </c>
      <c r="CK6" s="53">
        <f>volume!CK6</f>
        <v>0</v>
      </c>
      <c r="CL6" s="53">
        <f>volume!CL6</f>
        <v>0</v>
      </c>
      <c r="CM6" s="54">
        <f>volume!CM6</f>
        <v>0</v>
      </c>
      <c r="CN6" s="49">
        <f t="shared" si="12"/>
        <v>67</v>
      </c>
      <c r="CO6" s="52">
        <f>volume!CO6</f>
        <v>150</v>
      </c>
      <c r="CP6" s="53">
        <f>volume!CP6</f>
        <v>25</v>
      </c>
      <c r="CQ6" s="53">
        <f>volume!CQ6</f>
        <v>1</v>
      </c>
      <c r="CR6" s="53">
        <f>volume!CR6</f>
        <v>0</v>
      </c>
      <c r="CS6" s="53">
        <f>volume!CS6</f>
        <v>2</v>
      </c>
      <c r="CT6" s="54">
        <f>volume!CT6</f>
        <v>0</v>
      </c>
      <c r="CU6" s="49">
        <f t="shared" si="13"/>
        <v>178</v>
      </c>
      <c r="CV6" s="52">
        <f>volume!CV6</f>
        <v>0</v>
      </c>
      <c r="CW6" s="53">
        <f>volume!CW6</f>
        <v>0</v>
      </c>
      <c r="CX6" s="53">
        <f>volume!CX6</f>
        <v>0</v>
      </c>
      <c r="CY6" s="53">
        <f>volume!CY6</f>
        <v>0</v>
      </c>
      <c r="CZ6" s="53">
        <f>volume!CZ6</f>
        <v>0</v>
      </c>
      <c r="DA6" s="54">
        <f>volume!DA6</f>
        <v>0</v>
      </c>
      <c r="DB6" s="49">
        <f t="shared" si="14"/>
        <v>0</v>
      </c>
      <c r="DC6" s="52">
        <f>volume!DC6</f>
        <v>0</v>
      </c>
      <c r="DD6" s="53">
        <f>volume!DD6</f>
        <v>0</v>
      </c>
      <c r="DE6" s="53">
        <f>volume!DE6</f>
        <v>0</v>
      </c>
      <c r="DF6" s="53">
        <f>volume!DF6</f>
        <v>0</v>
      </c>
      <c r="DG6" s="53">
        <f>volume!DG6</f>
        <v>0</v>
      </c>
      <c r="DH6" s="54">
        <f>volume!DH6</f>
        <v>0</v>
      </c>
      <c r="DI6" s="49">
        <f t="shared" si="15"/>
        <v>0</v>
      </c>
      <c r="DJ6" s="52">
        <f>volume!DJ6</f>
        <v>0</v>
      </c>
      <c r="DK6" s="53">
        <f>volume!DK6</f>
        <v>0</v>
      </c>
      <c r="DL6" s="53">
        <f>volume!DL6</f>
        <v>0</v>
      </c>
      <c r="DM6" s="53">
        <f>volume!DM6</f>
        <v>0</v>
      </c>
      <c r="DN6" s="53">
        <f>volume!DN6</f>
        <v>0</v>
      </c>
      <c r="DO6" s="54">
        <f>volume!DO6</f>
        <v>0</v>
      </c>
      <c r="DP6" s="50">
        <f t="shared" si="16"/>
        <v>0</v>
      </c>
      <c r="DQ6" s="52">
        <f>volume!DQ6</f>
        <v>0</v>
      </c>
      <c r="DR6" s="53">
        <f>volume!DR6</f>
        <v>0</v>
      </c>
      <c r="DS6" s="53">
        <f>volume!DS6</f>
        <v>0</v>
      </c>
      <c r="DT6" s="53">
        <f>volume!DT6</f>
        <v>0</v>
      </c>
      <c r="DU6" s="53">
        <f>volume!DU6</f>
        <v>0</v>
      </c>
      <c r="DV6" s="54">
        <f>volume!DV6</f>
        <v>0</v>
      </c>
      <c r="DW6" s="50">
        <f t="shared" si="17"/>
        <v>0</v>
      </c>
      <c r="DX6" s="52">
        <f>volume!DX6</f>
        <v>0</v>
      </c>
      <c r="DY6" s="53">
        <f>volume!DY6</f>
        <v>0</v>
      </c>
      <c r="DZ6" s="53">
        <f>volume!DZ6</f>
        <v>0</v>
      </c>
      <c r="EA6" s="53">
        <f>volume!EA6</f>
        <v>0</v>
      </c>
      <c r="EB6" s="53">
        <f>volume!EB6</f>
        <v>0</v>
      </c>
      <c r="EC6" s="54">
        <f>volume!EC6</f>
        <v>0</v>
      </c>
      <c r="ED6" s="50">
        <f t="shared" si="18"/>
        <v>0</v>
      </c>
      <c r="EE6" s="273"/>
      <c r="EF6" s="273"/>
      <c r="EG6" s="273"/>
      <c r="EH6" s="273"/>
      <c r="EI6" s="273"/>
      <c r="EJ6" s="273"/>
      <c r="EK6" s="273"/>
      <c r="EL6" s="52">
        <f>volume!EL6</f>
        <v>0</v>
      </c>
      <c r="EM6" s="53">
        <f>volume!EM6</f>
        <v>0</v>
      </c>
      <c r="EN6" s="53">
        <f>volume!EN6</f>
        <v>0</v>
      </c>
      <c r="EO6" s="53">
        <f>volume!EO6</f>
        <v>0</v>
      </c>
      <c r="EP6" s="53">
        <f>volume!EP6</f>
        <v>0</v>
      </c>
      <c r="EQ6" s="54">
        <f>volume!EQ6</f>
        <v>0</v>
      </c>
      <c r="ER6" s="50">
        <f t="shared" si="19"/>
        <v>0</v>
      </c>
      <c r="ES6" s="52">
        <f>volume!ES6</f>
        <v>0</v>
      </c>
      <c r="ET6" s="53">
        <f>volume!ET6</f>
        <v>0</v>
      </c>
      <c r="EU6" s="53">
        <f>volume!EU6</f>
        <v>0</v>
      </c>
      <c r="EV6" s="53">
        <f>volume!EV6</f>
        <v>0</v>
      </c>
      <c r="EW6" s="53">
        <f>volume!EW6</f>
        <v>0</v>
      </c>
      <c r="EX6" s="54">
        <f>volume!EX6</f>
        <v>0</v>
      </c>
      <c r="EY6" s="50">
        <f t="shared" si="20"/>
        <v>0</v>
      </c>
      <c r="EZ6" s="52">
        <f>volume!EZ6</f>
        <v>0</v>
      </c>
      <c r="FA6" s="53">
        <f>volume!FA6</f>
        <v>0</v>
      </c>
      <c r="FB6" s="53">
        <f>volume!FB6</f>
        <v>0</v>
      </c>
      <c r="FC6" s="53">
        <f>volume!FC6</f>
        <v>0</v>
      </c>
      <c r="FD6" s="53">
        <f>volume!FD6</f>
        <v>0</v>
      </c>
      <c r="FE6" s="54">
        <f>volume!FE6</f>
        <v>0</v>
      </c>
      <c r="FF6" s="50">
        <f t="shared" si="21"/>
        <v>0</v>
      </c>
      <c r="FG6" s="273"/>
      <c r="FH6" s="273"/>
      <c r="FI6" s="273"/>
      <c r="FJ6" s="273"/>
      <c r="FK6" s="273"/>
      <c r="FL6" s="273"/>
      <c r="FM6" s="273"/>
      <c r="FN6" s="52">
        <f>volume!FN6</f>
        <v>0</v>
      </c>
      <c r="FO6" s="53">
        <f>volume!FO6</f>
        <v>0</v>
      </c>
      <c r="FP6" s="53">
        <f>volume!FP6</f>
        <v>0</v>
      </c>
      <c r="FQ6" s="53">
        <f>volume!FQ6</f>
        <v>0</v>
      </c>
      <c r="FR6" s="53">
        <f>volume!FR6</f>
        <v>0</v>
      </c>
      <c r="FS6" s="54">
        <f>volume!FS6</f>
        <v>0</v>
      </c>
      <c r="FT6" s="50">
        <f t="shared" si="22"/>
        <v>0</v>
      </c>
      <c r="FU6" s="52">
        <f>volume!FU6</f>
        <v>0</v>
      </c>
      <c r="FV6" s="53">
        <f>volume!FV6</f>
        <v>0</v>
      </c>
      <c r="FW6" s="53">
        <f>volume!FW6</f>
        <v>0</v>
      </c>
      <c r="FX6" s="53">
        <f>volume!FX6</f>
        <v>0</v>
      </c>
      <c r="FY6" s="53">
        <f>volume!FY6</f>
        <v>0</v>
      </c>
      <c r="FZ6" s="54">
        <f>volume!FZ6</f>
        <v>0</v>
      </c>
      <c r="GA6" s="50">
        <f t="shared" si="23"/>
        <v>0</v>
      </c>
      <c r="GB6" s="52">
        <f>volume!GB6</f>
        <v>0</v>
      </c>
      <c r="GC6" s="53">
        <f>volume!GC6</f>
        <v>0</v>
      </c>
      <c r="GD6" s="53">
        <f>volume!GD6</f>
        <v>0</v>
      </c>
      <c r="GE6" s="53">
        <f>volume!GE6</f>
        <v>0</v>
      </c>
      <c r="GF6" s="53">
        <f>volume!GF6</f>
        <v>0</v>
      </c>
      <c r="GG6" s="54">
        <f>volume!GG6</f>
        <v>0</v>
      </c>
      <c r="GH6" s="50">
        <f t="shared" si="24"/>
        <v>0</v>
      </c>
      <c r="GI6" s="273"/>
      <c r="GJ6" s="273"/>
      <c r="GK6" s="273"/>
      <c r="GL6" s="273"/>
      <c r="GM6" s="273"/>
      <c r="GN6" s="273"/>
      <c r="GO6" s="273"/>
      <c r="GP6" s="52">
        <f>volume!GP6</f>
        <v>0</v>
      </c>
      <c r="GQ6" s="53">
        <f>volume!GQ6</f>
        <v>0</v>
      </c>
      <c r="GR6" s="53">
        <f>volume!GR6</f>
        <v>0</v>
      </c>
      <c r="GS6" s="53">
        <f>volume!GS6</f>
        <v>0</v>
      </c>
      <c r="GT6" s="53">
        <f>volume!GT6</f>
        <v>0</v>
      </c>
      <c r="GU6" s="54">
        <f>volume!GU6</f>
        <v>0</v>
      </c>
      <c r="GV6" s="50">
        <f t="shared" si="25"/>
        <v>0</v>
      </c>
      <c r="GW6" s="52">
        <f>volume!GW6</f>
        <v>0</v>
      </c>
      <c r="GX6" s="53">
        <f>volume!GX6</f>
        <v>0</v>
      </c>
      <c r="GY6" s="53">
        <f>volume!GY6</f>
        <v>0</v>
      </c>
      <c r="GZ6" s="53">
        <f>volume!GZ6</f>
        <v>0</v>
      </c>
      <c r="HA6" s="53">
        <f>volume!HA6</f>
        <v>0</v>
      </c>
      <c r="HB6" s="54">
        <f>volume!HB6</f>
        <v>0</v>
      </c>
      <c r="HC6" s="50">
        <f t="shared" si="26"/>
        <v>0</v>
      </c>
      <c r="HD6" s="52">
        <f>volume!HD6</f>
        <v>0</v>
      </c>
      <c r="HE6" s="53">
        <f>volume!HE6</f>
        <v>0</v>
      </c>
      <c r="HF6" s="53">
        <f>volume!HF6</f>
        <v>0</v>
      </c>
      <c r="HG6" s="53">
        <f>volume!HG6</f>
        <v>0</v>
      </c>
      <c r="HH6" s="53">
        <f>volume!HH6</f>
        <v>0</v>
      </c>
      <c r="HI6" s="54">
        <f>volume!HI6</f>
        <v>0</v>
      </c>
      <c r="HJ6" s="50">
        <f t="shared" si="27"/>
        <v>0</v>
      </c>
    </row>
    <row r="7" spans="1:218" ht="21.75" customHeight="1" x14ac:dyDescent="0.6">
      <c r="A7" s="44" t="s">
        <v>62</v>
      </c>
      <c r="B7" s="45">
        <f>volume!B7</f>
        <v>52</v>
      </c>
      <c r="C7" s="46">
        <f>volume!C7</f>
        <v>5</v>
      </c>
      <c r="D7" s="46">
        <f>volume!D7</f>
        <v>1</v>
      </c>
      <c r="E7" s="46">
        <f>volume!E7</f>
        <v>0</v>
      </c>
      <c r="F7" s="46">
        <f>volume!F7</f>
        <v>0</v>
      </c>
      <c r="G7" s="47">
        <f>volume!G7</f>
        <v>2</v>
      </c>
      <c r="H7" s="48">
        <f t="shared" si="0"/>
        <v>60</v>
      </c>
      <c r="I7" s="45">
        <f>volume!I7</f>
        <v>19</v>
      </c>
      <c r="J7" s="46">
        <f>volume!J7</f>
        <v>8</v>
      </c>
      <c r="K7" s="46">
        <f>volume!K7</f>
        <v>0</v>
      </c>
      <c r="L7" s="46">
        <f>volume!L7</f>
        <v>0</v>
      </c>
      <c r="M7" s="46">
        <f>volume!M7</f>
        <v>0</v>
      </c>
      <c r="N7" s="47">
        <f>volume!N7</f>
        <v>0</v>
      </c>
      <c r="O7" s="49">
        <f t="shared" si="1"/>
        <v>27</v>
      </c>
      <c r="P7" s="45">
        <f>volume!P7</f>
        <v>15</v>
      </c>
      <c r="Q7" s="46">
        <f>volume!Q7</f>
        <v>9</v>
      </c>
      <c r="R7" s="46">
        <f>volume!R7</f>
        <v>0</v>
      </c>
      <c r="S7" s="46">
        <f>volume!S7</f>
        <v>0</v>
      </c>
      <c r="T7" s="46">
        <f>volume!T7</f>
        <v>0</v>
      </c>
      <c r="U7" s="47">
        <f>volume!U7</f>
        <v>0</v>
      </c>
      <c r="V7" s="49">
        <f t="shared" si="2"/>
        <v>24</v>
      </c>
      <c r="W7" s="45">
        <f>volume!W7</f>
        <v>0</v>
      </c>
      <c r="X7" s="46">
        <f>volume!X7</f>
        <v>0</v>
      </c>
      <c r="Y7" s="46">
        <f>volume!Y7</f>
        <v>0</v>
      </c>
      <c r="Z7" s="46">
        <f>volume!Z7</f>
        <v>0</v>
      </c>
      <c r="AA7" s="46">
        <f>volume!AA7</f>
        <v>0</v>
      </c>
      <c r="AB7" s="47">
        <f>volume!AB7</f>
        <v>0</v>
      </c>
      <c r="AC7" s="49">
        <f t="shared" si="3"/>
        <v>0</v>
      </c>
      <c r="AD7" s="45">
        <f>volume!AD7</f>
        <v>45</v>
      </c>
      <c r="AE7" s="46">
        <f>volume!AE7</f>
        <v>14</v>
      </c>
      <c r="AF7" s="46">
        <f>volume!AF7</f>
        <v>0</v>
      </c>
      <c r="AG7" s="46">
        <f>volume!AG7</f>
        <v>0</v>
      </c>
      <c r="AH7" s="46">
        <f>volume!AH7</f>
        <v>0</v>
      </c>
      <c r="AI7" s="47">
        <f>volume!AI7</f>
        <v>0</v>
      </c>
      <c r="AJ7" s="49">
        <f t="shared" si="4"/>
        <v>59</v>
      </c>
      <c r="AK7" s="45">
        <f>volume!AK7</f>
        <v>154</v>
      </c>
      <c r="AL7" s="46">
        <f>volume!AL7</f>
        <v>48</v>
      </c>
      <c r="AM7" s="46">
        <f>volume!AM7</f>
        <v>2</v>
      </c>
      <c r="AN7" s="46">
        <f>volume!AN7</f>
        <v>0</v>
      </c>
      <c r="AO7" s="46">
        <f>volume!AO7</f>
        <v>2</v>
      </c>
      <c r="AP7" s="47">
        <f>volume!AP7</f>
        <v>0</v>
      </c>
      <c r="AQ7" s="49">
        <f t="shared" si="5"/>
        <v>206</v>
      </c>
      <c r="AR7" s="45">
        <f>volume!AR7</f>
        <v>38</v>
      </c>
      <c r="AS7" s="46">
        <f>volume!AS7</f>
        <v>8</v>
      </c>
      <c r="AT7" s="46">
        <f>volume!AT7</f>
        <v>0</v>
      </c>
      <c r="AU7" s="46">
        <f>volume!AU7</f>
        <v>0</v>
      </c>
      <c r="AV7" s="46">
        <f>volume!AV7</f>
        <v>0</v>
      </c>
      <c r="AW7" s="47">
        <f>volume!AW7</f>
        <v>0</v>
      </c>
      <c r="AX7" s="49">
        <f t="shared" si="6"/>
        <v>46</v>
      </c>
      <c r="AY7" s="45">
        <f>volume!AY7</f>
        <v>60</v>
      </c>
      <c r="AZ7" s="46">
        <f>volume!AZ7</f>
        <v>16</v>
      </c>
      <c r="BA7" s="46">
        <f>volume!BA7</f>
        <v>0</v>
      </c>
      <c r="BB7" s="46">
        <f>volume!BB7</f>
        <v>0</v>
      </c>
      <c r="BC7" s="46">
        <f>volume!BC7</f>
        <v>1</v>
      </c>
      <c r="BD7" s="47">
        <f>volume!BD7</f>
        <v>1</v>
      </c>
      <c r="BE7" s="49">
        <f t="shared" si="7"/>
        <v>78</v>
      </c>
      <c r="BF7" s="45">
        <f>volume!BF7</f>
        <v>2</v>
      </c>
      <c r="BG7" s="46">
        <f>volume!BG7</f>
        <v>2</v>
      </c>
      <c r="BH7" s="46">
        <f>volume!BH7</f>
        <v>0</v>
      </c>
      <c r="BI7" s="46">
        <f>volume!BI7</f>
        <v>0</v>
      </c>
      <c r="BJ7" s="46">
        <f>volume!BJ7</f>
        <v>0</v>
      </c>
      <c r="BK7" s="47">
        <f>volume!BK7</f>
        <v>0</v>
      </c>
      <c r="BL7" s="49">
        <f t="shared" si="8"/>
        <v>4</v>
      </c>
      <c r="BM7" s="45">
        <f>volume!BM7</f>
        <v>58</v>
      </c>
      <c r="BN7" s="46">
        <f>volume!BN7</f>
        <v>10</v>
      </c>
      <c r="BO7" s="46">
        <f>volume!BO7</f>
        <v>0</v>
      </c>
      <c r="BP7" s="46">
        <f>volume!BP7</f>
        <v>0</v>
      </c>
      <c r="BQ7" s="46">
        <f>volume!BQ7</f>
        <v>0</v>
      </c>
      <c r="BR7" s="47">
        <f>volume!BR7</f>
        <v>0</v>
      </c>
      <c r="BS7" s="49">
        <f t="shared" si="9"/>
        <v>68</v>
      </c>
      <c r="BT7" s="45">
        <f>volume!BT7</f>
        <v>63</v>
      </c>
      <c r="BU7" s="46">
        <f>volume!BU7</f>
        <v>17</v>
      </c>
      <c r="BV7" s="46">
        <f>volume!BV7</f>
        <v>0</v>
      </c>
      <c r="BW7" s="46">
        <f>volume!BW7</f>
        <v>0</v>
      </c>
      <c r="BX7" s="46">
        <f>volume!BX7</f>
        <v>0</v>
      </c>
      <c r="BY7" s="47">
        <f>volume!BY7</f>
        <v>0</v>
      </c>
      <c r="BZ7" s="49">
        <f t="shared" si="10"/>
        <v>80</v>
      </c>
      <c r="CA7" s="45">
        <f>volume!CA7</f>
        <v>0</v>
      </c>
      <c r="CB7" s="46">
        <f>volume!CB7</f>
        <v>0</v>
      </c>
      <c r="CC7" s="46">
        <f>volume!CC7</f>
        <v>0</v>
      </c>
      <c r="CD7" s="46">
        <f>volume!CD7</f>
        <v>0</v>
      </c>
      <c r="CE7" s="46">
        <f>volume!CE7</f>
        <v>0</v>
      </c>
      <c r="CF7" s="47">
        <f>volume!CF7</f>
        <v>0</v>
      </c>
      <c r="CG7" s="49">
        <f t="shared" si="11"/>
        <v>0</v>
      </c>
      <c r="CH7" s="45">
        <f>volume!CH7</f>
        <v>69</v>
      </c>
      <c r="CI7" s="46">
        <f>volume!CI7</f>
        <v>10</v>
      </c>
      <c r="CJ7" s="46">
        <f>volume!CJ7</f>
        <v>0</v>
      </c>
      <c r="CK7" s="46">
        <f>volume!CK7</f>
        <v>0</v>
      </c>
      <c r="CL7" s="46">
        <f>volume!CL7</f>
        <v>1</v>
      </c>
      <c r="CM7" s="47">
        <f>volume!CM7</f>
        <v>0</v>
      </c>
      <c r="CN7" s="49">
        <f t="shared" si="12"/>
        <v>80</v>
      </c>
      <c r="CO7" s="45">
        <f>volume!CO7</f>
        <v>142</v>
      </c>
      <c r="CP7" s="46">
        <f>volume!CP7</f>
        <v>18</v>
      </c>
      <c r="CQ7" s="46">
        <f>volume!CQ7</f>
        <v>2</v>
      </c>
      <c r="CR7" s="46">
        <f>volume!CR7</f>
        <v>0</v>
      </c>
      <c r="CS7" s="46">
        <f>volume!CS7</f>
        <v>2</v>
      </c>
      <c r="CT7" s="47">
        <f>volume!CT7</f>
        <v>0</v>
      </c>
      <c r="CU7" s="49">
        <f t="shared" si="13"/>
        <v>164</v>
      </c>
      <c r="CV7" s="45">
        <f>volume!CV7</f>
        <v>0</v>
      </c>
      <c r="CW7" s="46">
        <f>volume!CW7</f>
        <v>0</v>
      </c>
      <c r="CX7" s="46">
        <f>volume!CX7</f>
        <v>0</v>
      </c>
      <c r="CY7" s="46">
        <f>volume!CY7</f>
        <v>0</v>
      </c>
      <c r="CZ7" s="46">
        <f>volume!CZ7</f>
        <v>0</v>
      </c>
      <c r="DA7" s="47">
        <f>volume!DA7</f>
        <v>0</v>
      </c>
      <c r="DB7" s="49">
        <f t="shared" si="14"/>
        <v>0</v>
      </c>
      <c r="DC7" s="45">
        <f>volume!DC7</f>
        <v>0</v>
      </c>
      <c r="DD7" s="46">
        <f>volume!DD7</f>
        <v>0</v>
      </c>
      <c r="DE7" s="46">
        <f>volume!DE7</f>
        <v>0</v>
      </c>
      <c r="DF7" s="46">
        <f>volume!DF7</f>
        <v>0</v>
      </c>
      <c r="DG7" s="46">
        <f>volume!DG7</f>
        <v>0</v>
      </c>
      <c r="DH7" s="47">
        <f>volume!DH7</f>
        <v>0</v>
      </c>
      <c r="DI7" s="49">
        <f t="shared" si="15"/>
        <v>0</v>
      </c>
      <c r="DJ7" s="45">
        <f>volume!DJ7</f>
        <v>0</v>
      </c>
      <c r="DK7" s="46">
        <f>volume!DK7</f>
        <v>0</v>
      </c>
      <c r="DL7" s="46">
        <f>volume!DL7</f>
        <v>0</v>
      </c>
      <c r="DM7" s="46">
        <f>volume!DM7</f>
        <v>0</v>
      </c>
      <c r="DN7" s="46">
        <f>volume!DN7</f>
        <v>0</v>
      </c>
      <c r="DO7" s="47">
        <f>volume!DO7</f>
        <v>0</v>
      </c>
      <c r="DP7" s="50">
        <f t="shared" si="16"/>
        <v>0</v>
      </c>
      <c r="DQ7" s="45">
        <f>volume!DQ7</f>
        <v>0</v>
      </c>
      <c r="DR7" s="46">
        <f>volume!DR7</f>
        <v>0</v>
      </c>
      <c r="DS7" s="46">
        <f>volume!DS7</f>
        <v>0</v>
      </c>
      <c r="DT7" s="46">
        <f>volume!DT7</f>
        <v>0</v>
      </c>
      <c r="DU7" s="46">
        <f>volume!DU7</f>
        <v>0</v>
      </c>
      <c r="DV7" s="47">
        <f>volume!DV7</f>
        <v>0</v>
      </c>
      <c r="DW7" s="50">
        <f t="shared" si="17"/>
        <v>0</v>
      </c>
      <c r="DX7" s="45">
        <f>volume!DX7</f>
        <v>0</v>
      </c>
      <c r="DY7" s="46">
        <f>volume!DY7</f>
        <v>0</v>
      </c>
      <c r="DZ7" s="46">
        <f>volume!DZ7</f>
        <v>0</v>
      </c>
      <c r="EA7" s="46">
        <f>volume!EA7</f>
        <v>0</v>
      </c>
      <c r="EB7" s="46">
        <f>volume!EB7</f>
        <v>0</v>
      </c>
      <c r="EC7" s="47">
        <f>volume!EC7</f>
        <v>0</v>
      </c>
      <c r="ED7" s="50">
        <f t="shared" si="18"/>
        <v>0</v>
      </c>
      <c r="EE7" s="272"/>
      <c r="EF7" s="272"/>
      <c r="EG7" s="272"/>
      <c r="EH7" s="272"/>
      <c r="EI7" s="272"/>
      <c r="EJ7" s="272"/>
      <c r="EK7" s="272"/>
      <c r="EL7" s="45">
        <f>volume!EL7</f>
        <v>0</v>
      </c>
      <c r="EM7" s="46">
        <f>volume!EM7</f>
        <v>0</v>
      </c>
      <c r="EN7" s="46">
        <f>volume!EN7</f>
        <v>0</v>
      </c>
      <c r="EO7" s="46">
        <f>volume!EO7</f>
        <v>0</v>
      </c>
      <c r="EP7" s="46">
        <f>volume!EP7</f>
        <v>0</v>
      </c>
      <c r="EQ7" s="47">
        <f>volume!EQ7</f>
        <v>0</v>
      </c>
      <c r="ER7" s="50">
        <f t="shared" si="19"/>
        <v>0</v>
      </c>
      <c r="ES7" s="45">
        <f>volume!ES7</f>
        <v>0</v>
      </c>
      <c r="ET7" s="46">
        <f>volume!ET7</f>
        <v>0</v>
      </c>
      <c r="EU7" s="46">
        <f>volume!EU7</f>
        <v>0</v>
      </c>
      <c r="EV7" s="46">
        <f>volume!EV7</f>
        <v>0</v>
      </c>
      <c r="EW7" s="46">
        <f>volume!EW7</f>
        <v>0</v>
      </c>
      <c r="EX7" s="47">
        <f>volume!EX7</f>
        <v>0</v>
      </c>
      <c r="EY7" s="50">
        <f t="shared" si="20"/>
        <v>0</v>
      </c>
      <c r="EZ7" s="45">
        <f>volume!EZ7</f>
        <v>0</v>
      </c>
      <c r="FA7" s="46">
        <f>volume!FA7</f>
        <v>0</v>
      </c>
      <c r="FB7" s="46">
        <f>volume!FB7</f>
        <v>0</v>
      </c>
      <c r="FC7" s="46">
        <f>volume!FC7</f>
        <v>0</v>
      </c>
      <c r="FD7" s="46">
        <f>volume!FD7</f>
        <v>0</v>
      </c>
      <c r="FE7" s="47">
        <f>volume!FE7</f>
        <v>0</v>
      </c>
      <c r="FF7" s="50">
        <f t="shared" si="21"/>
        <v>0</v>
      </c>
      <c r="FG7" s="272"/>
      <c r="FH7" s="272"/>
      <c r="FI7" s="272"/>
      <c r="FJ7" s="272"/>
      <c r="FK7" s="272"/>
      <c r="FL7" s="272"/>
      <c r="FM7" s="272"/>
      <c r="FN7" s="45">
        <f>volume!FN7</f>
        <v>0</v>
      </c>
      <c r="FO7" s="46">
        <f>volume!FO7</f>
        <v>0</v>
      </c>
      <c r="FP7" s="46">
        <f>volume!FP7</f>
        <v>0</v>
      </c>
      <c r="FQ7" s="46">
        <f>volume!FQ7</f>
        <v>0</v>
      </c>
      <c r="FR7" s="46">
        <f>volume!FR7</f>
        <v>0</v>
      </c>
      <c r="FS7" s="47">
        <f>volume!FS7</f>
        <v>0</v>
      </c>
      <c r="FT7" s="50">
        <f t="shared" si="22"/>
        <v>0</v>
      </c>
      <c r="FU7" s="45">
        <f>volume!FU7</f>
        <v>0</v>
      </c>
      <c r="FV7" s="46">
        <f>volume!FV7</f>
        <v>0</v>
      </c>
      <c r="FW7" s="46">
        <f>volume!FW7</f>
        <v>0</v>
      </c>
      <c r="FX7" s="46">
        <f>volume!FX7</f>
        <v>0</v>
      </c>
      <c r="FY7" s="46">
        <f>volume!FY7</f>
        <v>0</v>
      </c>
      <c r="FZ7" s="47">
        <f>volume!FZ7</f>
        <v>0</v>
      </c>
      <c r="GA7" s="50">
        <f t="shared" si="23"/>
        <v>0</v>
      </c>
      <c r="GB7" s="45">
        <f>volume!GB7</f>
        <v>0</v>
      </c>
      <c r="GC7" s="46">
        <f>volume!GC7</f>
        <v>0</v>
      </c>
      <c r="GD7" s="46">
        <f>volume!GD7</f>
        <v>0</v>
      </c>
      <c r="GE7" s="46">
        <f>volume!GE7</f>
        <v>0</v>
      </c>
      <c r="GF7" s="46">
        <f>volume!GF7</f>
        <v>0</v>
      </c>
      <c r="GG7" s="47">
        <f>volume!GG7</f>
        <v>0</v>
      </c>
      <c r="GH7" s="50">
        <f t="shared" si="24"/>
        <v>0</v>
      </c>
      <c r="GI7" s="272"/>
      <c r="GJ7" s="272"/>
      <c r="GK7" s="272"/>
      <c r="GL7" s="272"/>
      <c r="GM7" s="272"/>
      <c r="GN7" s="272"/>
      <c r="GO7" s="272"/>
      <c r="GP7" s="45">
        <f>volume!GP7</f>
        <v>0</v>
      </c>
      <c r="GQ7" s="46">
        <f>volume!GQ7</f>
        <v>0</v>
      </c>
      <c r="GR7" s="46">
        <f>volume!GR7</f>
        <v>0</v>
      </c>
      <c r="GS7" s="46">
        <f>volume!GS7</f>
        <v>0</v>
      </c>
      <c r="GT7" s="46">
        <f>volume!GT7</f>
        <v>0</v>
      </c>
      <c r="GU7" s="47">
        <f>volume!GU7</f>
        <v>0</v>
      </c>
      <c r="GV7" s="50">
        <f t="shared" si="25"/>
        <v>0</v>
      </c>
      <c r="GW7" s="45">
        <f>volume!GW7</f>
        <v>0</v>
      </c>
      <c r="GX7" s="46">
        <f>volume!GX7</f>
        <v>0</v>
      </c>
      <c r="GY7" s="46">
        <f>volume!GY7</f>
        <v>0</v>
      </c>
      <c r="GZ7" s="46">
        <f>volume!GZ7</f>
        <v>0</v>
      </c>
      <c r="HA7" s="46">
        <f>volume!HA7</f>
        <v>0</v>
      </c>
      <c r="HB7" s="47">
        <f>volume!HB7</f>
        <v>0</v>
      </c>
      <c r="HC7" s="50">
        <f t="shared" si="26"/>
        <v>0</v>
      </c>
      <c r="HD7" s="45">
        <f>volume!HD7</f>
        <v>0</v>
      </c>
      <c r="HE7" s="46">
        <f>volume!HE7</f>
        <v>0</v>
      </c>
      <c r="HF7" s="46">
        <f>volume!HF7</f>
        <v>0</v>
      </c>
      <c r="HG7" s="46">
        <f>volume!HG7</f>
        <v>0</v>
      </c>
      <c r="HH7" s="46">
        <f>volume!HH7</f>
        <v>0</v>
      </c>
      <c r="HI7" s="47">
        <f>volume!HI7</f>
        <v>0</v>
      </c>
      <c r="HJ7" s="50">
        <f t="shared" si="27"/>
        <v>0</v>
      </c>
    </row>
    <row r="8" spans="1:218" ht="21.75" customHeight="1" x14ac:dyDescent="0.6">
      <c r="A8" s="51" t="s">
        <v>63</v>
      </c>
      <c r="B8" s="52">
        <f>volume!B8</f>
        <v>47</v>
      </c>
      <c r="C8" s="53">
        <f>volume!C8</f>
        <v>8</v>
      </c>
      <c r="D8" s="53">
        <f>volume!D8</f>
        <v>0</v>
      </c>
      <c r="E8" s="53">
        <f>volume!E8</f>
        <v>0</v>
      </c>
      <c r="F8" s="53">
        <f>volume!F8</f>
        <v>1</v>
      </c>
      <c r="G8" s="54">
        <f>volume!G8</f>
        <v>0</v>
      </c>
      <c r="H8" s="48">
        <f t="shared" si="0"/>
        <v>56</v>
      </c>
      <c r="I8" s="52">
        <f>volume!I8</f>
        <v>23</v>
      </c>
      <c r="J8" s="53">
        <f>volume!J8</f>
        <v>2</v>
      </c>
      <c r="K8" s="53">
        <f>volume!K8</f>
        <v>0</v>
      </c>
      <c r="L8" s="53">
        <f>volume!L8</f>
        <v>0</v>
      </c>
      <c r="M8" s="53">
        <f>volume!M8</f>
        <v>0</v>
      </c>
      <c r="N8" s="54">
        <f>volume!N8</f>
        <v>0</v>
      </c>
      <c r="O8" s="49">
        <f t="shared" si="1"/>
        <v>25</v>
      </c>
      <c r="P8" s="52">
        <f>volume!P8</f>
        <v>23</v>
      </c>
      <c r="Q8" s="53">
        <f>volume!Q8</f>
        <v>4</v>
      </c>
      <c r="R8" s="53">
        <f>volume!R8</f>
        <v>0</v>
      </c>
      <c r="S8" s="53">
        <f>volume!S8</f>
        <v>0</v>
      </c>
      <c r="T8" s="53">
        <f>volume!T8</f>
        <v>0</v>
      </c>
      <c r="U8" s="54">
        <f>volume!U8</f>
        <v>0</v>
      </c>
      <c r="V8" s="49">
        <f t="shared" si="2"/>
        <v>27</v>
      </c>
      <c r="W8" s="52">
        <f>volume!W8</f>
        <v>0</v>
      </c>
      <c r="X8" s="53">
        <f>volume!X8</f>
        <v>0</v>
      </c>
      <c r="Y8" s="53">
        <f>volume!Y8</f>
        <v>0</v>
      </c>
      <c r="Z8" s="53">
        <f>volume!Z8</f>
        <v>0</v>
      </c>
      <c r="AA8" s="53">
        <f>volume!AA8</f>
        <v>0</v>
      </c>
      <c r="AB8" s="54">
        <f>volume!AB8</f>
        <v>0</v>
      </c>
      <c r="AC8" s="49">
        <f t="shared" si="3"/>
        <v>0</v>
      </c>
      <c r="AD8" s="52">
        <f>volume!AD8</f>
        <v>39</v>
      </c>
      <c r="AE8" s="53">
        <f>volume!AE8</f>
        <v>11</v>
      </c>
      <c r="AF8" s="53">
        <f>volume!AF8</f>
        <v>0</v>
      </c>
      <c r="AG8" s="53">
        <f>volume!AG8</f>
        <v>0</v>
      </c>
      <c r="AH8" s="53">
        <f>volume!AH8</f>
        <v>1</v>
      </c>
      <c r="AI8" s="54">
        <f>volume!AI8</f>
        <v>0</v>
      </c>
      <c r="AJ8" s="49">
        <f t="shared" si="4"/>
        <v>51</v>
      </c>
      <c r="AK8" s="52">
        <f>volume!AK8</f>
        <v>147</v>
      </c>
      <c r="AL8" s="53">
        <f>volume!AL8</f>
        <v>55</v>
      </c>
      <c r="AM8" s="53">
        <f>volume!AM8</f>
        <v>0</v>
      </c>
      <c r="AN8" s="53">
        <f>volume!AN8</f>
        <v>0</v>
      </c>
      <c r="AO8" s="53">
        <f>volume!AO8</f>
        <v>6</v>
      </c>
      <c r="AP8" s="54">
        <f>volume!AP8</f>
        <v>0</v>
      </c>
      <c r="AQ8" s="49">
        <f t="shared" si="5"/>
        <v>208</v>
      </c>
      <c r="AR8" s="52">
        <f>volume!AR8</f>
        <v>30</v>
      </c>
      <c r="AS8" s="53">
        <f>volume!AS8</f>
        <v>4</v>
      </c>
      <c r="AT8" s="53">
        <f>volume!AT8</f>
        <v>0</v>
      </c>
      <c r="AU8" s="53">
        <f>volume!AU8</f>
        <v>0</v>
      </c>
      <c r="AV8" s="53">
        <f>volume!AV8</f>
        <v>1</v>
      </c>
      <c r="AW8" s="54">
        <f>volume!AW8</f>
        <v>1</v>
      </c>
      <c r="AX8" s="49">
        <f t="shared" si="6"/>
        <v>36</v>
      </c>
      <c r="AY8" s="52">
        <f>volume!AY8</f>
        <v>58</v>
      </c>
      <c r="AZ8" s="53">
        <f>volume!AZ8</f>
        <v>13</v>
      </c>
      <c r="BA8" s="53">
        <f>volume!BA8</f>
        <v>0</v>
      </c>
      <c r="BB8" s="53">
        <f>volume!BB8</f>
        <v>0</v>
      </c>
      <c r="BC8" s="53">
        <f>volume!BC8</f>
        <v>0</v>
      </c>
      <c r="BD8" s="54">
        <f>volume!BD8</f>
        <v>2</v>
      </c>
      <c r="BE8" s="49">
        <f t="shared" si="7"/>
        <v>73</v>
      </c>
      <c r="BF8" s="52">
        <f>volume!BF8</f>
        <v>1</v>
      </c>
      <c r="BG8" s="53">
        <f>volume!BG8</f>
        <v>3</v>
      </c>
      <c r="BH8" s="53">
        <f>volume!BH8</f>
        <v>0</v>
      </c>
      <c r="BI8" s="53">
        <f>volume!BI8</f>
        <v>0</v>
      </c>
      <c r="BJ8" s="53">
        <f>volume!BJ8</f>
        <v>0</v>
      </c>
      <c r="BK8" s="54">
        <f>volume!BK8</f>
        <v>0</v>
      </c>
      <c r="BL8" s="49">
        <f t="shared" si="8"/>
        <v>4</v>
      </c>
      <c r="BM8" s="52">
        <f>volume!BM8</f>
        <v>60</v>
      </c>
      <c r="BN8" s="53">
        <f>volume!BN8</f>
        <v>14</v>
      </c>
      <c r="BO8" s="53">
        <f>volume!BO8</f>
        <v>0</v>
      </c>
      <c r="BP8" s="53">
        <f>volume!BP8</f>
        <v>0</v>
      </c>
      <c r="BQ8" s="53">
        <f>volume!BQ8</f>
        <v>0</v>
      </c>
      <c r="BR8" s="54">
        <f>volume!BR8</f>
        <v>0</v>
      </c>
      <c r="BS8" s="49">
        <f t="shared" si="9"/>
        <v>74</v>
      </c>
      <c r="BT8" s="52">
        <f>volume!BT8</f>
        <v>76</v>
      </c>
      <c r="BU8" s="53">
        <f>volume!BU8</f>
        <v>24</v>
      </c>
      <c r="BV8" s="53">
        <f>volume!BV8</f>
        <v>0</v>
      </c>
      <c r="BW8" s="53">
        <f>volume!BW8</f>
        <v>0</v>
      </c>
      <c r="BX8" s="53">
        <f>volume!BX8</f>
        <v>0</v>
      </c>
      <c r="BY8" s="54">
        <f>volume!BY8</f>
        <v>0</v>
      </c>
      <c r="BZ8" s="49">
        <f t="shared" si="10"/>
        <v>100</v>
      </c>
      <c r="CA8" s="52">
        <f>volume!CA8</f>
        <v>0</v>
      </c>
      <c r="CB8" s="53">
        <f>volume!CB8</f>
        <v>0</v>
      </c>
      <c r="CC8" s="53">
        <f>volume!CC8</f>
        <v>0</v>
      </c>
      <c r="CD8" s="53">
        <f>volume!CD8</f>
        <v>0</v>
      </c>
      <c r="CE8" s="53">
        <f>volume!CE8</f>
        <v>0</v>
      </c>
      <c r="CF8" s="54">
        <f>volume!CF8</f>
        <v>0</v>
      </c>
      <c r="CG8" s="49">
        <f t="shared" si="11"/>
        <v>0</v>
      </c>
      <c r="CH8" s="52">
        <f>volume!CH8</f>
        <v>58</v>
      </c>
      <c r="CI8" s="53">
        <f>volume!CI8</f>
        <v>8</v>
      </c>
      <c r="CJ8" s="53">
        <f>volume!CJ8</f>
        <v>0</v>
      </c>
      <c r="CK8" s="53">
        <f>volume!CK8</f>
        <v>0</v>
      </c>
      <c r="CL8" s="53">
        <f>volume!CL8</f>
        <v>0</v>
      </c>
      <c r="CM8" s="54">
        <f>volume!CM8</f>
        <v>0</v>
      </c>
      <c r="CN8" s="49">
        <f t="shared" si="12"/>
        <v>66</v>
      </c>
      <c r="CO8" s="52">
        <f>volume!CO8</f>
        <v>138</v>
      </c>
      <c r="CP8" s="53">
        <f>volume!CP8</f>
        <v>12</v>
      </c>
      <c r="CQ8" s="53">
        <f>volume!CQ8</f>
        <v>0</v>
      </c>
      <c r="CR8" s="53">
        <f>volume!CR8</f>
        <v>0</v>
      </c>
      <c r="CS8" s="53">
        <f>volume!CS8</f>
        <v>3</v>
      </c>
      <c r="CT8" s="54">
        <f>volume!CT8</f>
        <v>0</v>
      </c>
      <c r="CU8" s="49">
        <f t="shared" si="13"/>
        <v>153</v>
      </c>
      <c r="CV8" s="52">
        <f>volume!CV8</f>
        <v>0</v>
      </c>
      <c r="CW8" s="53">
        <f>volume!CW8</f>
        <v>0</v>
      </c>
      <c r="CX8" s="53">
        <f>volume!CX8</f>
        <v>0</v>
      </c>
      <c r="CY8" s="53">
        <f>volume!CY8</f>
        <v>0</v>
      </c>
      <c r="CZ8" s="53">
        <f>volume!CZ8</f>
        <v>0</v>
      </c>
      <c r="DA8" s="54">
        <f>volume!DA8</f>
        <v>0</v>
      </c>
      <c r="DB8" s="49">
        <f t="shared" si="14"/>
        <v>0</v>
      </c>
      <c r="DC8" s="52">
        <f>volume!DC8</f>
        <v>0</v>
      </c>
      <c r="DD8" s="53">
        <f>volume!DD8</f>
        <v>0</v>
      </c>
      <c r="DE8" s="53">
        <f>volume!DE8</f>
        <v>0</v>
      </c>
      <c r="DF8" s="53">
        <f>volume!DF8</f>
        <v>0</v>
      </c>
      <c r="DG8" s="53">
        <f>volume!DG8</f>
        <v>0</v>
      </c>
      <c r="DH8" s="54">
        <f>volume!DH8</f>
        <v>0</v>
      </c>
      <c r="DI8" s="49">
        <f t="shared" si="15"/>
        <v>0</v>
      </c>
      <c r="DJ8" s="52">
        <f>volume!DJ8</f>
        <v>0</v>
      </c>
      <c r="DK8" s="53">
        <f>volume!DK8</f>
        <v>0</v>
      </c>
      <c r="DL8" s="53">
        <f>volume!DL8</f>
        <v>0</v>
      </c>
      <c r="DM8" s="53">
        <f>volume!DM8</f>
        <v>0</v>
      </c>
      <c r="DN8" s="53">
        <f>volume!DN8</f>
        <v>0</v>
      </c>
      <c r="DO8" s="54">
        <f>volume!DO8</f>
        <v>0</v>
      </c>
      <c r="DP8" s="50">
        <f t="shared" si="16"/>
        <v>0</v>
      </c>
      <c r="DQ8" s="52">
        <f>volume!DQ8</f>
        <v>0</v>
      </c>
      <c r="DR8" s="53">
        <f>volume!DR8</f>
        <v>0</v>
      </c>
      <c r="DS8" s="53">
        <f>volume!DS8</f>
        <v>0</v>
      </c>
      <c r="DT8" s="53">
        <f>volume!DT8</f>
        <v>0</v>
      </c>
      <c r="DU8" s="53">
        <f>volume!DU8</f>
        <v>0</v>
      </c>
      <c r="DV8" s="54">
        <f>volume!DV8</f>
        <v>0</v>
      </c>
      <c r="DW8" s="50">
        <f t="shared" si="17"/>
        <v>0</v>
      </c>
      <c r="DX8" s="52">
        <f>volume!DX8</f>
        <v>0</v>
      </c>
      <c r="DY8" s="53">
        <f>volume!DY8</f>
        <v>0</v>
      </c>
      <c r="DZ8" s="53">
        <f>volume!DZ8</f>
        <v>0</v>
      </c>
      <c r="EA8" s="53">
        <f>volume!EA8</f>
        <v>0</v>
      </c>
      <c r="EB8" s="53">
        <f>volume!EB8</f>
        <v>0</v>
      </c>
      <c r="EC8" s="54">
        <f>volume!EC8</f>
        <v>0</v>
      </c>
      <c r="ED8" s="50">
        <f t="shared" si="18"/>
        <v>0</v>
      </c>
      <c r="EE8" s="273"/>
      <c r="EF8" s="273"/>
      <c r="EG8" s="273"/>
      <c r="EH8" s="273"/>
      <c r="EI8" s="273"/>
      <c r="EJ8" s="273"/>
      <c r="EK8" s="273"/>
      <c r="EL8" s="52">
        <f>volume!EL8</f>
        <v>0</v>
      </c>
      <c r="EM8" s="53">
        <f>volume!EM8</f>
        <v>0</v>
      </c>
      <c r="EN8" s="53">
        <f>volume!EN8</f>
        <v>0</v>
      </c>
      <c r="EO8" s="53">
        <f>volume!EO8</f>
        <v>0</v>
      </c>
      <c r="EP8" s="53">
        <f>volume!EP8</f>
        <v>0</v>
      </c>
      <c r="EQ8" s="54">
        <f>volume!EQ8</f>
        <v>0</v>
      </c>
      <c r="ER8" s="50">
        <f t="shared" si="19"/>
        <v>0</v>
      </c>
      <c r="ES8" s="52">
        <f>volume!ES8</f>
        <v>0</v>
      </c>
      <c r="ET8" s="53">
        <f>volume!ET8</f>
        <v>0</v>
      </c>
      <c r="EU8" s="53">
        <f>volume!EU8</f>
        <v>0</v>
      </c>
      <c r="EV8" s="53">
        <f>volume!EV8</f>
        <v>0</v>
      </c>
      <c r="EW8" s="53">
        <f>volume!EW8</f>
        <v>0</v>
      </c>
      <c r="EX8" s="54">
        <f>volume!EX8</f>
        <v>0</v>
      </c>
      <c r="EY8" s="50">
        <f t="shared" si="20"/>
        <v>0</v>
      </c>
      <c r="EZ8" s="52">
        <f>volume!EZ8</f>
        <v>0</v>
      </c>
      <c r="FA8" s="53">
        <f>volume!FA8</f>
        <v>0</v>
      </c>
      <c r="FB8" s="53">
        <f>volume!FB8</f>
        <v>0</v>
      </c>
      <c r="FC8" s="53">
        <f>volume!FC8</f>
        <v>0</v>
      </c>
      <c r="FD8" s="53">
        <f>volume!FD8</f>
        <v>0</v>
      </c>
      <c r="FE8" s="54">
        <f>volume!FE8</f>
        <v>0</v>
      </c>
      <c r="FF8" s="50">
        <f t="shared" si="21"/>
        <v>0</v>
      </c>
      <c r="FG8" s="273"/>
      <c r="FH8" s="273"/>
      <c r="FI8" s="273"/>
      <c r="FJ8" s="273"/>
      <c r="FK8" s="273"/>
      <c r="FL8" s="273"/>
      <c r="FM8" s="273"/>
      <c r="FN8" s="52">
        <f>volume!FN8</f>
        <v>0</v>
      </c>
      <c r="FO8" s="53">
        <f>volume!FO8</f>
        <v>0</v>
      </c>
      <c r="FP8" s="53">
        <f>volume!FP8</f>
        <v>0</v>
      </c>
      <c r="FQ8" s="53">
        <f>volume!FQ8</f>
        <v>0</v>
      </c>
      <c r="FR8" s="53">
        <f>volume!FR8</f>
        <v>0</v>
      </c>
      <c r="FS8" s="54">
        <f>volume!FS8</f>
        <v>0</v>
      </c>
      <c r="FT8" s="50">
        <f t="shared" si="22"/>
        <v>0</v>
      </c>
      <c r="FU8" s="52">
        <f>volume!FU8</f>
        <v>0</v>
      </c>
      <c r="FV8" s="53">
        <f>volume!FV8</f>
        <v>0</v>
      </c>
      <c r="FW8" s="53">
        <f>volume!FW8</f>
        <v>0</v>
      </c>
      <c r="FX8" s="53">
        <f>volume!FX8</f>
        <v>0</v>
      </c>
      <c r="FY8" s="53">
        <f>volume!FY8</f>
        <v>0</v>
      </c>
      <c r="FZ8" s="54">
        <f>volume!FZ8</f>
        <v>0</v>
      </c>
      <c r="GA8" s="50">
        <f t="shared" si="23"/>
        <v>0</v>
      </c>
      <c r="GB8" s="52">
        <f>volume!GB8</f>
        <v>0</v>
      </c>
      <c r="GC8" s="53">
        <f>volume!GC8</f>
        <v>0</v>
      </c>
      <c r="GD8" s="53">
        <f>volume!GD8</f>
        <v>0</v>
      </c>
      <c r="GE8" s="53">
        <f>volume!GE8</f>
        <v>0</v>
      </c>
      <c r="GF8" s="53">
        <f>volume!GF8</f>
        <v>0</v>
      </c>
      <c r="GG8" s="54">
        <f>volume!GG8</f>
        <v>0</v>
      </c>
      <c r="GH8" s="50">
        <f t="shared" si="24"/>
        <v>0</v>
      </c>
      <c r="GI8" s="273"/>
      <c r="GJ8" s="273"/>
      <c r="GK8" s="273"/>
      <c r="GL8" s="273"/>
      <c r="GM8" s="273"/>
      <c r="GN8" s="273"/>
      <c r="GO8" s="273"/>
      <c r="GP8" s="52">
        <f>volume!GP8</f>
        <v>0</v>
      </c>
      <c r="GQ8" s="53">
        <f>volume!GQ8</f>
        <v>0</v>
      </c>
      <c r="GR8" s="53">
        <f>volume!GR8</f>
        <v>0</v>
      </c>
      <c r="GS8" s="53">
        <f>volume!GS8</f>
        <v>0</v>
      </c>
      <c r="GT8" s="53">
        <f>volume!GT8</f>
        <v>0</v>
      </c>
      <c r="GU8" s="54">
        <f>volume!GU8</f>
        <v>0</v>
      </c>
      <c r="GV8" s="50">
        <f t="shared" si="25"/>
        <v>0</v>
      </c>
      <c r="GW8" s="52">
        <f>volume!GW8</f>
        <v>0</v>
      </c>
      <c r="GX8" s="53">
        <f>volume!GX8</f>
        <v>0</v>
      </c>
      <c r="GY8" s="53">
        <f>volume!GY8</f>
        <v>0</v>
      </c>
      <c r="GZ8" s="53">
        <f>volume!GZ8</f>
        <v>0</v>
      </c>
      <c r="HA8" s="53">
        <f>volume!HA8</f>
        <v>0</v>
      </c>
      <c r="HB8" s="54">
        <f>volume!HB8</f>
        <v>0</v>
      </c>
      <c r="HC8" s="50">
        <f t="shared" si="26"/>
        <v>0</v>
      </c>
      <c r="HD8" s="52">
        <f>volume!HD8</f>
        <v>0</v>
      </c>
      <c r="HE8" s="53">
        <f>volume!HE8</f>
        <v>0</v>
      </c>
      <c r="HF8" s="53">
        <f>volume!HF8</f>
        <v>0</v>
      </c>
      <c r="HG8" s="53">
        <f>volume!HG8</f>
        <v>0</v>
      </c>
      <c r="HH8" s="53">
        <f>volume!HH8</f>
        <v>0</v>
      </c>
      <c r="HI8" s="54">
        <f>volume!HI8</f>
        <v>0</v>
      </c>
      <c r="HJ8" s="50">
        <f t="shared" si="27"/>
        <v>0</v>
      </c>
    </row>
    <row r="9" spans="1:218" ht="21.75" customHeight="1" x14ac:dyDescent="0.6">
      <c r="A9" s="51" t="s">
        <v>64</v>
      </c>
      <c r="B9" s="52">
        <f>volume!B9</f>
        <v>41</v>
      </c>
      <c r="C9" s="53">
        <f>volume!C9</f>
        <v>4</v>
      </c>
      <c r="D9" s="53">
        <f>volume!D9</f>
        <v>0</v>
      </c>
      <c r="E9" s="53">
        <f>volume!E9</f>
        <v>0</v>
      </c>
      <c r="F9" s="53">
        <f>volume!F9</f>
        <v>1</v>
      </c>
      <c r="G9" s="54">
        <f>volume!G9</f>
        <v>0</v>
      </c>
      <c r="H9" s="48">
        <f t="shared" si="0"/>
        <v>46</v>
      </c>
      <c r="I9" s="52">
        <f>volume!I9</f>
        <v>14</v>
      </c>
      <c r="J9" s="53">
        <f>volume!J9</f>
        <v>13</v>
      </c>
      <c r="K9" s="53">
        <f>volume!K9</f>
        <v>0</v>
      </c>
      <c r="L9" s="53">
        <f>volume!L9</f>
        <v>0</v>
      </c>
      <c r="M9" s="53">
        <f>volume!M9</f>
        <v>0</v>
      </c>
      <c r="N9" s="54">
        <f>volume!N9</f>
        <v>0</v>
      </c>
      <c r="O9" s="49">
        <f t="shared" si="1"/>
        <v>27</v>
      </c>
      <c r="P9" s="52">
        <f>volume!P9</f>
        <v>21</v>
      </c>
      <c r="Q9" s="53">
        <f>volume!Q9</f>
        <v>6</v>
      </c>
      <c r="R9" s="53">
        <f>volume!R9</f>
        <v>0</v>
      </c>
      <c r="S9" s="53">
        <f>volume!S9</f>
        <v>0</v>
      </c>
      <c r="T9" s="53">
        <f>volume!T9</f>
        <v>0</v>
      </c>
      <c r="U9" s="54">
        <f>volume!U9</f>
        <v>0</v>
      </c>
      <c r="V9" s="49">
        <f t="shared" si="2"/>
        <v>27</v>
      </c>
      <c r="W9" s="52">
        <f>volume!W9</f>
        <v>0</v>
      </c>
      <c r="X9" s="53">
        <f>volume!X9</f>
        <v>0</v>
      </c>
      <c r="Y9" s="53">
        <f>volume!Y9</f>
        <v>0</v>
      </c>
      <c r="Z9" s="53">
        <f>volume!Z9</f>
        <v>0</v>
      </c>
      <c r="AA9" s="53">
        <f>volume!AA9</f>
        <v>0</v>
      </c>
      <c r="AB9" s="54">
        <f>volume!AB9</f>
        <v>0</v>
      </c>
      <c r="AC9" s="49">
        <f t="shared" si="3"/>
        <v>0</v>
      </c>
      <c r="AD9" s="52">
        <f>volume!AD9</f>
        <v>44</v>
      </c>
      <c r="AE9" s="53">
        <f>volume!AE9</f>
        <v>16</v>
      </c>
      <c r="AF9" s="53">
        <f>volume!AF9</f>
        <v>0</v>
      </c>
      <c r="AG9" s="53">
        <f>volume!AG9</f>
        <v>0</v>
      </c>
      <c r="AH9" s="53">
        <f>volume!AH9</f>
        <v>0</v>
      </c>
      <c r="AI9" s="54">
        <f>volume!AI9</f>
        <v>0</v>
      </c>
      <c r="AJ9" s="49">
        <f t="shared" si="4"/>
        <v>60</v>
      </c>
      <c r="AK9" s="52">
        <f>volume!AK9</f>
        <v>138</v>
      </c>
      <c r="AL9" s="53">
        <f>volume!AL9</f>
        <v>43</v>
      </c>
      <c r="AM9" s="53">
        <f>volume!AM9</f>
        <v>0</v>
      </c>
      <c r="AN9" s="53">
        <f>volume!AN9</f>
        <v>0</v>
      </c>
      <c r="AO9" s="53">
        <f>volume!AO9</f>
        <v>6</v>
      </c>
      <c r="AP9" s="54">
        <f>volume!AP9</f>
        <v>1</v>
      </c>
      <c r="AQ9" s="49">
        <f t="shared" si="5"/>
        <v>188</v>
      </c>
      <c r="AR9" s="52">
        <f>volume!AR9</f>
        <v>42</v>
      </c>
      <c r="AS9" s="53">
        <f>volume!AS9</f>
        <v>6</v>
      </c>
      <c r="AT9" s="53">
        <f>volume!AT9</f>
        <v>0</v>
      </c>
      <c r="AU9" s="53">
        <f>volume!AU9</f>
        <v>0</v>
      </c>
      <c r="AV9" s="53">
        <f>volume!AV9</f>
        <v>0</v>
      </c>
      <c r="AW9" s="54">
        <f>volume!AW9</f>
        <v>0</v>
      </c>
      <c r="AX9" s="49">
        <f t="shared" si="6"/>
        <v>48</v>
      </c>
      <c r="AY9" s="52">
        <f>volume!AY9</f>
        <v>53</v>
      </c>
      <c r="AZ9" s="53">
        <f>volume!AZ9</f>
        <v>19</v>
      </c>
      <c r="BA9" s="53">
        <f>volume!BA9</f>
        <v>0</v>
      </c>
      <c r="BB9" s="53">
        <f>volume!BB9</f>
        <v>0</v>
      </c>
      <c r="BC9" s="53">
        <f>volume!BC9</f>
        <v>3</v>
      </c>
      <c r="BD9" s="54">
        <f>volume!BD9</f>
        <v>0</v>
      </c>
      <c r="BE9" s="49">
        <f t="shared" si="7"/>
        <v>75</v>
      </c>
      <c r="BF9" s="52">
        <f>volume!BF9</f>
        <v>4</v>
      </c>
      <c r="BG9" s="53">
        <f>volume!BG9</f>
        <v>0</v>
      </c>
      <c r="BH9" s="53">
        <f>volume!BH9</f>
        <v>0</v>
      </c>
      <c r="BI9" s="53">
        <f>volume!BI9</f>
        <v>0</v>
      </c>
      <c r="BJ9" s="53">
        <f>volume!BJ9</f>
        <v>0</v>
      </c>
      <c r="BK9" s="54">
        <f>volume!BK9</f>
        <v>0</v>
      </c>
      <c r="BL9" s="49">
        <f t="shared" si="8"/>
        <v>4</v>
      </c>
      <c r="BM9" s="52">
        <f>volume!BM9</f>
        <v>50</v>
      </c>
      <c r="BN9" s="53">
        <f>volume!BN9</f>
        <v>11</v>
      </c>
      <c r="BO9" s="53">
        <f>volume!BO9</f>
        <v>1</v>
      </c>
      <c r="BP9" s="53">
        <f>volume!BP9</f>
        <v>0</v>
      </c>
      <c r="BQ9" s="53">
        <f>volume!BQ9</f>
        <v>1</v>
      </c>
      <c r="BR9" s="54">
        <f>volume!BR9</f>
        <v>0</v>
      </c>
      <c r="BS9" s="49">
        <f t="shared" si="9"/>
        <v>63</v>
      </c>
      <c r="BT9" s="52">
        <f>volume!BT9</f>
        <v>59</v>
      </c>
      <c r="BU9" s="53">
        <f>volume!BU9</f>
        <v>12</v>
      </c>
      <c r="BV9" s="53">
        <f>volume!BV9</f>
        <v>0</v>
      </c>
      <c r="BW9" s="53">
        <f>volume!BW9</f>
        <v>0</v>
      </c>
      <c r="BX9" s="53">
        <f>volume!BX9</f>
        <v>0</v>
      </c>
      <c r="BY9" s="54">
        <f>volume!BY9</f>
        <v>0</v>
      </c>
      <c r="BZ9" s="49">
        <f t="shared" si="10"/>
        <v>71</v>
      </c>
      <c r="CA9" s="52">
        <f>volume!CA9</f>
        <v>0</v>
      </c>
      <c r="CB9" s="53">
        <f>volume!CB9</f>
        <v>0</v>
      </c>
      <c r="CC9" s="53">
        <f>volume!CC9</f>
        <v>0</v>
      </c>
      <c r="CD9" s="53">
        <f>volume!CD9</f>
        <v>0</v>
      </c>
      <c r="CE9" s="53">
        <f>volume!CE9</f>
        <v>0</v>
      </c>
      <c r="CF9" s="54">
        <f>volume!CF9</f>
        <v>0</v>
      </c>
      <c r="CG9" s="49">
        <f t="shared" si="11"/>
        <v>0</v>
      </c>
      <c r="CH9" s="52">
        <f>volume!CH9</f>
        <v>64</v>
      </c>
      <c r="CI9" s="53">
        <f>volume!CI9</f>
        <v>12</v>
      </c>
      <c r="CJ9" s="53">
        <f>volume!CJ9</f>
        <v>0</v>
      </c>
      <c r="CK9" s="53">
        <f>volume!CK9</f>
        <v>0</v>
      </c>
      <c r="CL9" s="53">
        <f>volume!CL9</f>
        <v>0</v>
      </c>
      <c r="CM9" s="54">
        <f>volume!CM9</f>
        <v>0</v>
      </c>
      <c r="CN9" s="49">
        <f t="shared" si="12"/>
        <v>76</v>
      </c>
      <c r="CO9" s="52">
        <f>volume!CO9</f>
        <v>125</v>
      </c>
      <c r="CP9" s="53">
        <f>volume!CP9</f>
        <v>15</v>
      </c>
      <c r="CQ9" s="53">
        <f>volume!CQ9</f>
        <v>0</v>
      </c>
      <c r="CR9" s="53">
        <f>volume!CR9</f>
        <v>1</v>
      </c>
      <c r="CS9" s="53">
        <f>volume!CS9</f>
        <v>5</v>
      </c>
      <c r="CT9" s="54">
        <f>volume!CT9</f>
        <v>0</v>
      </c>
      <c r="CU9" s="49">
        <f t="shared" si="13"/>
        <v>146</v>
      </c>
      <c r="CV9" s="52">
        <f>volume!CV9</f>
        <v>0</v>
      </c>
      <c r="CW9" s="53">
        <f>volume!CW9</f>
        <v>0</v>
      </c>
      <c r="CX9" s="53">
        <f>volume!CX9</f>
        <v>0</v>
      </c>
      <c r="CY9" s="53">
        <f>volume!CY9</f>
        <v>0</v>
      </c>
      <c r="CZ9" s="53">
        <f>volume!CZ9</f>
        <v>0</v>
      </c>
      <c r="DA9" s="54">
        <f>volume!DA9</f>
        <v>0</v>
      </c>
      <c r="DB9" s="49">
        <f t="shared" si="14"/>
        <v>0</v>
      </c>
      <c r="DC9" s="52">
        <f>volume!DC9</f>
        <v>0</v>
      </c>
      <c r="DD9" s="53">
        <f>volume!DD9</f>
        <v>0</v>
      </c>
      <c r="DE9" s="53">
        <f>volume!DE9</f>
        <v>0</v>
      </c>
      <c r="DF9" s="53">
        <f>volume!DF9</f>
        <v>0</v>
      </c>
      <c r="DG9" s="53">
        <f>volume!DG9</f>
        <v>0</v>
      </c>
      <c r="DH9" s="54">
        <f>volume!DH9</f>
        <v>0</v>
      </c>
      <c r="DI9" s="49">
        <f t="shared" si="15"/>
        <v>0</v>
      </c>
      <c r="DJ9" s="52">
        <f>volume!DJ9</f>
        <v>0</v>
      </c>
      <c r="DK9" s="53">
        <f>volume!DK9</f>
        <v>0</v>
      </c>
      <c r="DL9" s="53">
        <f>volume!DL9</f>
        <v>0</v>
      </c>
      <c r="DM9" s="53">
        <f>volume!DM9</f>
        <v>0</v>
      </c>
      <c r="DN9" s="53">
        <f>volume!DN9</f>
        <v>0</v>
      </c>
      <c r="DO9" s="54">
        <f>volume!DO9</f>
        <v>0</v>
      </c>
      <c r="DP9" s="50">
        <f t="shared" si="16"/>
        <v>0</v>
      </c>
      <c r="DQ9" s="52">
        <f>volume!DQ9</f>
        <v>0</v>
      </c>
      <c r="DR9" s="53">
        <f>volume!DR9</f>
        <v>0</v>
      </c>
      <c r="DS9" s="53">
        <f>volume!DS9</f>
        <v>0</v>
      </c>
      <c r="DT9" s="53">
        <f>volume!DT9</f>
        <v>0</v>
      </c>
      <c r="DU9" s="53">
        <f>volume!DU9</f>
        <v>0</v>
      </c>
      <c r="DV9" s="54">
        <f>volume!DV9</f>
        <v>0</v>
      </c>
      <c r="DW9" s="50">
        <f t="shared" si="17"/>
        <v>0</v>
      </c>
      <c r="DX9" s="52">
        <f>volume!DX9</f>
        <v>0</v>
      </c>
      <c r="DY9" s="53">
        <f>volume!DY9</f>
        <v>0</v>
      </c>
      <c r="DZ9" s="53">
        <f>volume!DZ9</f>
        <v>0</v>
      </c>
      <c r="EA9" s="53">
        <f>volume!EA9</f>
        <v>0</v>
      </c>
      <c r="EB9" s="53">
        <f>volume!EB9</f>
        <v>0</v>
      </c>
      <c r="EC9" s="54">
        <f>volume!EC9</f>
        <v>0</v>
      </c>
      <c r="ED9" s="50">
        <f t="shared" si="18"/>
        <v>0</v>
      </c>
      <c r="EE9" s="273"/>
      <c r="EF9" s="273"/>
      <c r="EG9" s="273"/>
      <c r="EH9" s="273"/>
      <c r="EI9" s="273"/>
      <c r="EJ9" s="273"/>
      <c r="EK9" s="273"/>
      <c r="EL9" s="52">
        <f>volume!EL9</f>
        <v>0</v>
      </c>
      <c r="EM9" s="53">
        <f>volume!EM9</f>
        <v>0</v>
      </c>
      <c r="EN9" s="53">
        <f>volume!EN9</f>
        <v>0</v>
      </c>
      <c r="EO9" s="53">
        <f>volume!EO9</f>
        <v>0</v>
      </c>
      <c r="EP9" s="53">
        <f>volume!EP9</f>
        <v>0</v>
      </c>
      <c r="EQ9" s="54">
        <f>volume!EQ9</f>
        <v>0</v>
      </c>
      <c r="ER9" s="50">
        <f t="shared" si="19"/>
        <v>0</v>
      </c>
      <c r="ES9" s="52">
        <f>volume!ES9</f>
        <v>0</v>
      </c>
      <c r="ET9" s="53">
        <f>volume!ET9</f>
        <v>0</v>
      </c>
      <c r="EU9" s="53">
        <f>volume!EU9</f>
        <v>0</v>
      </c>
      <c r="EV9" s="53">
        <f>volume!EV9</f>
        <v>0</v>
      </c>
      <c r="EW9" s="53">
        <f>volume!EW9</f>
        <v>0</v>
      </c>
      <c r="EX9" s="54">
        <f>volume!EX9</f>
        <v>0</v>
      </c>
      <c r="EY9" s="50">
        <f t="shared" si="20"/>
        <v>0</v>
      </c>
      <c r="EZ9" s="52">
        <f>volume!EZ9</f>
        <v>0</v>
      </c>
      <c r="FA9" s="53">
        <f>volume!FA9</f>
        <v>0</v>
      </c>
      <c r="FB9" s="53">
        <f>volume!FB9</f>
        <v>0</v>
      </c>
      <c r="FC9" s="53">
        <f>volume!FC9</f>
        <v>0</v>
      </c>
      <c r="FD9" s="53">
        <f>volume!FD9</f>
        <v>0</v>
      </c>
      <c r="FE9" s="54">
        <f>volume!FE9</f>
        <v>0</v>
      </c>
      <c r="FF9" s="50">
        <f t="shared" si="21"/>
        <v>0</v>
      </c>
      <c r="FG9" s="273"/>
      <c r="FH9" s="273"/>
      <c r="FI9" s="273"/>
      <c r="FJ9" s="273"/>
      <c r="FK9" s="273"/>
      <c r="FL9" s="273"/>
      <c r="FM9" s="273"/>
      <c r="FN9" s="52">
        <f>volume!FN9</f>
        <v>0</v>
      </c>
      <c r="FO9" s="53">
        <f>volume!FO9</f>
        <v>0</v>
      </c>
      <c r="FP9" s="53">
        <f>volume!FP9</f>
        <v>0</v>
      </c>
      <c r="FQ9" s="53">
        <f>volume!FQ9</f>
        <v>0</v>
      </c>
      <c r="FR9" s="53">
        <f>volume!FR9</f>
        <v>0</v>
      </c>
      <c r="FS9" s="54">
        <f>volume!FS9</f>
        <v>0</v>
      </c>
      <c r="FT9" s="50">
        <f t="shared" si="22"/>
        <v>0</v>
      </c>
      <c r="FU9" s="52">
        <f>volume!FU9</f>
        <v>0</v>
      </c>
      <c r="FV9" s="53">
        <f>volume!FV9</f>
        <v>0</v>
      </c>
      <c r="FW9" s="53">
        <f>volume!FW9</f>
        <v>0</v>
      </c>
      <c r="FX9" s="53">
        <f>volume!FX9</f>
        <v>0</v>
      </c>
      <c r="FY9" s="53">
        <f>volume!FY9</f>
        <v>0</v>
      </c>
      <c r="FZ9" s="54">
        <f>volume!FZ9</f>
        <v>0</v>
      </c>
      <c r="GA9" s="50">
        <f t="shared" si="23"/>
        <v>0</v>
      </c>
      <c r="GB9" s="52">
        <f>volume!GB9</f>
        <v>0</v>
      </c>
      <c r="GC9" s="53">
        <f>volume!GC9</f>
        <v>0</v>
      </c>
      <c r="GD9" s="53">
        <f>volume!GD9</f>
        <v>0</v>
      </c>
      <c r="GE9" s="53">
        <f>volume!GE9</f>
        <v>0</v>
      </c>
      <c r="GF9" s="53">
        <f>volume!GF9</f>
        <v>0</v>
      </c>
      <c r="GG9" s="54">
        <f>volume!GG9</f>
        <v>0</v>
      </c>
      <c r="GH9" s="50">
        <f t="shared" si="24"/>
        <v>0</v>
      </c>
      <c r="GI9" s="273"/>
      <c r="GJ9" s="273"/>
      <c r="GK9" s="273"/>
      <c r="GL9" s="273"/>
      <c r="GM9" s="273"/>
      <c r="GN9" s="273"/>
      <c r="GO9" s="273"/>
      <c r="GP9" s="52">
        <f>volume!GP9</f>
        <v>0</v>
      </c>
      <c r="GQ9" s="53">
        <f>volume!GQ9</f>
        <v>0</v>
      </c>
      <c r="GR9" s="53">
        <f>volume!GR9</f>
        <v>0</v>
      </c>
      <c r="GS9" s="53">
        <f>volume!GS9</f>
        <v>0</v>
      </c>
      <c r="GT9" s="53">
        <f>volume!GT9</f>
        <v>0</v>
      </c>
      <c r="GU9" s="54">
        <f>volume!GU9</f>
        <v>0</v>
      </c>
      <c r="GV9" s="50">
        <f t="shared" si="25"/>
        <v>0</v>
      </c>
      <c r="GW9" s="52">
        <f>volume!GW9</f>
        <v>0</v>
      </c>
      <c r="GX9" s="53">
        <f>volume!GX9</f>
        <v>0</v>
      </c>
      <c r="GY9" s="53">
        <f>volume!GY9</f>
        <v>0</v>
      </c>
      <c r="GZ9" s="53">
        <f>volume!GZ9</f>
        <v>0</v>
      </c>
      <c r="HA9" s="53">
        <f>volume!HA9</f>
        <v>0</v>
      </c>
      <c r="HB9" s="54">
        <f>volume!HB9</f>
        <v>0</v>
      </c>
      <c r="HC9" s="50">
        <f t="shared" si="26"/>
        <v>0</v>
      </c>
      <c r="HD9" s="52">
        <f>volume!HD9</f>
        <v>0</v>
      </c>
      <c r="HE9" s="53">
        <f>volume!HE9</f>
        <v>0</v>
      </c>
      <c r="HF9" s="53">
        <f>volume!HF9</f>
        <v>0</v>
      </c>
      <c r="HG9" s="53">
        <f>volume!HG9</f>
        <v>0</v>
      </c>
      <c r="HH9" s="53">
        <f>volume!HH9</f>
        <v>0</v>
      </c>
      <c r="HI9" s="54">
        <f>volume!HI9</f>
        <v>0</v>
      </c>
      <c r="HJ9" s="50">
        <f t="shared" si="27"/>
        <v>0</v>
      </c>
    </row>
    <row r="10" spans="1:218" ht="21.75" customHeight="1" x14ac:dyDescent="0.6">
      <c r="A10" s="55" t="s">
        <v>65</v>
      </c>
      <c r="B10" s="52">
        <f>volume!B10</f>
        <v>45</v>
      </c>
      <c r="C10" s="53">
        <f>volume!C10</f>
        <v>4</v>
      </c>
      <c r="D10" s="53">
        <f>volume!D10</f>
        <v>0</v>
      </c>
      <c r="E10" s="53">
        <f>volume!E10</f>
        <v>0</v>
      </c>
      <c r="F10" s="53">
        <f>volume!F10</f>
        <v>0</v>
      </c>
      <c r="G10" s="54">
        <f>volume!G10</f>
        <v>0</v>
      </c>
      <c r="H10" s="48">
        <f t="shared" si="0"/>
        <v>49</v>
      </c>
      <c r="I10" s="52">
        <f>volume!I10</f>
        <v>25</v>
      </c>
      <c r="J10" s="53">
        <f>volume!J10</f>
        <v>7</v>
      </c>
      <c r="K10" s="53">
        <f>volume!K10</f>
        <v>0</v>
      </c>
      <c r="L10" s="53">
        <f>volume!L10</f>
        <v>0</v>
      </c>
      <c r="M10" s="53">
        <f>volume!M10</f>
        <v>0</v>
      </c>
      <c r="N10" s="54">
        <f>volume!N10</f>
        <v>0</v>
      </c>
      <c r="O10" s="49">
        <f t="shared" si="1"/>
        <v>32</v>
      </c>
      <c r="P10" s="52">
        <f>volume!P10</f>
        <v>16</v>
      </c>
      <c r="Q10" s="53">
        <f>volume!Q10</f>
        <v>8</v>
      </c>
      <c r="R10" s="53">
        <f>volume!R10</f>
        <v>0</v>
      </c>
      <c r="S10" s="53">
        <f>volume!S10</f>
        <v>0</v>
      </c>
      <c r="T10" s="53">
        <f>volume!T10</f>
        <v>0</v>
      </c>
      <c r="U10" s="54">
        <f>volume!U10</f>
        <v>0</v>
      </c>
      <c r="V10" s="49">
        <f t="shared" si="2"/>
        <v>24</v>
      </c>
      <c r="W10" s="52">
        <f>volume!W10</f>
        <v>0</v>
      </c>
      <c r="X10" s="53">
        <f>volume!X10</f>
        <v>0</v>
      </c>
      <c r="Y10" s="53">
        <f>volume!Y10</f>
        <v>0</v>
      </c>
      <c r="Z10" s="53">
        <f>volume!Z10</f>
        <v>0</v>
      </c>
      <c r="AA10" s="53">
        <f>volume!AA10</f>
        <v>0</v>
      </c>
      <c r="AB10" s="54">
        <f>volume!AB10</f>
        <v>0</v>
      </c>
      <c r="AC10" s="49">
        <f t="shared" si="3"/>
        <v>0</v>
      </c>
      <c r="AD10" s="52">
        <f>volume!AD10</f>
        <v>41</v>
      </c>
      <c r="AE10" s="53">
        <f>volume!AE10</f>
        <v>12</v>
      </c>
      <c r="AF10" s="53">
        <f>volume!AF10</f>
        <v>0</v>
      </c>
      <c r="AG10" s="53">
        <f>volume!AG10</f>
        <v>0</v>
      </c>
      <c r="AH10" s="53">
        <f>volume!AH10</f>
        <v>0</v>
      </c>
      <c r="AI10" s="54">
        <f>volume!AI10</f>
        <v>0</v>
      </c>
      <c r="AJ10" s="49">
        <f t="shared" si="4"/>
        <v>53</v>
      </c>
      <c r="AK10" s="52">
        <f>volume!AK10</f>
        <v>163</v>
      </c>
      <c r="AL10" s="53">
        <f>volume!AL10</f>
        <v>52</v>
      </c>
      <c r="AM10" s="53">
        <f>volume!AM10</f>
        <v>1</v>
      </c>
      <c r="AN10" s="53">
        <f>volume!AN10</f>
        <v>0</v>
      </c>
      <c r="AO10" s="53">
        <f>volume!AO10</f>
        <v>4</v>
      </c>
      <c r="AP10" s="54">
        <f>volume!AP10</f>
        <v>0</v>
      </c>
      <c r="AQ10" s="49">
        <f t="shared" si="5"/>
        <v>220</v>
      </c>
      <c r="AR10" s="52">
        <f>volume!AR10</f>
        <v>36</v>
      </c>
      <c r="AS10" s="53">
        <f>volume!AS10</f>
        <v>3</v>
      </c>
      <c r="AT10" s="53">
        <f>volume!AT10</f>
        <v>0</v>
      </c>
      <c r="AU10" s="53">
        <f>volume!AU10</f>
        <v>0</v>
      </c>
      <c r="AV10" s="53">
        <f>volume!AV10</f>
        <v>2</v>
      </c>
      <c r="AW10" s="54">
        <f>volume!AW10</f>
        <v>0</v>
      </c>
      <c r="AX10" s="49">
        <f t="shared" si="6"/>
        <v>41</v>
      </c>
      <c r="AY10" s="52">
        <f>volume!AY10</f>
        <v>51</v>
      </c>
      <c r="AZ10" s="53">
        <f>volume!AZ10</f>
        <v>11</v>
      </c>
      <c r="BA10" s="53">
        <f>volume!BA10</f>
        <v>0</v>
      </c>
      <c r="BB10" s="53">
        <f>volume!BB10</f>
        <v>0</v>
      </c>
      <c r="BC10" s="53">
        <f>volume!BC10</f>
        <v>1</v>
      </c>
      <c r="BD10" s="54">
        <f>volume!BD10</f>
        <v>0</v>
      </c>
      <c r="BE10" s="49">
        <f t="shared" si="7"/>
        <v>63</v>
      </c>
      <c r="BF10" s="52">
        <f>volume!BF10</f>
        <v>7</v>
      </c>
      <c r="BG10" s="53">
        <f>volume!BG10</f>
        <v>0</v>
      </c>
      <c r="BH10" s="53">
        <f>volume!BH10</f>
        <v>0</v>
      </c>
      <c r="BI10" s="53">
        <f>volume!BI10</f>
        <v>0</v>
      </c>
      <c r="BJ10" s="53">
        <f>volume!BJ10</f>
        <v>0</v>
      </c>
      <c r="BK10" s="54">
        <f>volume!BK10</f>
        <v>0</v>
      </c>
      <c r="BL10" s="49">
        <f t="shared" si="8"/>
        <v>7</v>
      </c>
      <c r="BM10" s="52">
        <f>volume!BM10</f>
        <v>48</v>
      </c>
      <c r="BN10" s="53">
        <f>volume!BN10</f>
        <v>16</v>
      </c>
      <c r="BO10" s="53">
        <f>volume!BO10</f>
        <v>0</v>
      </c>
      <c r="BP10" s="53">
        <f>volume!BP10</f>
        <v>0</v>
      </c>
      <c r="BQ10" s="53">
        <f>volume!BQ10</f>
        <v>1</v>
      </c>
      <c r="BR10" s="54">
        <f>volume!BR10</f>
        <v>0</v>
      </c>
      <c r="BS10" s="49">
        <f t="shared" si="9"/>
        <v>65</v>
      </c>
      <c r="BT10" s="52">
        <f>volume!BT10</f>
        <v>65</v>
      </c>
      <c r="BU10" s="53">
        <f>volume!BU10</f>
        <v>20</v>
      </c>
      <c r="BV10" s="53">
        <f>volume!BV10</f>
        <v>0</v>
      </c>
      <c r="BW10" s="53">
        <f>volume!BW10</f>
        <v>0</v>
      </c>
      <c r="BX10" s="53">
        <f>volume!BX10</f>
        <v>0</v>
      </c>
      <c r="BY10" s="54">
        <f>volume!BY10</f>
        <v>0</v>
      </c>
      <c r="BZ10" s="49">
        <f t="shared" si="10"/>
        <v>85</v>
      </c>
      <c r="CA10" s="52">
        <f>volume!CA10</f>
        <v>0</v>
      </c>
      <c r="CB10" s="53">
        <f>volume!CB10</f>
        <v>0</v>
      </c>
      <c r="CC10" s="53">
        <f>volume!CC10</f>
        <v>0</v>
      </c>
      <c r="CD10" s="53">
        <f>volume!CD10</f>
        <v>0</v>
      </c>
      <c r="CE10" s="53">
        <f>volume!CE10</f>
        <v>0</v>
      </c>
      <c r="CF10" s="54">
        <f>volume!CF10</f>
        <v>0</v>
      </c>
      <c r="CG10" s="49">
        <f t="shared" si="11"/>
        <v>0</v>
      </c>
      <c r="CH10" s="52">
        <f>volume!CH10</f>
        <v>52</v>
      </c>
      <c r="CI10" s="53">
        <f>volume!CI10</f>
        <v>5</v>
      </c>
      <c r="CJ10" s="53">
        <f>volume!CJ10</f>
        <v>0</v>
      </c>
      <c r="CK10" s="53">
        <f>volume!CK10</f>
        <v>0</v>
      </c>
      <c r="CL10" s="53">
        <f>volume!CL10</f>
        <v>2</v>
      </c>
      <c r="CM10" s="54">
        <f>volume!CM10</f>
        <v>0</v>
      </c>
      <c r="CN10" s="49">
        <f t="shared" si="12"/>
        <v>59</v>
      </c>
      <c r="CO10" s="52">
        <f>volume!CO10</f>
        <v>130</v>
      </c>
      <c r="CP10" s="53">
        <f>volume!CP10</f>
        <v>17</v>
      </c>
      <c r="CQ10" s="53">
        <f>volume!CQ10</f>
        <v>1</v>
      </c>
      <c r="CR10" s="53">
        <f>volume!CR10</f>
        <v>0</v>
      </c>
      <c r="CS10" s="53">
        <f>volume!CS10</f>
        <v>2</v>
      </c>
      <c r="CT10" s="54">
        <f>volume!CT10</f>
        <v>0</v>
      </c>
      <c r="CU10" s="49">
        <f t="shared" si="13"/>
        <v>150</v>
      </c>
      <c r="CV10" s="52">
        <f>volume!CV10</f>
        <v>0</v>
      </c>
      <c r="CW10" s="53">
        <f>volume!CW10</f>
        <v>0</v>
      </c>
      <c r="CX10" s="53">
        <f>volume!CX10</f>
        <v>0</v>
      </c>
      <c r="CY10" s="53">
        <f>volume!CY10</f>
        <v>0</v>
      </c>
      <c r="CZ10" s="53">
        <f>volume!CZ10</f>
        <v>0</v>
      </c>
      <c r="DA10" s="54">
        <f>volume!DA10</f>
        <v>0</v>
      </c>
      <c r="DB10" s="49">
        <f t="shared" si="14"/>
        <v>0</v>
      </c>
      <c r="DC10" s="52">
        <f>volume!DC10</f>
        <v>0</v>
      </c>
      <c r="DD10" s="53">
        <f>volume!DD10</f>
        <v>0</v>
      </c>
      <c r="DE10" s="53">
        <f>volume!DE10</f>
        <v>0</v>
      </c>
      <c r="DF10" s="53">
        <f>volume!DF10</f>
        <v>0</v>
      </c>
      <c r="DG10" s="53">
        <f>volume!DG10</f>
        <v>0</v>
      </c>
      <c r="DH10" s="54">
        <f>volume!DH10</f>
        <v>0</v>
      </c>
      <c r="DI10" s="49">
        <f t="shared" si="15"/>
        <v>0</v>
      </c>
      <c r="DJ10" s="52">
        <f>volume!DJ10</f>
        <v>0</v>
      </c>
      <c r="DK10" s="53">
        <f>volume!DK10</f>
        <v>0</v>
      </c>
      <c r="DL10" s="53">
        <f>volume!DL10</f>
        <v>0</v>
      </c>
      <c r="DM10" s="53">
        <f>volume!DM10</f>
        <v>0</v>
      </c>
      <c r="DN10" s="53">
        <f>volume!DN10</f>
        <v>0</v>
      </c>
      <c r="DO10" s="54">
        <f>volume!DO10</f>
        <v>0</v>
      </c>
      <c r="DP10" s="50">
        <f t="shared" si="16"/>
        <v>0</v>
      </c>
      <c r="DQ10" s="52">
        <f>volume!DQ10</f>
        <v>0</v>
      </c>
      <c r="DR10" s="53">
        <f>volume!DR10</f>
        <v>0</v>
      </c>
      <c r="DS10" s="53">
        <f>volume!DS10</f>
        <v>0</v>
      </c>
      <c r="DT10" s="53">
        <f>volume!DT10</f>
        <v>0</v>
      </c>
      <c r="DU10" s="53">
        <f>volume!DU10</f>
        <v>0</v>
      </c>
      <c r="DV10" s="54">
        <f>volume!DV10</f>
        <v>0</v>
      </c>
      <c r="DW10" s="50">
        <f t="shared" si="17"/>
        <v>0</v>
      </c>
      <c r="DX10" s="52">
        <f>volume!DX10</f>
        <v>0</v>
      </c>
      <c r="DY10" s="53">
        <f>volume!DY10</f>
        <v>0</v>
      </c>
      <c r="DZ10" s="53">
        <f>volume!DZ10</f>
        <v>0</v>
      </c>
      <c r="EA10" s="53">
        <f>volume!EA10</f>
        <v>0</v>
      </c>
      <c r="EB10" s="53">
        <f>volume!EB10</f>
        <v>0</v>
      </c>
      <c r="EC10" s="54">
        <f>volume!EC10</f>
        <v>0</v>
      </c>
      <c r="ED10" s="50">
        <f t="shared" si="18"/>
        <v>0</v>
      </c>
      <c r="EE10" s="273"/>
      <c r="EF10" s="273"/>
      <c r="EG10" s="273"/>
      <c r="EH10" s="273"/>
      <c r="EI10" s="273"/>
      <c r="EJ10" s="273"/>
      <c r="EK10" s="273"/>
      <c r="EL10" s="52">
        <f>volume!EL10</f>
        <v>0</v>
      </c>
      <c r="EM10" s="53">
        <f>volume!EM10</f>
        <v>0</v>
      </c>
      <c r="EN10" s="53">
        <f>volume!EN10</f>
        <v>0</v>
      </c>
      <c r="EO10" s="53">
        <f>volume!EO10</f>
        <v>0</v>
      </c>
      <c r="EP10" s="53">
        <f>volume!EP10</f>
        <v>0</v>
      </c>
      <c r="EQ10" s="54">
        <f>volume!EQ10</f>
        <v>0</v>
      </c>
      <c r="ER10" s="50">
        <f t="shared" si="19"/>
        <v>0</v>
      </c>
      <c r="ES10" s="52">
        <f>volume!ES10</f>
        <v>0</v>
      </c>
      <c r="ET10" s="53">
        <f>volume!ET10</f>
        <v>0</v>
      </c>
      <c r="EU10" s="53">
        <f>volume!EU10</f>
        <v>0</v>
      </c>
      <c r="EV10" s="53">
        <f>volume!EV10</f>
        <v>0</v>
      </c>
      <c r="EW10" s="53">
        <f>volume!EW10</f>
        <v>0</v>
      </c>
      <c r="EX10" s="54">
        <f>volume!EX10</f>
        <v>0</v>
      </c>
      <c r="EY10" s="50">
        <f t="shared" si="20"/>
        <v>0</v>
      </c>
      <c r="EZ10" s="52">
        <f>volume!EZ10</f>
        <v>0</v>
      </c>
      <c r="FA10" s="53">
        <f>volume!FA10</f>
        <v>0</v>
      </c>
      <c r="FB10" s="53">
        <f>volume!FB10</f>
        <v>0</v>
      </c>
      <c r="FC10" s="53">
        <f>volume!FC10</f>
        <v>0</v>
      </c>
      <c r="FD10" s="53">
        <f>volume!FD10</f>
        <v>0</v>
      </c>
      <c r="FE10" s="54">
        <f>volume!FE10</f>
        <v>0</v>
      </c>
      <c r="FF10" s="50">
        <f t="shared" si="21"/>
        <v>0</v>
      </c>
      <c r="FG10" s="273"/>
      <c r="FH10" s="273"/>
      <c r="FI10" s="273"/>
      <c r="FJ10" s="273"/>
      <c r="FK10" s="273"/>
      <c r="FL10" s="273"/>
      <c r="FM10" s="273"/>
      <c r="FN10" s="52">
        <f>volume!FN10</f>
        <v>0</v>
      </c>
      <c r="FO10" s="53">
        <f>volume!FO10</f>
        <v>0</v>
      </c>
      <c r="FP10" s="53">
        <f>volume!FP10</f>
        <v>0</v>
      </c>
      <c r="FQ10" s="53">
        <f>volume!FQ10</f>
        <v>0</v>
      </c>
      <c r="FR10" s="53">
        <f>volume!FR10</f>
        <v>0</v>
      </c>
      <c r="FS10" s="54">
        <f>volume!FS10</f>
        <v>0</v>
      </c>
      <c r="FT10" s="50">
        <f t="shared" si="22"/>
        <v>0</v>
      </c>
      <c r="FU10" s="52">
        <f>volume!FU10</f>
        <v>0</v>
      </c>
      <c r="FV10" s="53">
        <f>volume!FV10</f>
        <v>0</v>
      </c>
      <c r="FW10" s="53">
        <f>volume!FW10</f>
        <v>0</v>
      </c>
      <c r="FX10" s="53">
        <f>volume!FX10</f>
        <v>0</v>
      </c>
      <c r="FY10" s="53">
        <f>volume!FY10</f>
        <v>0</v>
      </c>
      <c r="FZ10" s="54">
        <f>volume!FZ10</f>
        <v>0</v>
      </c>
      <c r="GA10" s="50">
        <f t="shared" si="23"/>
        <v>0</v>
      </c>
      <c r="GB10" s="52">
        <f>volume!GB10</f>
        <v>0</v>
      </c>
      <c r="GC10" s="53">
        <f>volume!GC10</f>
        <v>0</v>
      </c>
      <c r="GD10" s="53">
        <f>volume!GD10</f>
        <v>0</v>
      </c>
      <c r="GE10" s="53">
        <f>volume!GE10</f>
        <v>0</v>
      </c>
      <c r="GF10" s="53">
        <f>volume!GF10</f>
        <v>0</v>
      </c>
      <c r="GG10" s="54">
        <f>volume!GG10</f>
        <v>0</v>
      </c>
      <c r="GH10" s="50">
        <f t="shared" si="24"/>
        <v>0</v>
      </c>
      <c r="GI10" s="273"/>
      <c r="GJ10" s="273"/>
      <c r="GK10" s="273"/>
      <c r="GL10" s="273"/>
      <c r="GM10" s="273"/>
      <c r="GN10" s="273"/>
      <c r="GO10" s="273"/>
      <c r="GP10" s="52">
        <f>volume!GP10</f>
        <v>0</v>
      </c>
      <c r="GQ10" s="53">
        <f>volume!GQ10</f>
        <v>0</v>
      </c>
      <c r="GR10" s="53">
        <f>volume!GR10</f>
        <v>0</v>
      </c>
      <c r="GS10" s="53">
        <f>volume!GS10</f>
        <v>0</v>
      </c>
      <c r="GT10" s="53">
        <f>volume!GT10</f>
        <v>0</v>
      </c>
      <c r="GU10" s="54">
        <f>volume!GU10</f>
        <v>0</v>
      </c>
      <c r="GV10" s="50">
        <f t="shared" si="25"/>
        <v>0</v>
      </c>
      <c r="GW10" s="52">
        <f>volume!GW10</f>
        <v>0</v>
      </c>
      <c r="GX10" s="53">
        <f>volume!GX10</f>
        <v>0</v>
      </c>
      <c r="GY10" s="53">
        <f>volume!GY10</f>
        <v>0</v>
      </c>
      <c r="GZ10" s="53">
        <f>volume!GZ10</f>
        <v>0</v>
      </c>
      <c r="HA10" s="53">
        <f>volume!HA10</f>
        <v>0</v>
      </c>
      <c r="HB10" s="54">
        <f>volume!HB10</f>
        <v>0</v>
      </c>
      <c r="HC10" s="50">
        <f t="shared" si="26"/>
        <v>0</v>
      </c>
      <c r="HD10" s="52">
        <f>volume!HD10</f>
        <v>0</v>
      </c>
      <c r="HE10" s="53">
        <f>volume!HE10</f>
        <v>0</v>
      </c>
      <c r="HF10" s="53">
        <f>volume!HF10</f>
        <v>0</v>
      </c>
      <c r="HG10" s="53">
        <f>volume!HG10</f>
        <v>0</v>
      </c>
      <c r="HH10" s="53">
        <f>volume!HH10</f>
        <v>0</v>
      </c>
      <c r="HI10" s="54">
        <f>volume!HI10</f>
        <v>0</v>
      </c>
      <c r="HJ10" s="50">
        <f t="shared" si="27"/>
        <v>0</v>
      </c>
    </row>
    <row r="11" spans="1:218" ht="21.75" customHeight="1" x14ac:dyDescent="0.6">
      <c r="A11" s="44" t="s">
        <v>66</v>
      </c>
      <c r="B11" s="45">
        <f>volume!B11</f>
        <v>38</v>
      </c>
      <c r="C11" s="46">
        <f>volume!C11</f>
        <v>6</v>
      </c>
      <c r="D11" s="46">
        <f>volume!D11</f>
        <v>0</v>
      </c>
      <c r="E11" s="46">
        <f>volume!E11</f>
        <v>0</v>
      </c>
      <c r="F11" s="46">
        <f>volume!F11</f>
        <v>2</v>
      </c>
      <c r="G11" s="47">
        <f>volume!G11</f>
        <v>0</v>
      </c>
      <c r="H11" s="48">
        <f t="shared" si="0"/>
        <v>46</v>
      </c>
      <c r="I11" s="45">
        <f>volume!I11</f>
        <v>48</v>
      </c>
      <c r="J11" s="46">
        <f>volume!J11</f>
        <v>11</v>
      </c>
      <c r="K11" s="46">
        <f>volume!K11</f>
        <v>0</v>
      </c>
      <c r="L11" s="46">
        <f>volume!L11</f>
        <v>0</v>
      </c>
      <c r="M11" s="46">
        <f>volume!M11</f>
        <v>0</v>
      </c>
      <c r="N11" s="47">
        <f>volume!N11</f>
        <v>0</v>
      </c>
      <c r="O11" s="49">
        <f t="shared" si="1"/>
        <v>59</v>
      </c>
      <c r="P11" s="45">
        <f>volume!P11</f>
        <v>17</v>
      </c>
      <c r="Q11" s="46">
        <f>volume!Q11</f>
        <v>8</v>
      </c>
      <c r="R11" s="46">
        <f>volume!R11</f>
        <v>0</v>
      </c>
      <c r="S11" s="46">
        <f>volume!S11</f>
        <v>0</v>
      </c>
      <c r="T11" s="46">
        <f>volume!T11</f>
        <v>0</v>
      </c>
      <c r="U11" s="47">
        <f>volume!U11</f>
        <v>0</v>
      </c>
      <c r="V11" s="49">
        <f t="shared" si="2"/>
        <v>25</v>
      </c>
      <c r="W11" s="45">
        <f>volume!W11</f>
        <v>0</v>
      </c>
      <c r="X11" s="46">
        <f>volume!X11</f>
        <v>0</v>
      </c>
      <c r="Y11" s="46">
        <f>volume!Y11</f>
        <v>0</v>
      </c>
      <c r="Z11" s="46">
        <f>volume!Z11</f>
        <v>0</v>
      </c>
      <c r="AA11" s="46">
        <f>volume!AA11</f>
        <v>0</v>
      </c>
      <c r="AB11" s="47">
        <f>volume!AB11</f>
        <v>0</v>
      </c>
      <c r="AC11" s="49">
        <f t="shared" si="3"/>
        <v>0</v>
      </c>
      <c r="AD11" s="45">
        <f>volume!AD11</f>
        <v>36</v>
      </c>
      <c r="AE11" s="46">
        <f>volume!AE11</f>
        <v>9</v>
      </c>
      <c r="AF11" s="46">
        <f>volume!AF11</f>
        <v>0</v>
      </c>
      <c r="AG11" s="46">
        <f>volume!AG11</f>
        <v>0</v>
      </c>
      <c r="AH11" s="46">
        <f>volume!AH11</f>
        <v>0</v>
      </c>
      <c r="AI11" s="47">
        <f>volume!AI11</f>
        <v>0</v>
      </c>
      <c r="AJ11" s="49">
        <f t="shared" si="4"/>
        <v>45</v>
      </c>
      <c r="AK11" s="45">
        <f>volume!AK11</f>
        <v>170</v>
      </c>
      <c r="AL11" s="46">
        <f>volume!AL11</f>
        <v>44</v>
      </c>
      <c r="AM11" s="46">
        <f>volume!AM11</f>
        <v>0</v>
      </c>
      <c r="AN11" s="46">
        <f>volume!AN11</f>
        <v>0</v>
      </c>
      <c r="AO11" s="46">
        <f>volume!AO11</f>
        <v>6</v>
      </c>
      <c r="AP11" s="47">
        <f>volume!AP11</f>
        <v>0</v>
      </c>
      <c r="AQ11" s="49">
        <f t="shared" si="5"/>
        <v>220</v>
      </c>
      <c r="AR11" s="45">
        <f>volume!AR11</f>
        <v>45</v>
      </c>
      <c r="AS11" s="46">
        <f>volume!AS11</f>
        <v>7</v>
      </c>
      <c r="AT11" s="46">
        <f>volume!AT11</f>
        <v>0</v>
      </c>
      <c r="AU11" s="46">
        <f>volume!AU11</f>
        <v>0</v>
      </c>
      <c r="AV11" s="46">
        <f>volume!AV11</f>
        <v>1</v>
      </c>
      <c r="AW11" s="47">
        <f>volume!AW11</f>
        <v>0</v>
      </c>
      <c r="AX11" s="49">
        <f t="shared" si="6"/>
        <v>53</v>
      </c>
      <c r="AY11" s="45">
        <f>volume!AY11</f>
        <v>47</v>
      </c>
      <c r="AZ11" s="46">
        <f>volume!AZ11</f>
        <v>14</v>
      </c>
      <c r="BA11" s="46">
        <f>volume!BA11</f>
        <v>0</v>
      </c>
      <c r="BB11" s="46">
        <f>volume!BB11</f>
        <v>0</v>
      </c>
      <c r="BC11" s="46">
        <f>volume!BC11</f>
        <v>2</v>
      </c>
      <c r="BD11" s="47">
        <f>volume!BD11</f>
        <v>0</v>
      </c>
      <c r="BE11" s="49">
        <f t="shared" si="7"/>
        <v>63</v>
      </c>
      <c r="BF11" s="45">
        <f>volume!BF11</f>
        <v>3</v>
      </c>
      <c r="BG11" s="46">
        <f>volume!BG11</f>
        <v>1</v>
      </c>
      <c r="BH11" s="46">
        <f>volume!BH11</f>
        <v>0</v>
      </c>
      <c r="BI11" s="46">
        <f>volume!BI11</f>
        <v>0</v>
      </c>
      <c r="BJ11" s="46">
        <f>volume!BJ11</f>
        <v>0</v>
      </c>
      <c r="BK11" s="47">
        <f>volume!BK11</f>
        <v>0</v>
      </c>
      <c r="BL11" s="49">
        <f t="shared" si="8"/>
        <v>4</v>
      </c>
      <c r="BM11" s="45">
        <f>volume!BM11</f>
        <v>58</v>
      </c>
      <c r="BN11" s="46">
        <f>volume!BN11</f>
        <v>11</v>
      </c>
      <c r="BO11" s="46">
        <f>volume!BO11</f>
        <v>0</v>
      </c>
      <c r="BP11" s="46">
        <f>volume!BP11</f>
        <v>0</v>
      </c>
      <c r="BQ11" s="46">
        <f>volume!BQ11</f>
        <v>1</v>
      </c>
      <c r="BR11" s="47">
        <f>volume!BR11</f>
        <v>0</v>
      </c>
      <c r="BS11" s="49">
        <f t="shared" si="9"/>
        <v>70</v>
      </c>
      <c r="BT11" s="45">
        <f>volume!BT11</f>
        <v>70</v>
      </c>
      <c r="BU11" s="46">
        <f>volume!BU11</f>
        <v>10</v>
      </c>
      <c r="BV11" s="46">
        <f>volume!BV11</f>
        <v>0</v>
      </c>
      <c r="BW11" s="46">
        <f>volume!BW11</f>
        <v>0</v>
      </c>
      <c r="BX11" s="46">
        <f>volume!BX11</f>
        <v>0</v>
      </c>
      <c r="BY11" s="47">
        <f>volume!BY11</f>
        <v>0</v>
      </c>
      <c r="BZ11" s="49">
        <f t="shared" si="10"/>
        <v>80</v>
      </c>
      <c r="CA11" s="45">
        <f>volume!CA11</f>
        <v>0</v>
      </c>
      <c r="CB11" s="46">
        <f>volume!CB11</f>
        <v>0</v>
      </c>
      <c r="CC11" s="46">
        <f>volume!CC11</f>
        <v>0</v>
      </c>
      <c r="CD11" s="46">
        <f>volume!CD11</f>
        <v>0</v>
      </c>
      <c r="CE11" s="46">
        <f>volume!CE11</f>
        <v>0</v>
      </c>
      <c r="CF11" s="47">
        <f>volume!CF11</f>
        <v>0</v>
      </c>
      <c r="CG11" s="49">
        <f t="shared" si="11"/>
        <v>0</v>
      </c>
      <c r="CH11" s="45">
        <f>volume!CH11</f>
        <v>59</v>
      </c>
      <c r="CI11" s="46">
        <f>volume!CI11</f>
        <v>9</v>
      </c>
      <c r="CJ11" s="46">
        <f>volume!CJ11</f>
        <v>0</v>
      </c>
      <c r="CK11" s="46">
        <f>volume!CK11</f>
        <v>0</v>
      </c>
      <c r="CL11" s="46">
        <f>volume!CL11</f>
        <v>1</v>
      </c>
      <c r="CM11" s="47">
        <f>volume!CM11</f>
        <v>0</v>
      </c>
      <c r="CN11" s="49">
        <f t="shared" si="12"/>
        <v>69</v>
      </c>
      <c r="CO11" s="45">
        <f>volume!CO11</f>
        <v>122</v>
      </c>
      <c r="CP11" s="46">
        <f>volume!CP11</f>
        <v>23</v>
      </c>
      <c r="CQ11" s="46">
        <f>volume!CQ11</f>
        <v>0</v>
      </c>
      <c r="CR11" s="46">
        <f>volume!CR11</f>
        <v>0</v>
      </c>
      <c r="CS11" s="46">
        <f>volume!CS11</f>
        <v>1</v>
      </c>
      <c r="CT11" s="47">
        <f>volume!CT11</f>
        <v>0</v>
      </c>
      <c r="CU11" s="49">
        <f t="shared" si="13"/>
        <v>146</v>
      </c>
      <c r="CV11" s="45">
        <f>volume!CV11</f>
        <v>0</v>
      </c>
      <c r="CW11" s="46">
        <f>volume!CW11</f>
        <v>0</v>
      </c>
      <c r="CX11" s="46">
        <f>volume!CX11</f>
        <v>0</v>
      </c>
      <c r="CY11" s="46">
        <f>volume!CY11</f>
        <v>0</v>
      </c>
      <c r="CZ11" s="46">
        <f>volume!CZ11</f>
        <v>0</v>
      </c>
      <c r="DA11" s="47">
        <f>volume!DA11</f>
        <v>0</v>
      </c>
      <c r="DB11" s="49">
        <f t="shared" si="14"/>
        <v>0</v>
      </c>
      <c r="DC11" s="45">
        <f>volume!DC11</f>
        <v>0</v>
      </c>
      <c r="DD11" s="46">
        <f>volume!DD11</f>
        <v>0</v>
      </c>
      <c r="DE11" s="46">
        <f>volume!DE11</f>
        <v>0</v>
      </c>
      <c r="DF11" s="46">
        <f>volume!DF11</f>
        <v>0</v>
      </c>
      <c r="DG11" s="46">
        <f>volume!DG11</f>
        <v>0</v>
      </c>
      <c r="DH11" s="47">
        <f>volume!DH11</f>
        <v>0</v>
      </c>
      <c r="DI11" s="49">
        <f t="shared" si="15"/>
        <v>0</v>
      </c>
      <c r="DJ11" s="45">
        <f>volume!DJ11</f>
        <v>0</v>
      </c>
      <c r="DK11" s="46">
        <f>volume!DK11</f>
        <v>0</v>
      </c>
      <c r="DL11" s="46">
        <f>volume!DL11</f>
        <v>0</v>
      </c>
      <c r="DM11" s="46">
        <f>volume!DM11</f>
        <v>0</v>
      </c>
      <c r="DN11" s="46">
        <f>volume!DN11</f>
        <v>0</v>
      </c>
      <c r="DO11" s="47">
        <f>volume!DO11</f>
        <v>0</v>
      </c>
      <c r="DP11" s="50">
        <f t="shared" si="16"/>
        <v>0</v>
      </c>
      <c r="DQ11" s="45">
        <f>volume!DQ11</f>
        <v>0</v>
      </c>
      <c r="DR11" s="46">
        <f>volume!DR11</f>
        <v>0</v>
      </c>
      <c r="DS11" s="46">
        <f>volume!DS11</f>
        <v>0</v>
      </c>
      <c r="DT11" s="46">
        <f>volume!DT11</f>
        <v>0</v>
      </c>
      <c r="DU11" s="46">
        <f>volume!DU11</f>
        <v>0</v>
      </c>
      <c r="DV11" s="47">
        <f>volume!DV11</f>
        <v>0</v>
      </c>
      <c r="DW11" s="50">
        <f t="shared" si="17"/>
        <v>0</v>
      </c>
      <c r="DX11" s="45">
        <f>volume!DX11</f>
        <v>0</v>
      </c>
      <c r="DY11" s="46">
        <f>volume!DY11</f>
        <v>0</v>
      </c>
      <c r="DZ11" s="46">
        <f>volume!DZ11</f>
        <v>0</v>
      </c>
      <c r="EA11" s="46">
        <f>volume!EA11</f>
        <v>0</v>
      </c>
      <c r="EB11" s="46">
        <f>volume!EB11</f>
        <v>0</v>
      </c>
      <c r="EC11" s="47">
        <f>volume!EC11</f>
        <v>0</v>
      </c>
      <c r="ED11" s="50">
        <f t="shared" si="18"/>
        <v>0</v>
      </c>
      <c r="EE11" s="272"/>
      <c r="EF11" s="272"/>
      <c r="EG11" s="272"/>
      <c r="EH11" s="272"/>
      <c r="EI11" s="272"/>
      <c r="EJ11" s="272"/>
      <c r="EK11" s="272"/>
      <c r="EL11" s="45">
        <f>volume!EL11</f>
        <v>0</v>
      </c>
      <c r="EM11" s="46">
        <f>volume!EM11</f>
        <v>0</v>
      </c>
      <c r="EN11" s="46">
        <f>volume!EN11</f>
        <v>0</v>
      </c>
      <c r="EO11" s="46">
        <f>volume!EO11</f>
        <v>0</v>
      </c>
      <c r="EP11" s="46">
        <f>volume!EP11</f>
        <v>0</v>
      </c>
      <c r="EQ11" s="47">
        <f>volume!EQ11</f>
        <v>0</v>
      </c>
      <c r="ER11" s="50">
        <f t="shared" si="19"/>
        <v>0</v>
      </c>
      <c r="ES11" s="45">
        <f>volume!ES11</f>
        <v>0</v>
      </c>
      <c r="ET11" s="46">
        <f>volume!ET11</f>
        <v>0</v>
      </c>
      <c r="EU11" s="46">
        <f>volume!EU11</f>
        <v>0</v>
      </c>
      <c r="EV11" s="46">
        <f>volume!EV11</f>
        <v>0</v>
      </c>
      <c r="EW11" s="46">
        <f>volume!EW11</f>
        <v>0</v>
      </c>
      <c r="EX11" s="47">
        <f>volume!EX11</f>
        <v>0</v>
      </c>
      <c r="EY11" s="50">
        <f t="shared" si="20"/>
        <v>0</v>
      </c>
      <c r="EZ11" s="45">
        <f>volume!EZ11</f>
        <v>0</v>
      </c>
      <c r="FA11" s="46">
        <f>volume!FA11</f>
        <v>0</v>
      </c>
      <c r="FB11" s="46">
        <f>volume!FB11</f>
        <v>0</v>
      </c>
      <c r="FC11" s="46">
        <f>volume!FC11</f>
        <v>0</v>
      </c>
      <c r="FD11" s="46">
        <f>volume!FD11</f>
        <v>0</v>
      </c>
      <c r="FE11" s="47">
        <f>volume!FE11</f>
        <v>0</v>
      </c>
      <c r="FF11" s="50">
        <f t="shared" si="21"/>
        <v>0</v>
      </c>
      <c r="FG11" s="272"/>
      <c r="FH11" s="272"/>
      <c r="FI11" s="272"/>
      <c r="FJ11" s="272"/>
      <c r="FK11" s="272"/>
      <c r="FL11" s="272"/>
      <c r="FM11" s="272"/>
      <c r="FN11" s="45">
        <f>volume!FN11</f>
        <v>0</v>
      </c>
      <c r="FO11" s="46">
        <f>volume!FO11</f>
        <v>0</v>
      </c>
      <c r="FP11" s="46">
        <f>volume!FP11</f>
        <v>0</v>
      </c>
      <c r="FQ11" s="46">
        <f>volume!FQ11</f>
        <v>0</v>
      </c>
      <c r="FR11" s="46">
        <f>volume!FR11</f>
        <v>0</v>
      </c>
      <c r="FS11" s="47">
        <f>volume!FS11</f>
        <v>0</v>
      </c>
      <c r="FT11" s="50">
        <f t="shared" si="22"/>
        <v>0</v>
      </c>
      <c r="FU11" s="45">
        <f>volume!FU11</f>
        <v>0</v>
      </c>
      <c r="FV11" s="46">
        <f>volume!FV11</f>
        <v>0</v>
      </c>
      <c r="FW11" s="46">
        <f>volume!FW11</f>
        <v>0</v>
      </c>
      <c r="FX11" s="46">
        <f>volume!FX11</f>
        <v>0</v>
      </c>
      <c r="FY11" s="46">
        <f>volume!FY11</f>
        <v>0</v>
      </c>
      <c r="FZ11" s="47">
        <f>volume!FZ11</f>
        <v>0</v>
      </c>
      <c r="GA11" s="50">
        <f t="shared" si="23"/>
        <v>0</v>
      </c>
      <c r="GB11" s="45">
        <f>volume!GB11</f>
        <v>0</v>
      </c>
      <c r="GC11" s="46">
        <f>volume!GC11</f>
        <v>0</v>
      </c>
      <c r="GD11" s="46">
        <f>volume!GD11</f>
        <v>0</v>
      </c>
      <c r="GE11" s="46">
        <f>volume!GE11</f>
        <v>0</v>
      </c>
      <c r="GF11" s="46">
        <f>volume!GF11</f>
        <v>0</v>
      </c>
      <c r="GG11" s="47">
        <f>volume!GG11</f>
        <v>0</v>
      </c>
      <c r="GH11" s="50">
        <f t="shared" si="24"/>
        <v>0</v>
      </c>
      <c r="GI11" s="272"/>
      <c r="GJ11" s="272"/>
      <c r="GK11" s="272"/>
      <c r="GL11" s="272"/>
      <c r="GM11" s="272"/>
      <c r="GN11" s="272"/>
      <c r="GO11" s="272"/>
      <c r="GP11" s="45">
        <f>volume!GP11</f>
        <v>0</v>
      </c>
      <c r="GQ11" s="46">
        <f>volume!GQ11</f>
        <v>0</v>
      </c>
      <c r="GR11" s="46">
        <f>volume!GR11</f>
        <v>0</v>
      </c>
      <c r="GS11" s="46">
        <f>volume!GS11</f>
        <v>0</v>
      </c>
      <c r="GT11" s="46">
        <f>volume!GT11</f>
        <v>0</v>
      </c>
      <c r="GU11" s="47">
        <f>volume!GU11</f>
        <v>0</v>
      </c>
      <c r="GV11" s="50">
        <f t="shared" si="25"/>
        <v>0</v>
      </c>
      <c r="GW11" s="45">
        <f>volume!GW11</f>
        <v>0</v>
      </c>
      <c r="GX11" s="46">
        <f>volume!GX11</f>
        <v>0</v>
      </c>
      <c r="GY11" s="46">
        <f>volume!GY11</f>
        <v>0</v>
      </c>
      <c r="GZ11" s="46">
        <f>volume!GZ11</f>
        <v>0</v>
      </c>
      <c r="HA11" s="46">
        <f>volume!HA11</f>
        <v>0</v>
      </c>
      <c r="HB11" s="47">
        <f>volume!HB11</f>
        <v>0</v>
      </c>
      <c r="HC11" s="50">
        <f t="shared" si="26"/>
        <v>0</v>
      </c>
      <c r="HD11" s="45">
        <f>volume!HD11</f>
        <v>0</v>
      </c>
      <c r="HE11" s="46">
        <f>volume!HE11</f>
        <v>0</v>
      </c>
      <c r="HF11" s="46">
        <f>volume!HF11</f>
        <v>0</v>
      </c>
      <c r="HG11" s="46">
        <f>volume!HG11</f>
        <v>0</v>
      </c>
      <c r="HH11" s="46">
        <f>volume!HH11</f>
        <v>0</v>
      </c>
      <c r="HI11" s="47">
        <f>volume!HI11</f>
        <v>0</v>
      </c>
      <c r="HJ11" s="50">
        <f t="shared" si="27"/>
        <v>0</v>
      </c>
    </row>
    <row r="12" spans="1:218" ht="21.75" customHeight="1" x14ac:dyDescent="0.6">
      <c r="A12" s="51" t="s">
        <v>67</v>
      </c>
      <c r="B12" s="52">
        <f>volume!B12</f>
        <v>42</v>
      </c>
      <c r="C12" s="53">
        <f>volume!C12</f>
        <v>5</v>
      </c>
      <c r="D12" s="53">
        <f>volume!D12</f>
        <v>0</v>
      </c>
      <c r="E12" s="53">
        <f>volume!E12</f>
        <v>0</v>
      </c>
      <c r="F12" s="53">
        <f>volume!F12</f>
        <v>0</v>
      </c>
      <c r="G12" s="54">
        <f>volume!G12</f>
        <v>1</v>
      </c>
      <c r="H12" s="48">
        <f t="shared" si="0"/>
        <v>48</v>
      </c>
      <c r="I12" s="52">
        <f>volume!I12</f>
        <v>57</v>
      </c>
      <c r="J12" s="53">
        <f>volume!J12</f>
        <v>8</v>
      </c>
      <c r="K12" s="53">
        <f>volume!K12</f>
        <v>0</v>
      </c>
      <c r="L12" s="53">
        <f>volume!L12</f>
        <v>0</v>
      </c>
      <c r="M12" s="53">
        <f>volume!M12</f>
        <v>0</v>
      </c>
      <c r="N12" s="54">
        <f>volume!N12</f>
        <v>0</v>
      </c>
      <c r="O12" s="49">
        <f t="shared" si="1"/>
        <v>65</v>
      </c>
      <c r="P12" s="52">
        <f>volume!P12</f>
        <v>19</v>
      </c>
      <c r="Q12" s="53">
        <f>volume!Q12</f>
        <v>7</v>
      </c>
      <c r="R12" s="53">
        <f>volume!R12</f>
        <v>0</v>
      </c>
      <c r="S12" s="53">
        <f>volume!S12</f>
        <v>0</v>
      </c>
      <c r="T12" s="53">
        <f>volume!T12</f>
        <v>1</v>
      </c>
      <c r="U12" s="54">
        <f>volume!U12</f>
        <v>0</v>
      </c>
      <c r="V12" s="49">
        <f t="shared" si="2"/>
        <v>27</v>
      </c>
      <c r="W12" s="52">
        <f>volume!W12</f>
        <v>0</v>
      </c>
      <c r="X12" s="53">
        <f>volume!X12</f>
        <v>0</v>
      </c>
      <c r="Y12" s="53">
        <f>volume!Y12</f>
        <v>0</v>
      </c>
      <c r="Z12" s="53">
        <f>volume!Z12</f>
        <v>0</v>
      </c>
      <c r="AA12" s="53">
        <f>volume!AA12</f>
        <v>0</v>
      </c>
      <c r="AB12" s="54">
        <f>volume!AB12</f>
        <v>0</v>
      </c>
      <c r="AC12" s="49">
        <f t="shared" si="3"/>
        <v>0</v>
      </c>
      <c r="AD12" s="52">
        <f>volume!AD12</f>
        <v>42</v>
      </c>
      <c r="AE12" s="53">
        <f>volume!AE12</f>
        <v>12</v>
      </c>
      <c r="AF12" s="53">
        <f>volume!AF12</f>
        <v>0</v>
      </c>
      <c r="AG12" s="53">
        <f>volume!AG12</f>
        <v>0</v>
      </c>
      <c r="AH12" s="53">
        <f>volume!AH12</f>
        <v>0</v>
      </c>
      <c r="AI12" s="54">
        <f>volume!AI12</f>
        <v>0</v>
      </c>
      <c r="AJ12" s="49">
        <f t="shared" si="4"/>
        <v>54</v>
      </c>
      <c r="AK12" s="52">
        <f>volume!AK12</f>
        <v>149</v>
      </c>
      <c r="AL12" s="53">
        <f>volume!AL12</f>
        <v>36</v>
      </c>
      <c r="AM12" s="53">
        <f>volume!AM12</f>
        <v>0</v>
      </c>
      <c r="AN12" s="53">
        <f>volume!AN12</f>
        <v>0</v>
      </c>
      <c r="AO12" s="53">
        <f>volume!AO12</f>
        <v>2</v>
      </c>
      <c r="AP12" s="54">
        <f>volume!AP12</f>
        <v>0</v>
      </c>
      <c r="AQ12" s="49">
        <f t="shared" si="5"/>
        <v>187</v>
      </c>
      <c r="AR12" s="52">
        <f>volume!AR12</f>
        <v>33</v>
      </c>
      <c r="AS12" s="53">
        <f>volume!AS12</f>
        <v>10</v>
      </c>
      <c r="AT12" s="53">
        <f>volume!AT12</f>
        <v>0</v>
      </c>
      <c r="AU12" s="53">
        <f>volume!AU12</f>
        <v>0</v>
      </c>
      <c r="AV12" s="53">
        <f>volume!AV12</f>
        <v>3</v>
      </c>
      <c r="AW12" s="54">
        <f>volume!AW12</f>
        <v>0</v>
      </c>
      <c r="AX12" s="49">
        <f t="shared" si="6"/>
        <v>46</v>
      </c>
      <c r="AY12" s="52">
        <f>volume!AY12</f>
        <v>52</v>
      </c>
      <c r="AZ12" s="53">
        <f>volume!AZ12</f>
        <v>17</v>
      </c>
      <c r="BA12" s="53">
        <f>volume!BA12</f>
        <v>1</v>
      </c>
      <c r="BB12" s="53">
        <f>volume!BB12</f>
        <v>0</v>
      </c>
      <c r="BC12" s="53">
        <f>volume!BC12</f>
        <v>0</v>
      </c>
      <c r="BD12" s="54">
        <f>volume!BD12</f>
        <v>1</v>
      </c>
      <c r="BE12" s="49">
        <f t="shared" si="7"/>
        <v>71</v>
      </c>
      <c r="BF12" s="52">
        <f>volume!BF12</f>
        <v>5</v>
      </c>
      <c r="BG12" s="53">
        <f>volume!BG12</f>
        <v>4</v>
      </c>
      <c r="BH12" s="53">
        <f>volume!BH12</f>
        <v>0</v>
      </c>
      <c r="BI12" s="53">
        <f>volume!BI12</f>
        <v>0</v>
      </c>
      <c r="BJ12" s="53">
        <f>volume!BJ12</f>
        <v>0</v>
      </c>
      <c r="BK12" s="54">
        <f>volume!BK12</f>
        <v>0</v>
      </c>
      <c r="BL12" s="49">
        <f t="shared" si="8"/>
        <v>9</v>
      </c>
      <c r="BM12" s="52">
        <f>volume!BM12</f>
        <v>45</v>
      </c>
      <c r="BN12" s="53">
        <f>volume!BN12</f>
        <v>16</v>
      </c>
      <c r="BO12" s="53">
        <f>volume!BO12</f>
        <v>0</v>
      </c>
      <c r="BP12" s="53">
        <f>volume!BP12</f>
        <v>0</v>
      </c>
      <c r="BQ12" s="53">
        <f>volume!BQ12</f>
        <v>0</v>
      </c>
      <c r="BR12" s="54">
        <f>volume!BR12</f>
        <v>0</v>
      </c>
      <c r="BS12" s="49">
        <f t="shared" si="9"/>
        <v>61</v>
      </c>
      <c r="BT12" s="52">
        <f>volume!BT12</f>
        <v>47</v>
      </c>
      <c r="BU12" s="53">
        <f>volume!BU12</f>
        <v>14</v>
      </c>
      <c r="BV12" s="53">
        <f>volume!BV12</f>
        <v>0</v>
      </c>
      <c r="BW12" s="53">
        <f>volume!BW12</f>
        <v>0</v>
      </c>
      <c r="BX12" s="53">
        <f>volume!BX12</f>
        <v>0</v>
      </c>
      <c r="BY12" s="54">
        <f>volume!BY12</f>
        <v>0</v>
      </c>
      <c r="BZ12" s="49">
        <f t="shared" si="10"/>
        <v>61</v>
      </c>
      <c r="CA12" s="52">
        <f>volume!CA12</f>
        <v>0</v>
      </c>
      <c r="CB12" s="53">
        <f>volume!CB12</f>
        <v>0</v>
      </c>
      <c r="CC12" s="53">
        <f>volume!CC12</f>
        <v>0</v>
      </c>
      <c r="CD12" s="53">
        <f>volume!CD12</f>
        <v>0</v>
      </c>
      <c r="CE12" s="53">
        <f>volume!CE12</f>
        <v>0</v>
      </c>
      <c r="CF12" s="54">
        <f>volume!CF12</f>
        <v>0</v>
      </c>
      <c r="CG12" s="49">
        <f t="shared" si="11"/>
        <v>0</v>
      </c>
      <c r="CH12" s="52">
        <f>volume!CH12</f>
        <v>46</v>
      </c>
      <c r="CI12" s="53">
        <f>volume!CI12</f>
        <v>11</v>
      </c>
      <c r="CJ12" s="53">
        <f>volume!CJ12</f>
        <v>0</v>
      </c>
      <c r="CK12" s="53">
        <f>volume!CK12</f>
        <v>0</v>
      </c>
      <c r="CL12" s="53">
        <f>volume!CL12</f>
        <v>0</v>
      </c>
      <c r="CM12" s="54">
        <f>volume!CM12</f>
        <v>0</v>
      </c>
      <c r="CN12" s="49">
        <f t="shared" si="12"/>
        <v>57</v>
      </c>
      <c r="CO12" s="52">
        <f>volume!CO12</f>
        <v>118</v>
      </c>
      <c r="CP12" s="53">
        <f>volume!CP12</f>
        <v>20</v>
      </c>
      <c r="CQ12" s="53">
        <f>volume!CQ12</f>
        <v>1</v>
      </c>
      <c r="CR12" s="53">
        <f>volume!CR12</f>
        <v>0</v>
      </c>
      <c r="CS12" s="53">
        <f>volume!CS12</f>
        <v>2</v>
      </c>
      <c r="CT12" s="54">
        <f>volume!CT12</f>
        <v>0</v>
      </c>
      <c r="CU12" s="49">
        <f t="shared" si="13"/>
        <v>141</v>
      </c>
      <c r="CV12" s="52">
        <f>volume!CV12</f>
        <v>0</v>
      </c>
      <c r="CW12" s="53">
        <f>volume!CW12</f>
        <v>0</v>
      </c>
      <c r="CX12" s="53">
        <f>volume!CX12</f>
        <v>0</v>
      </c>
      <c r="CY12" s="53">
        <f>volume!CY12</f>
        <v>0</v>
      </c>
      <c r="CZ12" s="53">
        <f>volume!CZ12</f>
        <v>0</v>
      </c>
      <c r="DA12" s="54">
        <f>volume!DA12</f>
        <v>0</v>
      </c>
      <c r="DB12" s="49">
        <f t="shared" si="14"/>
        <v>0</v>
      </c>
      <c r="DC12" s="52">
        <f>volume!DC12</f>
        <v>0</v>
      </c>
      <c r="DD12" s="53">
        <f>volume!DD12</f>
        <v>0</v>
      </c>
      <c r="DE12" s="53">
        <f>volume!DE12</f>
        <v>0</v>
      </c>
      <c r="DF12" s="53">
        <f>volume!DF12</f>
        <v>0</v>
      </c>
      <c r="DG12" s="53">
        <f>volume!DG12</f>
        <v>0</v>
      </c>
      <c r="DH12" s="54">
        <f>volume!DH12</f>
        <v>0</v>
      </c>
      <c r="DI12" s="49">
        <f t="shared" si="15"/>
        <v>0</v>
      </c>
      <c r="DJ12" s="52">
        <f>volume!DJ12</f>
        <v>0</v>
      </c>
      <c r="DK12" s="53">
        <f>volume!DK12</f>
        <v>0</v>
      </c>
      <c r="DL12" s="53">
        <f>volume!DL12</f>
        <v>0</v>
      </c>
      <c r="DM12" s="53">
        <f>volume!DM12</f>
        <v>0</v>
      </c>
      <c r="DN12" s="53">
        <f>volume!DN12</f>
        <v>0</v>
      </c>
      <c r="DO12" s="54">
        <f>volume!DO12</f>
        <v>0</v>
      </c>
      <c r="DP12" s="50">
        <f t="shared" si="16"/>
        <v>0</v>
      </c>
      <c r="DQ12" s="52">
        <f>volume!DQ12</f>
        <v>0</v>
      </c>
      <c r="DR12" s="53">
        <f>volume!DR12</f>
        <v>0</v>
      </c>
      <c r="DS12" s="53">
        <f>volume!DS12</f>
        <v>0</v>
      </c>
      <c r="DT12" s="53">
        <f>volume!DT12</f>
        <v>0</v>
      </c>
      <c r="DU12" s="53">
        <f>volume!DU12</f>
        <v>0</v>
      </c>
      <c r="DV12" s="54">
        <f>volume!DV12</f>
        <v>0</v>
      </c>
      <c r="DW12" s="50">
        <f t="shared" si="17"/>
        <v>0</v>
      </c>
      <c r="DX12" s="52">
        <f>volume!DX12</f>
        <v>0</v>
      </c>
      <c r="DY12" s="53">
        <f>volume!DY12</f>
        <v>0</v>
      </c>
      <c r="DZ12" s="53">
        <f>volume!DZ12</f>
        <v>0</v>
      </c>
      <c r="EA12" s="53">
        <f>volume!EA12</f>
        <v>0</v>
      </c>
      <c r="EB12" s="53">
        <f>volume!EB12</f>
        <v>0</v>
      </c>
      <c r="EC12" s="54">
        <f>volume!EC12</f>
        <v>0</v>
      </c>
      <c r="ED12" s="50">
        <f t="shared" si="18"/>
        <v>0</v>
      </c>
      <c r="EE12" s="273"/>
      <c r="EF12" s="273"/>
      <c r="EG12" s="273"/>
      <c r="EH12" s="273"/>
      <c r="EI12" s="273"/>
      <c r="EJ12" s="273"/>
      <c r="EK12" s="273"/>
      <c r="EL12" s="52">
        <f>volume!EL12</f>
        <v>0</v>
      </c>
      <c r="EM12" s="53">
        <f>volume!EM12</f>
        <v>0</v>
      </c>
      <c r="EN12" s="53">
        <f>volume!EN12</f>
        <v>0</v>
      </c>
      <c r="EO12" s="53">
        <f>volume!EO12</f>
        <v>0</v>
      </c>
      <c r="EP12" s="53">
        <f>volume!EP12</f>
        <v>0</v>
      </c>
      <c r="EQ12" s="54">
        <f>volume!EQ12</f>
        <v>0</v>
      </c>
      <c r="ER12" s="50">
        <f t="shared" si="19"/>
        <v>0</v>
      </c>
      <c r="ES12" s="52">
        <f>volume!ES12</f>
        <v>0</v>
      </c>
      <c r="ET12" s="53">
        <f>volume!ET12</f>
        <v>0</v>
      </c>
      <c r="EU12" s="53">
        <f>volume!EU12</f>
        <v>0</v>
      </c>
      <c r="EV12" s="53">
        <f>volume!EV12</f>
        <v>0</v>
      </c>
      <c r="EW12" s="53">
        <f>volume!EW12</f>
        <v>0</v>
      </c>
      <c r="EX12" s="54">
        <f>volume!EX12</f>
        <v>0</v>
      </c>
      <c r="EY12" s="50">
        <f t="shared" si="20"/>
        <v>0</v>
      </c>
      <c r="EZ12" s="52">
        <f>volume!EZ12</f>
        <v>0</v>
      </c>
      <c r="FA12" s="53">
        <f>volume!FA12</f>
        <v>0</v>
      </c>
      <c r="FB12" s="53">
        <f>volume!FB12</f>
        <v>0</v>
      </c>
      <c r="FC12" s="53">
        <f>volume!FC12</f>
        <v>0</v>
      </c>
      <c r="FD12" s="53">
        <f>volume!FD12</f>
        <v>0</v>
      </c>
      <c r="FE12" s="54">
        <f>volume!FE12</f>
        <v>0</v>
      </c>
      <c r="FF12" s="50">
        <f t="shared" si="21"/>
        <v>0</v>
      </c>
      <c r="FG12" s="273"/>
      <c r="FH12" s="273"/>
      <c r="FI12" s="273"/>
      <c r="FJ12" s="273"/>
      <c r="FK12" s="273"/>
      <c r="FL12" s="273"/>
      <c r="FM12" s="273"/>
      <c r="FN12" s="52">
        <f>volume!FN12</f>
        <v>0</v>
      </c>
      <c r="FO12" s="53">
        <f>volume!FO12</f>
        <v>0</v>
      </c>
      <c r="FP12" s="53">
        <f>volume!FP12</f>
        <v>0</v>
      </c>
      <c r="FQ12" s="53">
        <f>volume!FQ12</f>
        <v>0</v>
      </c>
      <c r="FR12" s="53">
        <f>volume!FR12</f>
        <v>0</v>
      </c>
      <c r="FS12" s="54">
        <f>volume!FS12</f>
        <v>0</v>
      </c>
      <c r="FT12" s="50">
        <f t="shared" si="22"/>
        <v>0</v>
      </c>
      <c r="FU12" s="52">
        <f>volume!FU12</f>
        <v>0</v>
      </c>
      <c r="FV12" s="53">
        <f>volume!FV12</f>
        <v>0</v>
      </c>
      <c r="FW12" s="53">
        <f>volume!FW12</f>
        <v>0</v>
      </c>
      <c r="FX12" s="53">
        <f>volume!FX12</f>
        <v>0</v>
      </c>
      <c r="FY12" s="53">
        <f>volume!FY12</f>
        <v>0</v>
      </c>
      <c r="FZ12" s="54">
        <f>volume!FZ12</f>
        <v>0</v>
      </c>
      <c r="GA12" s="50">
        <f t="shared" si="23"/>
        <v>0</v>
      </c>
      <c r="GB12" s="52">
        <f>volume!GB12</f>
        <v>0</v>
      </c>
      <c r="GC12" s="53">
        <f>volume!GC12</f>
        <v>0</v>
      </c>
      <c r="GD12" s="53">
        <f>volume!GD12</f>
        <v>0</v>
      </c>
      <c r="GE12" s="53">
        <f>volume!GE12</f>
        <v>0</v>
      </c>
      <c r="GF12" s="53">
        <f>volume!GF12</f>
        <v>0</v>
      </c>
      <c r="GG12" s="54">
        <f>volume!GG12</f>
        <v>0</v>
      </c>
      <c r="GH12" s="50">
        <f t="shared" si="24"/>
        <v>0</v>
      </c>
      <c r="GI12" s="273"/>
      <c r="GJ12" s="273"/>
      <c r="GK12" s="273"/>
      <c r="GL12" s="273"/>
      <c r="GM12" s="273"/>
      <c r="GN12" s="273"/>
      <c r="GO12" s="273"/>
      <c r="GP12" s="52">
        <f>volume!GP12</f>
        <v>0</v>
      </c>
      <c r="GQ12" s="53">
        <f>volume!GQ12</f>
        <v>0</v>
      </c>
      <c r="GR12" s="53">
        <f>volume!GR12</f>
        <v>0</v>
      </c>
      <c r="GS12" s="53">
        <f>volume!GS12</f>
        <v>0</v>
      </c>
      <c r="GT12" s="53">
        <f>volume!GT12</f>
        <v>0</v>
      </c>
      <c r="GU12" s="54">
        <f>volume!GU12</f>
        <v>0</v>
      </c>
      <c r="GV12" s="50">
        <f t="shared" si="25"/>
        <v>0</v>
      </c>
      <c r="GW12" s="52">
        <f>volume!GW12</f>
        <v>0</v>
      </c>
      <c r="GX12" s="53">
        <f>volume!GX12</f>
        <v>0</v>
      </c>
      <c r="GY12" s="53">
        <f>volume!GY12</f>
        <v>0</v>
      </c>
      <c r="GZ12" s="53">
        <f>volume!GZ12</f>
        <v>0</v>
      </c>
      <c r="HA12" s="53">
        <f>volume!HA12</f>
        <v>0</v>
      </c>
      <c r="HB12" s="54">
        <f>volume!HB12</f>
        <v>0</v>
      </c>
      <c r="HC12" s="50">
        <f t="shared" si="26"/>
        <v>0</v>
      </c>
      <c r="HD12" s="52">
        <f>volume!HD12</f>
        <v>0</v>
      </c>
      <c r="HE12" s="53">
        <f>volume!HE12</f>
        <v>0</v>
      </c>
      <c r="HF12" s="53">
        <f>volume!HF12</f>
        <v>0</v>
      </c>
      <c r="HG12" s="53">
        <f>volume!HG12</f>
        <v>0</v>
      </c>
      <c r="HH12" s="53">
        <f>volume!HH12</f>
        <v>0</v>
      </c>
      <c r="HI12" s="54">
        <f>volume!HI12</f>
        <v>0</v>
      </c>
      <c r="HJ12" s="50">
        <f t="shared" si="27"/>
        <v>0</v>
      </c>
    </row>
    <row r="13" spans="1:218" ht="21.75" customHeight="1" x14ac:dyDescent="0.6">
      <c r="A13" s="51" t="s">
        <v>68</v>
      </c>
      <c r="B13" s="52">
        <f>volume!B13</f>
        <v>37</v>
      </c>
      <c r="C13" s="53">
        <f>volume!C13</f>
        <v>9</v>
      </c>
      <c r="D13" s="53">
        <f>volume!D13</f>
        <v>0</v>
      </c>
      <c r="E13" s="53">
        <f>volume!E13</f>
        <v>0</v>
      </c>
      <c r="F13" s="53">
        <f>volume!F13</f>
        <v>0</v>
      </c>
      <c r="G13" s="54">
        <f>volume!G13</f>
        <v>0</v>
      </c>
      <c r="H13" s="48">
        <f t="shared" si="0"/>
        <v>46</v>
      </c>
      <c r="I13" s="52">
        <f>volume!I13</f>
        <v>66</v>
      </c>
      <c r="J13" s="53">
        <f>volume!J13</f>
        <v>6</v>
      </c>
      <c r="K13" s="53">
        <f>volume!K13</f>
        <v>0</v>
      </c>
      <c r="L13" s="53">
        <f>volume!L13</f>
        <v>0</v>
      </c>
      <c r="M13" s="53">
        <f>volume!M13</f>
        <v>0</v>
      </c>
      <c r="N13" s="54">
        <f>volume!N13</f>
        <v>0</v>
      </c>
      <c r="O13" s="49">
        <f t="shared" si="1"/>
        <v>72</v>
      </c>
      <c r="P13" s="52">
        <f>volume!P13</f>
        <v>21</v>
      </c>
      <c r="Q13" s="53">
        <f>volume!Q13</f>
        <v>10</v>
      </c>
      <c r="R13" s="53">
        <f>volume!R13</f>
        <v>0</v>
      </c>
      <c r="S13" s="53">
        <f>volume!S13</f>
        <v>0</v>
      </c>
      <c r="T13" s="53">
        <f>volume!T13</f>
        <v>0</v>
      </c>
      <c r="U13" s="54">
        <f>volume!U13</f>
        <v>0</v>
      </c>
      <c r="V13" s="49">
        <f t="shared" si="2"/>
        <v>31</v>
      </c>
      <c r="W13" s="52">
        <f>volume!W13</f>
        <v>0</v>
      </c>
      <c r="X13" s="53">
        <f>volume!X13</f>
        <v>0</v>
      </c>
      <c r="Y13" s="53">
        <f>volume!Y13</f>
        <v>0</v>
      </c>
      <c r="Z13" s="53">
        <f>volume!Z13</f>
        <v>0</v>
      </c>
      <c r="AA13" s="53">
        <f>volume!AA13</f>
        <v>0</v>
      </c>
      <c r="AB13" s="54">
        <f>volume!AB13</f>
        <v>0</v>
      </c>
      <c r="AC13" s="49">
        <f t="shared" si="3"/>
        <v>0</v>
      </c>
      <c r="AD13" s="52">
        <f>volume!AD13</f>
        <v>38</v>
      </c>
      <c r="AE13" s="53">
        <f>volume!AE13</f>
        <v>8</v>
      </c>
      <c r="AF13" s="53">
        <f>volume!AF13</f>
        <v>0</v>
      </c>
      <c r="AG13" s="53">
        <f>volume!AG13</f>
        <v>0</v>
      </c>
      <c r="AH13" s="53">
        <f>volume!AH13</f>
        <v>0</v>
      </c>
      <c r="AI13" s="54">
        <f>volume!AI13</f>
        <v>0</v>
      </c>
      <c r="AJ13" s="49">
        <f t="shared" si="4"/>
        <v>46</v>
      </c>
      <c r="AK13" s="52">
        <f>volume!AK13</f>
        <v>151</v>
      </c>
      <c r="AL13" s="53">
        <f>volume!AL13</f>
        <v>51</v>
      </c>
      <c r="AM13" s="53">
        <f>volume!AM13</f>
        <v>0</v>
      </c>
      <c r="AN13" s="53">
        <f>volume!AN13</f>
        <v>1</v>
      </c>
      <c r="AO13" s="53">
        <f>volume!AO13</f>
        <v>9</v>
      </c>
      <c r="AP13" s="54">
        <f>volume!AP13</f>
        <v>0</v>
      </c>
      <c r="AQ13" s="49">
        <f t="shared" si="5"/>
        <v>212</v>
      </c>
      <c r="AR13" s="52">
        <f>volume!AR13</f>
        <v>39</v>
      </c>
      <c r="AS13" s="53">
        <f>volume!AS13</f>
        <v>6</v>
      </c>
      <c r="AT13" s="53">
        <f>volume!AT13</f>
        <v>0</v>
      </c>
      <c r="AU13" s="53">
        <f>volume!AU13</f>
        <v>0</v>
      </c>
      <c r="AV13" s="53">
        <f>volume!AV13</f>
        <v>0</v>
      </c>
      <c r="AW13" s="54">
        <f>volume!AW13</f>
        <v>1</v>
      </c>
      <c r="AX13" s="49">
        <f t="shared" si="6"/>
        <v>46</v>
      </c>
      <c r="AY13" s="52">
        <f>volume!AY13</f>
        <v>55</v>
      </c>
      <c r="AZ13" s="53">
        <f>volume!AZ13</f>
        <v>23</v>
      </c>
      <c r="BA13" s="53">
        <f>volume!BA13</f>
        <v>0</v>
      </c>
      <c r="BB13" s="53">
        <f>volume!BB13</f>
        <v>0</v>
      </c>
      <c r="BC13" s="53">
        <f>volume!BC13</f>
        <v>1</v>
      </c>
      <c r="BD13" s="54">
        <f>volume!BD13</f>
        <v>0</v>
      </c>
      <c r="BE13" s="49">
        <f t="shared" si="7"/>
        <v>79</v>
      </c>
      <c r="BF13" s="52">
        <f>volume!BF13</f>
        <v>2</v>
      </c>
      <c r="BG13" s="53">
        <f>volume!BG13</f>
        <v>0</v>
      </c>
      <c r="BH13" s="53">
        <f>volume!BH13</f>
        <v>0</v>
      </c>
      <c r="BI13" s="53">
        <f>volume!BI13</f>
        <v>0</v>
      </c>
      <c r="BJ13" s="53">
        <f>volume!BJ13</f>
        <v>1</v>
      </c>
      <c r="BK13" s="54">
        <f>volume!BK13</f>
        <v>0</v>
      </c>
      <c r="BL13" s="49">
        <f t="shared" si="8"/>
        <v>3</v>
      </c>
      <c r="BM13" s="52">
        <f>volume!BM13</f>
        <v>65</v>
      </c>
      <c r="BN13" s="53">
        <f>volume!BN13</f>
        <v>18</v>
      </c>
      <c r="BO13" s="53">
        <f>volume!BO13</f>
        <v>0</v>
      </c>
      <c r="BP13" s="53">
        <f>volume!BP13</f>
        <v>0</v>
      </c>
      <c r="BQ13" s="53">
        <f>volume!BQ13</f>
        <v>0</v>
      </c>
      <c r="BR13" s="54">
        <f>volume!BR13</f>
        <v>0</v>
      </c>
      <c r="BS13" s="49">
        <f t="shared" si="9"/>
        <v>83</v>
      </c>
      <c r="BT13" s="52">
        <f>volume!BT13</f>
        <v>52</v>
      </c>
      <c r="BU13" s="53">
        <f>volume!BU13</f>
        <v>22</v>
      </c>
      <c r="BV13" s="53">
        <f>volume!BV13</f>
        <v>0</v>
      </c>
      <c r="BW13" s="53">
        <f>volume!BW13</f>
        <v>0</v>
      </c>
      <c r="BX13" s="53">
        <f>volume!BX13</f>
        <v>0</v>
      </c>
      <c r="BY13" s="54">
        <f>volume!BY13</f>
        <v>0</v>
      </c>
      <c r="BZ13" s="49">
        <f t="shared" si="10"/>
        <v>74</v>
      </c>
      <c r="CA13" s="52">
        <f>volume!CA13</f>
        <v>0</v>
      </c>
      <c r="CB13" s="53">
        <f>volume!CB13</f>
        <v>0</v>
      </c>
      <c r="CC13" s="53">
        <f>volume!CC13</f>
        <v>0</v>
      </c>
      <c r="CD13" s="53">
        <f>volume!CD13</f>
        <v>0</v>
      </c>
      <c r="CE13" s="53">
        <f>volume!CE13</f>
        <v>0</v>
      </c>
      <c r="CF13" s="54">
        <f>volume!CF13</f>
        <v>0</v>
      </c>
      <c r="CG13" s="49">
        <f t="shared" si="11"/>
        <v>0</v>
      </c>
      <c r="CH13" s="52">
        <f>volume!CH13</f>
        <v>50</v>
      </c>
      <c r="CI13" s="53">
        <f>volume!CI13</f>
        <v>8</v>
      </c>
      <c r="CJ13" s="53">
        <f>volume!CJ13</f>
        <v>0</v>
      </c>
      <c r="CK13" s="53">
        <f>volume!CK13</f>
        <v>0</v>
      </c>
      <c r="CL13" s="53">
        <f>volume!CL13</f>
        <v>0</v>
      </c>
      <c r="CM13" s="54">
        <f>volume!CM13</f>
        <v>0</v>
      </c>
      <c r="CN13" s="49">
        <f t="shared" si="12"/>
        <v>58</v>
      </c>
      <c r="CO13" s="52">
        <f>volume!CO13</f>
        <v>105</v>
      </c>
      <c r="CP13" s="53">
        <f>volume!CP13</f>
        <v>28</v>
      </c>
      <c r="CQ13" s="53">
        <f>volume!CQ13</f>
        <v>0</v>
      </c>
      <c r="CR13" s="53">
        <f>volume!CR13</f>
        <v>1</v>
      </c>
      <c r="CS13" s="53">
        <f>volume!CS13</f>
        <v>2</v>
      </c>
      <c r="CT13" s="54">
        <f>volume!CT13</f>
        <v>0</v>
      </c>
      <c r="CU13" s="49">
        <f t="shared" si="13"/>
        <v>136</v>
      </c>
      <c r="CV13" s="52">
        <f>volume!CV13</f>
        <v>0</v>
      </c>
      <c r="CW13" s="53">
        <f>volume!CW13</f>
        <v>0</v>
      </c>
      <c r="CX13" s="53">
        <f>volume!CX13</f>
        <v>0</v>
      </c>
      <c r="CY13" s="53">
        <f>volume!CY13</f>
        <v>0</v>
      </c>
      <c r="CZ13" s="53">
        <f>volume!CZ13</f>
        <v>0</v>
      </c>
      <c r="DA13" s="54">
        <f>volume!DA13</f>
        <v>0</v>
      </c>
      <c r="DB13" s="49">
        <f t="shared" si="14"/>
        <v>0</v>
      </c>
      <c r="DC13" s="52">
        <f>volume!DC13</f>
        <v>0</v>
      </c>
      <c r="DD13" s="53">
        <f>volume!DD13</f>
        <v>0</v>
      </c>
      <c r="DE13" s="53">
        <f>volume!DE13</f>
        <v>0</v>
      </c>
      <c r="DF13" s="53">
        <f>volume!DF13</f>
        <v>0</v>
      </c>
      <c r="DG13" s="53">
        <f>volume!DG13</f>
        <v>0</v>
      </c>
      <c r="DH13" s="54">
        <f>volume!DH13</f>
        <v>0</v>
      </c>
      <c r="DI13" s="49">
        <f t="shared" si="15"/>
        <v>0</v>
      </c>
      <c r="DJ13" s="52">
        <f>volume!DJ13</f>
        <v>0</v>
      </c>
      <c r="DK13" s="53">
        <f>volume!DK13</f>
        <v>0</v>
      </c>
      <c r="DL13" s="53">
        <f>volume!DL13</f>
        <v>0</v>
      </c>
      <c r="DM13" s="53">
        <f>volume!DM13</f>
        <v>0</v>
      </c>
      <c r="DN13" s="53">
        <f>volume!DN13</f>
        <v>0</v>
      </c>
      <c r="DO13" s="54">
        <f>volume!DO13</f>
        <v>0</v>
      </c>
      <c r="DP13" s="50">
        <f t="shared" si="16"/>
        <v>0</v>
      </c>
      <c r="DQ13" s="52">
        <f>volume!DQ13</f>
        <v>0</v>
      </c>
      <c r="DR13" s="53">
        <f>volume!DR13</f>
        <v>0</v>
      </c>
      <c r="DS13" s="53">
        <f>volume!DS13</f>
        <v>0</v>
      </c>
      <c r="DT13" s="53">
        <f>volume!DT13</f>
        <v>0</v>
      </c>
      <c r="DU13" s="53">
        <f>volume!DU13</f>
        <v>0</v>
      </c>
      <c r="DV13" s="54">
        <f>volume!DV13</f>
        <v>0</v>
      </c>
      <c r="DW13" s="50">
        <f t="shared" si="17"/>
        <v>0</v>
      </c>
      <c r="DX13" s="52">
        <f>volume!DX13</f>
        <v>0</v>
      </c>
      <c r="DY13" s="53">
        <f>volume!DY13</f>
        <v>0</v>
      </c>
      <c r="DZ13" s="53">
        <f>volume!DZ13</f>
        <v>0</v>
      </c>
      <c r="EA13" s="53">
        <f>volume!EA13</f>
        <v>0</v>
      </c>
      <c r="EB13" s="53">
        <f>volume!EB13</f>
        <v>0</v>
      </c>
      <c r="EC13" s="54">
        <f>volume!EC13</f>
        <v>0</v>
      </c>
      <c r="ED13" s="50">
        <f t="shared" si="18"/>
        <v>0</v>
      </c>
      <c r="EE13" s="273"/>
      <c r="EF13" s="273"/>
      <c r="EG13" s="273"/>
      <c r="EH13" s="273"/>
      <c r="EI13" s="273"/>
      <c r="EJ13" s="273"/>
      <c r="EK13" s="273"/>
      <c r="EL13" s="52">
        <f>volume!EL13</f>
        <v>0</v>
      </c>
      <c r="EM13" s="53">
        <f>volume!EM13</f>
        <v>0</v>
      </c>
      <c r="EN13" s="53">
        <f>volume!EN13</f>
        <v>0</v>
      </c>
      <c r="EO13" s="53">
        <f>volume!EO13</f>
        <v>0</v>
      </c>
      <c r="EP13" s="53">
        <f>volume!EP13</f>
        <v>0</v>
      </c>
      <c r="EQ13" s="54">
        <f>volume!EQ13</f>
        <v>0</v>
      </c>
      <c r="ER13" s="50">
        <f t="shared" si="19"/>
        <v>0</v>
      </c>
      <c r="ES13" s="52">
        <f>volume!ES13</f>
        <v>0</v>
      </c>
      <c r="ET13" s="53">
        <f>volume!ET13</f>
        <v>0</v>
      </c>
      <c r="EU13" s="53">
        <f>volume!EU13</f>
        <v>0</v>
      </c>
      <c r="EV13" s="53">
        <f>volume!EV13</f>
        <v>0</v>
      </c>
      <c r="EW13" s="53">
        <f>volume!EW13</f>
        <v>0</v>
      </c>
      <c r="EX13" s="54">
        <f>volume!EX13</f>
        <v>0</v>
      </c>
      <c r="EY13" s="50">
        <f t="shared" si="20"/>
        <v>0</v>
      </c>
      <c r="EZ13" s="52">
        <f>volume!EZ13</f>
        <v>0</v>
      </c>
      <c r="FA13" s="53">
        <f>volume!FA13</f>
        <v>0</v>
      </c>
      <c r="FB13" s="53">
        <f>volume!FB13</f>
        <v>0</v>
      </c>
      <c r="FC13" s="53">
        <f>volume!FC13</f>
        <v>0</v>
      </c>
      <c r="FD13" s="53">
        <f>volume!FD13</f>
        <v>0</v>
      </c>
      <c r="FE13" s="54">
        <f>volume!FE13</f>
        <v>0</v>
      </c>
      <c r="FF13" s="50">
        <f t="shared" si="21"/>
        <v>0</v>
      </c>
      <c r="FG13" s="273"/>
      <c r="FH13" s="273"/>
      <c r="FI13" s="273"/>
      <c r="FJ13" s="273"/>
      <c r="FK13" s="273"/>
      <c r="FL13" s="273"/>
      <c r="FM13" s="273"/>
      <c r="FN13" s="52">
        <f>volume!FN13</f>
        <v>0</v>
      </c>
      <c r="FO13" s="53">
        <f>volume!FO13</f>
        <v>0</v>
      </c>
      <c r="FP13" s="53">
        <f>volume!FP13</f>
        <v>0</v>
      </c>
      <c r="FQ13" s="53">
        <f>volume!FQ13</f>
        <v>0</v>
      </c>
      <c r="FR13" s="53">
        <f>volume!FR13</f>
        <v>0</v>
      </c>
      <c r="FS13" s="54">
        <f>volume!FS13</f>
        <v>0</v>
      </c>
      <c r="FT13" s="50">
        <f t="shared" si="22"/>
        <v>0</v>
      </c>
      <c r="FU13" s="52">
        <f>volume!FU13</f>
        <v>0</v>
      </c>
      <c r="FV13" s="53">
        <f>volume!FV13</f>
        <v>0</v>
      </c>
      <c r="FW13" s="53">
        <f>volume!FW13</f>
        <v>0</v>
      </c>
      <c r="FX13" s="53">
        <f>volume!FX13</f>
        <v>0</v>
      </c>
      <c r="FY13" s="53">
        <f>volume!FY13</f>
        <v>0</v>
      </c>
      <c r="FZ13" s="54">
        <f>volume!FZ13</f>
        <v>0</v>
      </c>
      <c r="GA13" s="50">
        <f t="shared" si="23"/>
        <v>0</v>
      </c>
      <c r="GB13" s="52">
        <f>volume!GB13</f>
        <v>0</v>
      </c>
      <c r="GC13" s="53">
        <f>volume!GC13</f>
        <v>0</v>
      </c>
      <c r="GD13" s="53">
        <f>volume!GD13</f>
        <v>0</v>
      </c>
      <c r="GE13" s="53">
        <f>volume!GE13</f>
        <v>0</v>
      </c>
      <c r="GF13" s="53">
        <f>volume!GF13</f>
        <v>0</v>
      </c>
      <c r="GG13" s="54">
        <f>volume!GG13</f>
        <v>0</v>
      </c>
      <c r="GH13" s="50">
        <f t="shared" si="24"/>
        <v>0</v>
      </c>
      <c r="GI13" s="273"/>
      <c r="GJ13" s="273"/>
      <c r="GK13" s="273"/>
      <c r="GL13" s="273"/>
      <c r="GM13" s="273"/>
      <c r="GN13" s="273"/>
      <c r="GO13" s="273"/>
      <c r="GP13" s="52">
        <f>volume!GP13</f>
        <v>0</v>
      </c>
      <c r="GQ13" s="53">
        <f>volume!GQ13</f>
        <v>0</v>
      </c>
      <c r="GR13" s="53">
        <f>volume!GR13</f>
        <v>0</v>
      </c>
      <c r="GS13" s="53">
        <f>volume!GS13</f>
        <v>0</v>
      </c>
      <c r="GT13" s="53">
        <f>volume!GT13</f>
        <v>0</v>
      </c>
      <c r="GU13" s="54">
        <f>volume!GU13</f>
        <v>0</v>
      </c>
      <c r="GV13" s="50">
        <f t="shared" si="25"/>
        <v>0</v>
      </c>
      <c r="GW13" s="52">
        <f>volume!GW13</f>
        <v>0</v>
      </c>
      <c r="GX13" s="53">
        <f>volume!GX13</f>
        <v>0</v>
      </c>
      <c r="GY13" s="53">
        <f>volume!GY13</f>
        <v>0</v>
      </c>
      <c r="GZ13" s="53">
        <f>volume!GZ13</f>
        <v>0</v>
      </c>
      <c r="HA13" s="53">
        <f>volume!HA13</f>
        <v>0</v>
      </c>
      <c r="HB13" s="54">
        <f>volume!HB13</f>
        <v>0</v>
      </c>
      <c r="HC13" s="50">
        <f t="shared" si="26"/>
        <v>0</v>
      </c>
      <c r="HD13" s="52">
        <f>volume!HD13</f>
        <v>0</v>
      </c>
      <c r="HE13" s="53">
        <f>volume!HE13</f>
        <v>0</v>
      </c>
      <c r="HF13" s="53">
        <f>volume!HF13</f>
        <v>0</v>
      </c>
      <c r="HG13" s="53">
        <f>volume!HG13</f>
        <v>0</v>
      </c>
      <c r="HH13" s="53">
        <f>volume!HH13</f>
        <v>0</v>
      </c>
      <c r="HI13" s="54">
        <f>volume!HI13</f>
        <v>0</v>
      </c>
      <c r="HJ13" s="50">
        <f t="shared" si="27"/>
        <v>0</v>
      </c>
    </row>
    <row r="14" spans="1:218" ht="21.75" customHeight="1" x14ac:dyDescent="0.6">
      <c r="A14" s="55" t="s">
        <v>69</v>
      </c>
      <c r="B14" s="52">
        <f>volume!B14</f>
        <v>31</v>
      </c>
      <c r="C14" s="53">
        <f>volume!C14</f>
        <v>10</v>
      </c>
      <c r="D14" s="53">
        <f>volume!D14</f>
        <v>0</v>
      </c>
      <c r="E14" s="53">
        <f>volume!E14</f>
        <v>0</v>
      </c>
      <c r="F14" s="53">
        <f>volume!F14</f>
        <v>1</v>
      </c>
      <c r="G14" s="54">
        <f>volume!G14</f>
        <v>0</v>
      </c>
      <c r="H14" s="48">
        <f t="shared" si="0"/>
        <v>42</v>
      </c>
      <c r="I14" s="52">
        <f>volume!I14</f>
        <v>41</v>
      </c>
      <c r="J14" s="53">
        <f>volume!J14</f>
        <v>13</v>
      </c>
      <c r="K14" s="53">
        <f>volume!K14</f>
        <v>0</v>
      </c>
      <c r="L14" s="53">
        <f>volume!L14</f>
        <v>0</v>
      </c>
      <c r="M14" s="53">
        <f>volume!M14</f>
        <v>0</v>
      </c>
      <c r="N14" s="54">
        <f>volume!N14</f>
        <v>0</v>
      </c>
      <c r="O14" s="49">
        <f t="shared" si="1"/>
        <v>54</v>
      </c>
      <c r="P14" s="52">
        <f>volume!P14</f>
        <v>18</v>
      </c>
      <c r="Q14" s="53">
        <f>volume!Q14</f>
        <v>6</v>
      </c>
      <c r="R14" s="53">
        <f>volume!R14</f>
        <v>0</v>
      </c>
      <c r="S14" s="53">
        <f>volume!S14</f>
        <v>0</v>
      </c>
      <c r="T14" s="53">
        <f>volume!T14</f>
        <v>0</v>
      </c>
      <c r="U14" s="54">
        <f>volume!U14</f>
        <v>0</v>
      </c>
      <c r="V14" s="49">
        <f t="shared" si="2"/>
        <v>24</v>
      </c>
      <c r="W14" s="52">
        <f>volume!W14</f>
        <v>0</v>
      </c>
      <c r="X14" s="53">
        <f>volume!X14</f>
        <v>0</v>
      </c>
      <c r="Y14" s="53">
        <f>volume!Y14</f>
        <v>0</v>
      </c>
      <c r="Z14" s="53">
        <f>volume!Z14</f>
        <v>0</v>
      </c>
      <c r="AA14" s="53">
        <f>volume!AA14</f>
        <v>0</v>
      </c>
      <c r="AB14" s="54">
        <f>volume!AB14</f>
        <v>0</v>
      </c>
      <c r="AC14" s="49">
        <f t="shared" si="3"/>
        <v>0</v>
      </c>
      <c r="AD14" s="52">
        <f>volume!AD14</f>
        <v>41</v>
      </c>
      <c r="AE14" s="53">
        <f>volume!AE14</f>
        <v>16</v>
      </c>
      <c r="AF14" s="53">
        <f>volume!AF14</f>
        <v>0</v>
      </c>
      <c r="AG14" s="53">
        <f>volume!AG14</f>
        <v>0</v>
      </c>
      <c r="AH14" s="53">
        <f>volume!AH14</f>
        <v>0</v>
      </c>
      <c r="AI14" s="54">
        <f>volume!AI14</f>
        <v>0</v>
      </c>
      <c r="AJ14" s="49">
        <f t="shared" si="4"/>
        <v>57</v>
      </c>
      <c r="AK14" s="52">
        <f>volume!AK14</f>
        <v>135</v>
      </c>
      <c r="AL14" s="53">
        <f>volume!AL14</f>
        <v>48</v>
      </c>
      <c r="AM14" s="53">
        <f>volume!AM14</f>
        <v>1</v>
      </c>
      <c r="AN14" s="53">
        <f>volume!AN14</f>
        <v>0</v>
      </c>
      <c r="AO14" s="53">
        <f>volume!AO14</f>
        <v>6</v>
      </c>
      <c r="AP14" s="54">
        <f>volume!AP14</f>
        <v>0</v>
      </c>
      <c r="AQ14" s="49">
        <f t="shared" si="5"/>
        <v>190</v>
      </c>
      <c r="AR14" s="52">
        <f>volume!AR14</f>
        <v>30</v>
      </c>
      <c r="AS14" s="53">
        <f>volume!AS14</f>
        <v>9</v>
      </c>
      <c r="AT14" s="53">
        <f>volume!AT14</f>
        <v>0</v>
      </c>
      <c r="AU14" s="53">
        <f>volume!AU14</f>
        <v>0</v>
      </c>
      <c r="AV14" s="53">
        <f>volume!AV14</f>
        <v>1</v>
      </c>
      <c r="AW14" s="54">
        <f>volume!AW14</f>
        <v>0</v>
      </c>
      <c r="AX14" s="49">
        <f t="shared" si="6"/>
        <v>40</v>
      </c>
      <c r="AY14" s="52">
        <f>volume!AY14</f>
        <v>44</v>
      </c>
      <c r="AZ14" s="53">
        <f>volume!AZ14</f>
        <v>15</v>
      </c>
      <c r="BA14" s="53">
        <f>volume!BA14</f>
        <v>0</v>
      </c>
      <c r="BB14" s="53">
        <f>volume!BB14</f>
        <v>0</v>
      </c>
      <c r="BC14" s="53">
        <f>volume!BC14</f>
        <v>1</v>
      </c>
      <c r="BD14" s="54">
        <f>volume!BD14</f>
        <v>0</v>
      </c>
      <c r="BE14" s="49">
        <f t="shared" si="7"/>
        <v>60</v>
      </c>
      <c r="BF14" s="52">
        <f>volume!BF14</f>
        <v>6</v>
      </c>
      <c r="BG14" s="53">
        <f>volume!BG14</f>
        <v>2</v>
      </c>
      <c r="BH14" s="53">
        <f>volume!BH14</f>
        <v>0</v>
      </c>
      <c r="BI14" s="53">
        <f>volume!BI14</f>
        <v>0</v>
      </c>
      <c r="BJ14" s="53">
        <f>volume!BJ14</f>
        <v>0</v>
      </c>
      <c r="BK14" s="54">
        <f>volume!BK14</f>
        <v>0</v>
      </c>
      <c r="BL14" s="49">
        <f t="shared" si="8"/>
        <v>8</v>
      </c>
      <c r="BM14" s="52">
        <f>volume!BM14</f>
        <v>58</v>
      </c>
      <c r="BN14" s="53">
        <f>volume!BN14</f>
        <v>12</v>
      </c>
      <c r="BO14" s="53">
        <f>volume!BO14</f>
        <v>0</v>
      </c>
      <c r="BP14" s="53">
        <f>volume!BP14</f>
        <v>0</v>
      </c>
      <c r="BQ14" s="53">
        <f>volume!BQ14</f>
        <v>1</v>
      </c>
      <c r="BR14" s="54">
        <f>volume!BR14</f>
        <v>0</v>
      </c>
      <c r="BS14" s="49">
        <f t="shared" si="9"/>
        <v>71</v>
      </c>
      <c r="BT14" s="52">
        <f>volume!BT14</f>
        <v>36</v>
      </c>
      <c r="BU14" s="53">
        <f>volume!BU14</f>
        <v>10</v>
      </c>
      <c r="BV14" s="53">
        <f>volume!BV14</f>
        <v>0</v>
      </c>
      <c r="BW14" s="53">
        <f>volume!BW14</f>
        <v>0</v>
      </c>
      <c r="BX14" s="53">
        <f>volume!BX14</f>
        <v>0</v>
      </c>
      <c r="BY14" s="54">
        <f>volume!BY14</f>
        <v>0</v>
      </c>
      <c r="BZ14" s="49">
        <f t="shared" si="10"/>
        <v>46</v>
      </c>
      <c r="CA14" s="52">
        <f>volume!CA14</f>
        <v>0</v>
      </c>
      <c r="CB14" s="53">
        <f>volume!CB14</f>
        <v>0</v>
      </c>
      <c r="CC14" s="53">
        <f>volume!CC14</f>
        <v>0</v>
      </c>
      <c r="CD14" s="53">
        <f>volume!CD14</f>
        <v>0</v>
      </c>
      <c r="CE14" s="53">
        <f>volume!CE14</f>
        <v>0</v>
      </c>
      <c r="CF14" s="54">
        <f>volume!CF14</f>
        <v>0</v>
      </c>
      <c r="CG14" s="49">
        <f t="shared" si="11"/>
        <v>0</v>
      </c>
      <c r="CH14" s="52">
        <f>volume!CH14</f>
        <v>42</v>
      </c>
      <c r="CI14" s="53">
        <f>volume!CI14</f>
        <v>5</v>
      </c>
      <c r="CJ14" s="53">
        <f>volume!CJ14</f>
        <v>0</v>
      </c>
      <c r="CK14" s="53">
        <f>volume!CK14</f>
        <v>0</v>
      </c>
      <c r="CL14" s="53">
        <f>volume!CL14</f>
        <v>1</v>
      </c>
      <c r="CM14" s="54">
        <f>volume!CM14</f>
        <v>0</v>
      </c>
      <c r="CN14" s="49">
        <f t="shared" si="12"/>
        <v>48</v>
      </c>
      <c r="CO14" s="52">
        <f>volume!CO14</f>
        <v>110</v>
      </c>
      <c r="CP14" s="53">
        <f>volume!CP14</f>
        <v>22</v>
      </c>
      <c r="CQ14" s="53">
        <f>volume!CQ14</f>
        <v>2</v>
      </c>
      <c r="CR14" s="53">
        <f>volume!CR14</f>
        <v>0</v>
      </c>
      <c r="CS14" s="53">
        <f>volume!CS14</f>
        <v>1</v>
      </c>
      <c r="CT14" s="54">
        <f>volume!CT14</f>
        <v>0</v>
      </c>
      <c r="CU14" s="49">
        <f t="shared" si="13"/>
        <v>135</v>
      </c>
      <c r="CV14" s="52">
        <f>volume!CV14</f>
        <v>0</v>
      </c>
      <c r="CW14" s="53">
        <f>volume!CW14</f>
        <v>0</v>
      </c>
      <c r="CX14" s="53">
        <f>volume!CX14</f>
        <v>0</v>
      </c>
      <c r="CY14" s="53">
        <f>volume!CY14</f>
        <v>0</v>
      </c>
      <c r="CZ14" s="53">
        <f>volume!CZ14</f>
        <v>0</v>
      </c>
      <c r="DA14" s="54">
        <f>volume!DA14</f>
        <v>0</v>
      </c>
      <c r="DB14" s="49">
        <f t="shared" si="14"/>
        <v>0</v>
      </c>
      <c r="DC14" s="52">
        <f>volume!DC14</f>
        <v>0</v>
      </c>
      <c r="DD14" s="53">
        <f>volume!DD14</f>
        <v>0</v>
      </c>
      <c r="DE14" s="53">
        <f>volume!DE14</f>
        <v>0</v>
      </c>
      <c r="DF14" s="53">
        <f>volume!DF14</f>
        <v>0</v>
      </c>
      <c r="DG14" s="53">
        <f>volume!DG14</f>
        <v>0</v>
      </c>
      <c r="DH14" s="54">
        <f>volume!DH14</f>
        <v>0</v>
      </c>
      <c r="DI14" s="49">
        <f t="shared" si="15"/>
        <v>0</v>
      </c>
      <c r="DJ14" s="52">
        <f>volume!DJ14</f>
        <v>0</v>
      </c>
      <c r="DK14" s="53">
        <f>volume!DK14</f>
        <v>0</v>
      </c>
      <c r="DL14" s="53">
        <f>volume!DL14</f>
        <v>0</v>
      </c>
      <c r="DM14" s="53">
        <f>volume!DM14</f>
        <v>0</v>
      </c>
      <c r="DN14" s="53">
        <f>volume!DN14</f>
        <v>0</v>
      </c>
      <c r="DO14" s="54">
        <f>volume!DO14</f>
        <v>0</v>
      </c>
      <c r="DP14" s="50">
        <f t="shared" si="16"/>
        <v>0</v>
      </c>
      <c r="DQ14" s="52">
        <f>volume!DQ14</f>
        <v>0</v>
      </c>
      <c r="DR14" s="53">
        <f>volume!DR14</f>
        <v>0</v>
      </c>
      <c r="DS14" s="53">
        <f>volume!DS14</f>
        <v>0</v>
      </c>
      <c r="DT14" s="53">
        <f>volume!DT14</f>
        <v>0</v>
      </c>
      <c r="DU14" s="53">
        <f>volume!DU14</f>
        <v>0</v>
      </c>
      <c r="DV14" s="54">
        <f>volume!DV14</f>
        <v>0</v>
      </c>
      <c r="DW14" s="50">
        <f t="shared" si="17"/>
        <v>0</v>
      </c>
      <c r="DX14" s="52">
        <f>volume!DX14</f>
        <v>0</v>
      </c>
      <c r="DY14" s="53">
        <f>volume!DY14</f>
        <v>0</v>
      </c>
      <c r="DZ14" s="53">
        <f>volume!DZ14</f>
        <v>0</v>
      </c>
      <c r="EA14" s="53">
        <f>volume!EA14</f>
        <v>0</v>
      </c>
      <c r="EB14" s="53">
        <f>volume!EB14</f>
        <v>0</v>
      </c>
      <c r="EC14" s="54">
        <f>volume!EC14</f>
        <v>0</v>
      </c>
      <c r="ED14" s="50">
        <f t="shared" si="18"/>
        <v>0</v>
      </c>
      <c r="EE14" s="273"/>
      <c r="EF14" s="273"/>
      <c r="EG14" s="273"/>
      <c r="EH14" s="273"/>
      <c r="EI14" s="273"/>
      <c r="EJ14" s="273"/>
      <c r="EK14" s="273"/>
      <c r="EL14" s="52">
        <f>volume!EL14</f>
        <v>0</v>
      </c>
      <c r="EM14" s="53">
        <f>volume!EM14</f>
        <v>0</v>
      </c>
      <c r="EN14" s="53">
        <f>volume!EN14</f>
        <v>0</v>
      </c>
      <c r="EO14" s="53">
        <f>volume!EO14</f>
        <v>0</v>
      </c>
      <c r="EP14" s="53">
        <f>volume!EP14</f>
        <v>0</v>
      </c>
      <c r="EQ14" s="54">
        <f>volume!EQ14</f>
        <v>0</v>
      </c>
      <c r="ER14" s="50">
        <f t="shared" si="19"/>
        <v>0</v>
      </c>
      <c r="ES14" s="52">
        <f>volume!ES14</f>
        <v>0</v>
      </c>
      <c r="ET14" s="53">
        <f>volume!ET14</f>
        <v>0</v>
      </c>
      <c r="EU14" s="53">
        <f>volume!EU14</f>
        <v>0</v>
      </c>
      <c r="EV14" s="53">
        <f>volume!EV14</f>
        <v>0</v>
      </c>
      <c r="EW14" s="53">
        <f>volume!EW14</f>
        <v>0</v>
      </c>
      <c r="EX14" s="54">
        <f>volume!EX14</f>
        <v>0</v>
      </c>
      <c r="EY14" s="50">
        <f t="shared" si="20"/>
        <v>0</v>
      </c>
      <c r="EZ14" s="52">
        <f>volume!EZ14</f>
        <v>0</v>
      </c>
      <c r="FA14" s="53">
        <f>volume!FA14</f>
        <v>0</v>
      </c>
      <c r="FB14" s="53">
        <f>volume!FB14</f>
        <v>0</v>
      </c>
      <c r="FC14" s="53">
        <f>volume!FC14</f>
        <v>0</v>
      </c>
      <c r="FD14" s="53">
        <f>volume!FD14</f>
        <v>0</v>
      </c>
      <c r="FE14" s="54">
        <f>volume!FE14</f>
        <v>0</v>
      </c>
      <c r="FF14" s="50">
        <f t="shared" si="21"/>
        <v>0</v>
      </c>
      <c r="FG14" s="273"/>
      <c r="FH14" s="273"/>
      <c r="FI14" s="273"/>
      <c r="FJ14" s="273"/>
      <c r="FK14" s="273"/>
      <c r="FL14" s="273"/>
      <c r="FM14" s="273"/>
      <c r="FN14" s="52">
        <f>volume!FN14</f>
        <v>0</v>
      </c>
      <c r="FO14" s="53">
        <f>volume!FO14</f>
        <v>0</v>
      </c>
      <c r="FP14" s="53">
        <f>volume!FP14</f>
        <v>0</v>
      </c>
      <c r="FQ14" s="53">
        <f>volume!FQ14</f>
        <v>0</v>
      </c>
      <c r="FR14" s="53">
        <f>volume!FR14</f>
        <v>0</v>
      </c>
      <c r="FS14" s="54">
        <f>volume!FS14</f>
        <v>0</v>
      </c>
      <c r="FT14" s="50">
        <f t="shared" si="22"/>
        <v>0</v>
      </c>
      <c r="FU14" s="52">
        <f>volume!FU14</f>
        <v>0</v>
      </c>
      <c r="FV14" s="53">
        <f>volume!FV14</f>
        <v>0</v>
      </c>
      <c r="FW14" s="53">
        <f>volume!FW14</f>
        <v>0</v>
      </c>
      <c r="FX14" s="53">
        <f>volume!FX14</f>
        <v>0</v>
      </c>
      <c r="FY14" s="53">
        <f>volume!FY14</f>
        <v>0</v>
      </c>
      <c r="FZ14" s="54">
        <f>volume!FZ14</f>
        <v>0</v>
      </c>
      <c r="GA14" s="50">
        <f t="shared" si="23"/>
        <v>0</v>
      </c>
      <c r="GB14" s="52">
        <f>volume!GB14</f>
        <v>0</v>
      </c>
      <c r="GC14" s="53">
        <f>volume!GC14</f>
        <v>0</v>
      </c>
      <c r="GD14" s="53">
        <f>volume!GD14</f>
        <v>0</v>
      </c>
      <c r="GE14" s="53">
        <f>volume!GE14</f>
        <v>0</v>
      </c>
      <c r="GF14" s="53">
        <f>volume!GF14</f>
        <v>0</v>
      </c>
      <c r="GG14" s="54">
        <f>volume!GG14</f>
        <v>0</v>
      </c>
      <c r="GH14" s="50">
        <f t="shared" si="24"/>
        <v>0</v>
      </c>
      <c r="GI14" s="273"/>
      <c r="GJ14" s="273"/>
      <c r="GK14" s="273"/>
      <c r="GL14" s="273"/>
      <c r="GM14" s="273"/>
      <c r="GN14" s="273"/>
      <c r="GO14" s="273"/>
      <c r="GP14" s="52">
        <f>volume!GP14</f>
        <v>0</v>
      </c>
      <c r="GQ14" s="53">
        <f>volume!GQ14</f>
        <v>0</v>
      </c>
      <c r="GR14" s="53">
        <f>volume!GR14</f>
        <v>0</v>
      </c>
      <c r="GS14" s="53">
        <f>volume!GS14</f>
        <v>0</v>
      </c>
      <c r="GT14" s="53">
        <f>volume!GT14</f>
        <v>0</v>
      </c>
      <c r="GU14" s="54">
        <f>volume!GU14</f>
        <v>0</v>
      </c>
      <c r="GV14" s="50">
        <f t="shared" si="25"/>
        <v>0</v>
      </c>
      <c r="GW14" s="52">
        <f>volume!GW14</f>
        <v>0</v>
      </c>
      <c r="GX14" s="53">
        <f>volume!GX14</f>
        <v>0</v>
      </c>
      <c r="GY14" s="53">
        <f>volume!GY14</f>
        <v>0</v>
      </c>
      <c r="GZ14" s="53">
        <f>volume!GZ14</f>
        <v>0</v>
      </c>
      <c r="HA14" s="53">
        <f>volume!HA14</f>
        <v>0</v>
      </c>
      <c r="HB14" s="54">
        <f>volume!HB14</f>
        <v>0</v>
      </c>
      <c r="HC14" s="50">
        <f t="shared" si="26"/>
        <v>0</v>
      </c>
      <c r="HD14" s="52">
        <f>volume!HD14</f>
        <v>0</v>
      </c>
      <c r="HE14" s="53">
        <f>volume!HE14</f>
        <v>0</v>
      </c>
      <c r="HF14" s="53">
        <f>volume!HF14</f>
        <v>0</v>
      </c>
      <c r="HG14" s="53">
        <f>volume!HG14</f>
        <v>0</v>
      </c>
      <c r="HH14" s="53">
        <f>volume!HH14</f>
        <v>0</v>
      </c>
      <c r="HI14" s="54">
        <f>volume!HI14</f>
        <v>0</v>
      </c>
      <c r="HJ14" s="50">
        <f t="shared" si="27"/>
        <v>0</v>
      </c>
    </row>
    <row r="15" spans="1:218" ht="21.75" customHeight="1" x14ac:dyDescent="0.6">
      <c r="A15" s="44" t="s">
        <v>70</v>
      </c>
      <c r="B15" s="45">
        <f>volume!B15</f>
        <v>34</v>
      </c>
      <c r="C15" s="46">
        <f>volume!C15</f>
        <v>7</v>
      </c>
      <c r="D15" s="46">
        <f>volume!D15</f>
        <v>0</v>
      </c>
      <c r="E15" s="46">
        <f>volume!E15</f>
        <v>0</v>
      </c>
      <c r="F15" s="46">
        <f>volume!F15</f>
        <v>0</v>
      </c>
      <c r="G15" s="47">
        <f>volume!G15</f>
        <v>3</v>
      </c>
      <c r="H15" s="48">
        <f t="shared" si="0"/>
        <v>44</v>
      </c>
      <c r="I15" s="45">
        <f>volume!I15</f>
        <v>38</v>
      </c>
      <c r="J15" s="46">
        <f>volume!J15</f>
        <v>5</v>
      </c>
      <c r="K15" s="46">
        <f>volume!K15</f>
        <v>0</v>
      </c>
      <c r="L15" s="46">
        <f>volume!L15</f>
        <v>0</v>
      </c>
      <c r="M15" s="46">
        <f>volume!M15</f>
        <v>0</v>
      </c>
      <c r="N15" s="47">
        <f>volume!N15</f>
        <v>0</v>
      </c>
      <c r="O15" s="49">
        <f t="shared" si="1"/>
        <v>43</v>
      </c>
      <c r="P15" s="45">
        <f>volume!P15</f>
        <v>27</v>
      </c>
      <c r="Q15" s="46">
        <f>volume!Q15</f>
        <v>12</v>
      </c>
      <c r="R15" s="46">
        <f>volume!R15</f>
        <v>0</v>
      </c>
      <c r="S15" s="46">
        <f>volume!S15</f>
        <v>0</v>
      </c>
      <c r="T15" s="46">
        <f>volume!T15</f>
        <v>0</v>
      </c>
      <c r="U15" s="47">
        <f>volume!U15</f>
        <v>0</v>
      </c>
      <c r="V15" s="49">
        <f t="shared" si="2"/>
        <v>39</v>
      </c>
      <c r="W15" s="45">
        <f>volume!W15</f>
        <v>0</v>
      </c>
      <c r="X15" s="46">
        <f>volume!X15</f>
        <v>0</v>
      </c>
      <c r="Y15" s="46">
        <f>volume!Y15</f>
        <v>0</v>
      </c>
      <c r="Z15" s="46">
        <f>volume!Z15</f>
        <v>0</v>
      </c>
      <c r="AA15" s="46">
        <f>volume!AA15</f>
        <v>0</v>
      </c>
      <c r="AB15" s="47">
        <f>volume!AB15</f>
        <v>0</v>
      </c>
      <c r="AC15" s="49">
        <f t="shared" si="3"/>
        <v>0</v>
      </c>
      <c r="AD15" s="45">
        <f>volume!AD15</f>
        <v>44</v>
      </c>
      <c r="AE15" s="46">
        <f>volume!AE15</f>
        <v>18</v>
      </c>
      <c r="AF15" s="46">
        <f>volume!AF15</f>
        <v>0</v>
      </c>
      <c r="AG15" s="46">
        <f>volume!AG15</f>
        <v>0</v>
      </c>
      <c r="AH15" s="46">
        <f>volume!AH15</f>
        <v>0</v>
      </c>
      <c r="AI15" s="47">
        <f>volume!AI15</f>
        <v>0</v>
      </c>
      <c r="AJ15" s="49">
        <f t="shared" si="4"/>
        <v>62</v>
      </c>
      <c r="AK15" s="45">
        <f>volume!AK15</f>
        <v>122</v>
      </c>
      <c r="AL15" s="46">
        <f>volume!AL15</f>
        <v>36</v>
      </c>
      <c r="AM15" s="46">
        <f>volume!AM15</f>
        <v>1</v>
      </c>
      <c r="AN15" s="46">
        <f>volume!AN15</f>
        <v>0</v>
      </c>
      <c r="AO15" s="46">
        <f>volume!AO15</f>
        <v>7</v>
      </c>
      <c r="AP15" s="47">
        <f>volume!AP15</f>
        <v>0</v>
      </c>
      <c r="AQ15" s="49">
        <f t="shared" si="5"/>
        <v>166</v>
      </c>
      <c r="AR15" s="45">
        <f>volume!AR15</f>
        <v>24</v>
      </c>
      <c r="AS15" s="46">
        <f>volume!AS15</f>
        <v>8</v>
      </c>
      <c r="AT15" s="46">
        <f>volume!AT15</f>
        <v>0</v>
      </c>
      <c r="AU15" s="46">
        <f>volume!AU15</f>
        <v>0</v>
      </c>
      <c r="AV15" s="46">
        <f>volume!AV15</f>
        <v>0</v>
      </c>
      <c r="AW15" s="47">
        <f>volume!AW15</f>
        <v>0</v>
      </c>
      <c r="AX15" s="49">
        <f t="shared" si="6"/>
        <v>32</v>
      </c>
      <c r="AY15" s="45">
        <f>volume!AY15</f>
        <v>47</v>
      </c>
      <c r="AZ15" s="46">
        <f>volume!AZ15</f>
        <v>24</v>
      </c>
      <c r="BA15" s="46">
        <f>volume!BA15</f>
        <v>0</v>
      </c>
      <c r="BB15" s="46">
        <f>volume!BB15</f>
        <v>0</v>
      </c>
      <c r="BC15" s="46">
        <f>volume!BC15</f>
        <v>0</v>
      </c>
      <c r="BD15" s="47">
        <f>volume!BD15</f>
        <v>2</v>
      </c>
      <c r="BE15" s="49">
        <f t="shared" si="7"/>
        <v>73</v>
      </c>
      <c r="BF15" s="45">
        <f>volume!BF15</f>
        <v>4</v>
      </c>
      <c r="BG15" s="46">
        <f>volume!BG15</f>
        <v>0</v>
      </c>
      <c r="BH15" s="46">
        <f>volume!BH15</f>
        <v>0</v>
      </c>
      <c r="BI15" s="46">
        <f>volume!BI15</f>
        <v>0</v>
      </c>
      <c r="BJ15" s="46">
        <f>volume!BJ15</f>
        <v>0</v>
      </c>
      <c r="BK15" s="47">
        <f>volume!BK15</f>
        <v>0</v>
      </c>
      <c r="BL15" s="49">
        <f t="shared" si="8"/>
        <v>4</v>
      </c>
      <c r="BM15" s="45">
        <f>volume!BM15</f>
        <v>58</v>
      </c>
      <c r="BN15" s="46">
        <f>volume!BN15</f>
        <v>14</v>
      </c>
      <c r="BO15" s="46">
        <f>volume!BO15</f>
        <v>0</v>
      </c>
      <c r="BP15" s="46">
        <f>volume!BP15</f>
        <v>0</v>
      </c>
      <c r="BQ15" s="46">
        <f>volume!BQ15</f>
        <v>0</v>
      </c>
      <c r="BR15" s="47">
        <f>volume!BR15</f>
        <v>0</v>
      </c>
      <c r="BS15" s="49">
        <f t="shared" si="9"/>
        <v>72</v>
      </c>
      <c r="BT15" s="45">
        <f>volume!BT15</f>
        <v>50</v>
      </c>
      <c r="BU15" s="46">
        <f>volume!BU15</f>
        <v>13</v>
      </c>
      <c r="BV15" s="46">
        <f>volume!BV15</f>
        <v>0</v>
      </c>
      <c r="BW15" s="46">
        <f>volume!BW15</f>
        <v>0</v>
      </c>
      <c r="BX15" s="46">
        <f>volume!BX15</f>
        <v>0</v>
      </c>
      <c r="BY15" s="47">
        <f>volume!BY15</f>
        <v>0</v>
      </c>
      <c r="BZ15" s="49">
        <f t="shared" si="10"/>
        <v>63</v>
      </c>
      <c r="CA15" s="45">
        <f>volume!CA15</f>
        <v>0</v>
      </c>
      <c r="CB15" s="46">
        <f>volume!CB15</f>
        <v>0</v>
      </c>
      <c r="CC15" s="46">
        <f>volume!CC15</f>
        <v>0</v>
      </c>
      <c r="CD15" s="46">
        <f>volume!CD15</f>
        <v>0</v>
      </c>
      <c r="CE15" s="46">
        <f>volume!CE15</f>
        <v>0</v>
      </c>
      <c r="CF15" s="47">
        <f>volume!CF15</f>
        <v>0</v>
      </c>
      <c r="CG15" s="49">
        <f t="shared" si="11"/>
        <v>0</v>
      </c>
      <c r="CH15" s="45">
        <f>volume!CH15</f>
        <v>35</v>
      </c>
      <c r="CI15" s="46">
        <f>volume!CI15</f>
        <v>9</v>
      </c>
      <c r="CJ15" s="46">
        <f>volume!CJ15</f>
        <v>0</v>
      </c>
      <c r="CK15" s="46">
        <f>volume!CK15</f>
        <v>0</v>
      </c>
      <c r="CL15" s="46">
        <f>volume!CL15</f>
        <v>2</v>
      </c>
      <c r="CM15" s="47">
        <f>volume!CM15</f>
        <v>0</v>
      </c>
      <c r="CN15" s="49">
        <f t="shared" si="12"/>
        <v>46</v>
      </c>
      <c r="CO15" s="45">
        <f>volume!CO15</f>
        <v>112</v>
      </c>
      <c r="CP15" s="46">
        <f>volume!CP15</f>
        <v>25</v>
      </c>
      <c r="CQ15" s="46">
        <f>volume!CQ15</f>
        <v>1</v>
      </c>
      <c r="CR15" s="46">
        <f>volume!CR15</f>
        <v>0</v>
      </c>
      <c r="CS15" s="46">
        <f>volume!CS15</f>
        <v>1</v>
      </c>
      <c r="CT15" s="47">
        <f>volume!CT15</f>
        <v>1</v>
      </c>
      <c r="CU15" s="49">
        <f t="shared" si="13"/>
        <v>140</v>
      </c>
      <c r="CV15" s="45">
        <f>volume!CV15</f>
        <v>0</v>
      </c>
      <c r="CW15" s="46">
        <f>volume!CW15</f>
        <v>0</v>
      </c>
      <c r="CX15" s="46">
        <f>volume!CX15</f>
        <v>0</v>
      </c>
      <c r="CY15" s="46">
        <f>volume!CY15</f>
        <v>0</v>
      </c>
      <c r="CZ15" s="46">
        <f>volume!CZ15</f>
        <v>0</v>
      </c>
      <c r="DA15" s="47">
        <f>volume!DA15</f>
        <v>0</v>
      </c>
      <c r="DB15" s="49">
        <f t="shared" si="14"/>
        <v>0</v>
      </c>
      <c r="DC15" s="45">
        <f>volume!DC15</f>
        <v>0</v>
      </c>
      <c r="DD15" s="46">
        <f>volume!DD15</f>
        <v>0</v>
      </c>
      <c r="DE15" s="46">
        <f>volume!DE15</f>
        <v>0</v>
      </c>
      <c r="DF15" s="46">
        <f>volume!DF15</f>
        <v>0</v>
      </c>
      <c r="DG15" s="46">
        <f>volume!DG15</f>
        <v>0</v>
      </c>
      <c r="DH15" s="47">
        <f>volume!DH15</f>
        <v>0</v>
      </c>
      <c r="DI15" s="49">
        <f t="shared" si="15"/>
        <v>0</v>
      </c>
      <c r="DJ15" s="45">
        <f>volume!DJ15</f>
        <v>0</v>
      </c>
      <c r="DK15" s="46">
        <f>volume!DK15</f>
        <v>0</v>
      </c>
      <c r="DL15" s="46">
        <f>volume!DL15</f>
        <v>0</v>
      </c>
      <c r="DM15" s="46">
        <f>volume!DM15</f>
        <v>0</v>
      </c>
      <c r="DN15" s="46">
        <f>volume!DN15</f>
        <v>0</v>
      </c>
      <c r="DO15" s="47">
        <f>volume!DO15</f>
        <v>0</v>
      </c>
      <c r="DP15" s="50">
        <f t="shared" si="16"/>
        <v>0</v>
      </c>
      <c r="DQ15" s="45">
        <f>volume!DQ15</f>
        <v>0</v>
      </c>
      <c r="DR15" s="46">
        <f>volume!DR15</f>
        <v>0</v>
      </c>
      <c r="DS15" s="46">
        <f>volume!DS15</f>
        <v>0</v>
      </c>
      <c r="DT15" s="46">
        <f>volume!DT15</f>
        <v>0</v>
      </c>
      <c r="DU15" s="46">
        <f>volume!DU15</f>
        <v>0</v>
      </c>
      <c r="DV15" s="47">
        <f>volume!DV15</f>
        <v>0</v>
      </c>
      <c r="DW15" s="50">
        <f t="shared" si="17"/>
        <v>0</v>
      </c>
      <c r="DX15" s="45">
        <f>volume!DX15</f>
        <v>0</v>
      </c>
      <c r="DY15" s="46">
        <f>volume!DY15</f>
        <v>0</v>
      </c>
      <c r="DZ15" s="46">
        <f>volume!DZ15</f>
        <v>0</v>
      </c>
      <c r="EA15" s="46">
        <f>volume!EA15</f>
        <v>0</v>
      </c>
      <c r="EB15" s="46">
        <f>volume!EB15</f>
        <v>0</v>
      </c>
      <c r="EC15" s="47">
        <f>volume!EC15</f>
        <v>0</v>
      </c>
      <c r="ED15" s="50">
        <f t="shared" si="18"/>
        <v>0</v>
      </c>
      <c r="EE15" s="272"/>
      <c r="EF15" s="272"/>
      <c r="EG15" s="272"/>
      <c r="EH15" s="272"/>
      <c r="EI15" s="272"/>
      <c r="EJ15" s="272"/>
      <c r="EK15" s="272"/>
      <c r="EL15" s="45">
        <f>volume!EL15</f>
        <v>0</v>
      </c>
      <c r="EM15" s="46">
        <f>volume!EM15</f>
        <v>0</v>
      </c>
      <c r="EN15" s="46">
        <f>volume!EN15</f>
        <v>0</v>
      </c>
      <c r="EO15" s="46">
        <f>volume!EO15</f>
        <v>0</v>
      </c>
      <c r="EP15" s="46">
        <f>volume!EP15</f>
        <v>0</v>
      </c>
      <c r="EQ15" s="47">
        <f>volume!EQ15</f>
        <v>0</v>
      </c>
      <c r="ER15" s="50">
        <f t="shared" si="19"/>
        <v>0</v>
      </c>
      <c r="ES15" s="45">
        <f>volume!ES15</f>
        <v>0</v>
      </c>
      <c r="ET15" s="46">
        <f>volume!ET15</f>
        <v>0</v>
      </c>
      <c r="EU15" s="46">
        <f>volume!EU15</f>
        <v>0</v>
      </c>
      <c r="EV15" s="46">
        <f>volume!EV15</f>
        <v>0</v>
      </c>
      <c r="EW15" s="46">
        <f>volume!EW15</f>
        <v>0</v>
      </c>
      <c r="EX15" s="47">
        <f>volume!EX15</f>
        <v>0</v>
      </c>
      <c r="EY15" s="50">
        <f t="shared" si="20"/>
        <v>0</v>
      </c>
      <c r="EZ15" s="45">
        <f>volume!EZ15</f>
        <v>0</v>
      </c>
      <c r="FA15" s="46">
        <f>volume!FA15</f>
        <v>0</v>
      </c>
      <c r="FB15" s="46">
        <f>volume!FB15</f>
        <v>0</v>
      </c>
      <c r="FC15" s="46">
        <f>volume!FC15</f>
        <v>0</v>
      </c>
      <c r="FD15" s="46">
        <f>volume!FD15</f>
        <v>0</v>
      </c>
      <c r="FE15" s="47">
        <f>volume!FE15</f>
        <v>0</v>
      </c>
      <c r="FF15" s="50">
        <f t="shared" si="21"/>
        <v>0</v>
      </c>
      <c r="FG15" s="272"/>
      <c r="FH15" s="272"/>
      <c r="FI15" s="272"/>
      <c r="FJ15" s="272"/>
      <c r="FK15" s="272"/>
      <c r="FL15" s="272"/>
      <c r="FM15" s="272"/>
      <c r="FN15" s="45">
        <f>volume!FN15</f>
        <v>0</v>
      </c>
      <c r="FO15" s="46">
        <f>volume!FO15</f>
        <v>0</v>
      </c>
      <c r="FP15" s="46">
        <f>volume!FP15</f>
        <v>0</v>
      </c>
      <c r="FQ15" s="46">
        <f>volume!FQ15</f>
        <v>0</v>
      </c>
      <c r="FR15" s="46">
        <f>volume!FR15</f>
        <v>0</v>
      </c>
      <c r="FS15" s="47">
        <f>volume!FS15</f>
        <v>0</v>
      </c>
      <c r="FT15" s="50">
        <f t="shared" si="22"/>
        <v>0</v>
      </c>
      <c r="FU15" s="45">
        <f>volume!FU15</f>
        <v>0</v>
      </c>
      <c r="FV15" s="46">
        <f>volume!FV15</f>
        <v>0</v>
      </c>
      <c r="FW15" s="46">
        <f>volume!FW15</f>
        <v>0</v>
      </c>
      <c r="FX15" s="46">
        <f>volume!FX15</f>
        <v>0</v>
      </c>
      <c r="FY15" s="46">
        <f>volume!FY15</f>
        <v>0</v>
      </c>
      <c r="FZ15" s="47">
        <f>volume!FZ15</f>
        <v>0</v>
      </c>
      <c r="GA15" s="50">
        <f t="shared" si="23"/>
        <v>0</v>
      </c>
      <c r="GB15" s="45">
        <f>volume!GB15</f>
        <v>0</v>
      </c>
      <c r="GC15" s="46">
        <f>volume!GC15</f>
        <v>0</v>
      </c>
      <c r="GD15" s="46">
        <f>volume!GD15</f>
        <v>0</v>
      </c>
      <c r="GE15" s="46">
        <f>volume!GE15</f>
        <v>0</v>
      </c>
      <c r="GF15" s="46">
        <f>volume!GF15</f>
        <v>0</v>
      </c>
      <c r="GG15" s="47">
        <f>volume!GG15</f>
        <v>0</v>
      </c>
      <c r="GH15" s="50">
        <f t="shared" si="24"/>
        <v>0</v>
      </c>
      <c r="GI15" s="272"/>
      <c r="GJ15" s="272"/>
      <c r="GK15" s="272"/>
      <c r="GL15" s="272"/>
      <c r="GM15" s="272"/>
      <c r="GN15" s="272"/>
      <c r="GO15" s="272"/>
      <c r="GP15" s="45">
        <f>volume!GP15</f>
        <v>0</v>
      </c>
      <c r="GQ15" s="46">
        <f>volume!GQ15</f>
        <v>0</v>
      </c>
      <c r="GR15" s="46">
        <f>volume!GR15</f>
        <v>0</v>
      </c>
      <c r="GS15" s="46">
        <f>volume!GS15</f>
        <v>0</v>
      </c>
      <c r="GT15" s="46">
        <f>volume!GT15</f>
        <v>0</v>
      </c>
      <c r="GU15" s="47">
        <f>volume!GU15</f>
        <v>0</v>
      </c>
      <c r="GV15" s="50">
        <f t="shared" si="25"/>
        <v>0</v>
      </c>
      <c r="GW15" s="45">
        <f>volume!GW15</f>
        <v>0</v>
      </c>
      <c r="GX15" s="46">
        <f>volume!GX15</f>
        <v>0</v>
      </c>
      <c r="GY15" s="46">
        <f>volume!GY15</f>
        <v>0</v>
      </c>
      <c r="GZ15" s="46">
        <f>volume!GZ15</f>
        <v>0</v>
      </c>
      <c r="HA15" s="46">
        <f>volume!HA15</f>
        <v>0</v>
      </c>
      <c r="HB15" s="47">
        <f>volume!HB15</f>
        <v>0</v>
      </c>
      <c r="HC15" s="50">
        <f t="shared" si="26"/>
        <v>0</v>
      </c>
      <c r="HD15" s="45">
        <f>volume!HD15</f>
        <v>0</v>
      </c>
      <c r="HE15" s="46">
        <f>volume!HE15</f>
        <v>0</v>
      </c>
      <c r="HF15" s="46">
        <f>volume!HF15</f>
        <v>0</v>
      </c>
      <c r="HG15" s="46">
        <f>volume!HG15</f>
        <v>0</v>
      </c>
      <c r="HH15" s="46">
        <f>volume!HH15</f>
        <v>0</v>
      </c>
      <c r="HI15" s="47">
        <f>volume!HI15</f>
        <v>0</v>
      </c>
      <c r="HJ15" s="50">
        <f t="shared" si="27"/>
        <v>0</v>
      </c>
    </row>
    <row r="16" spans="1:218" ht="21.75" customHeight="1" x14ac:dyDescent="0.6">
      <c r="A16" s="51" t="s">
        <v>71</v>
      </c>
      <c r="B16" s="52">
        <f>volume!B16</f>
        <v>26</v>
      </c>
      <c r="C16" s="53">
        <f>volume!C16</f>
        <v>4</v>
      </c>
      <c r="D16" s="53">
        <f>volume!D16</f>
        <v>0</v>
      </c>
      <c r="E16" s="53">
        <f>volume!E16</f>
        <v>0</v>
      </c>
      <c r="F16" s="53">
        <f>volume!F16</f>
        <v>0</v>
      </c>
      <c r="G16" s="54">
        <f>volume!G16</f>
        <v>0</v>
      </c>
      <c r="H16" s="48">
        <f t="shared" si="0"/>
        <v>30</v>
      </c>
      <c r="I16" s="52">
        <f>volume!I16</f>
        <v>53</v>
      </c>
      <c r="J16" s="53">
        <f>volume!J16</f>
        <v>12</v>
      </c>
      <c r="K16" s="53">
        <f>volume!K16</f>
        <v>0</v>
      </c>
      <c r="L16" s="53">
        <f>volume!L16</f>
        <v>0</v>
      </c>
      <c r="M16" s="53">
        <f>volume!M16</f>
        <v>0</v>
      </c>
      <c r="N16" s="54">
        <f>volume!N16</f>
        <v>0</v>
      </c>
      <c r="O16" s="49">
        <f t="shared" si="1"/>
        <v>65</v>
      </c>
      <c r="P16" s="52">
        <f>volume!P16</f>
        <v>30</v>
      </c>
      <c r="Q16" s="53">
        <f>volume!Q16</f>
        <v>8</v>
      </c>
      <c r="R16" s="53">
        <f>volume!R16</f>
        <v>0</v>
      </c>
      <c r="S16" s="53">
        <f>volume!S16</f>
        <v>0</v>
      </c>
      <c r="T16" s="53">
        <f>volume!T16</f>
        <v>0</v>
      </c>
      <c r="U16" s="54">
        <f>volume!U16</f>
        <v>0</v>
      </c>
      <c r="V16" s="49">
        <f t="shared" si="2"/>
        <v>38</v>
      </c>
      <c r="W16" s="52">
        <f>volume!W16</f>
        <v>0</v>
      </c>
      <c r="X16" s="53">
        <f>volume!X16</f>
        <v>0</v>
      </c>
      <c r="Y16" s="53">
        <f>volume!Y16</f>
        <v>0</v>
      </c>
      <c r="Z16" s="53">
        <f>volume!Z16</f>
        <v>0</v>
      </c>
      <c r="AA16" s="53">
        <f>volume!AA16</f>
        <v>0</v>
      </c>
      <c r="AB16" s="54">
        <f>volume!AB16</f>
        <v>0</v>
      </c>
      <c r="AC16" s="49">
        <f t="shared" si="3"/>
        <v>0</v>
      </c>
      <c r="AD16" s="52">
        <f>volume!AD16</f>
        <v>52</v>
      </c>
      <c r="AE16" s="53">
        <f>volume!AE16</f>
        <v>22</v>
      </c>
      <c r="AF16" s="53">
        <f>volume!AF16</f>
        <v>1</v>
      </c>
      <c r="AG16" s="53">
        <f>volume!AG16</f>
        <v>0</v>
      </c>
      <c r="AH16" s="53">
        <f>volume!AH16</f>
        <v>0</v>
      </c>
      <c r="AI16" s="54">
        <f>volume!AI16</f>
        <v>0</v>
      </c>
      <c r="AJ16" s="49">
        <f t="shared" si="4"/>
        <v>75</v>
      </c>
      <c r="AK16" s="52">
        <f>volume!AK16</f>
        <v>119</v>
      </c>
      <c r="AL16" s="53">
        <f>volume!AL16</f>
        <v>52</v>
      </c>
      <c r="AM16" s="53">
        <f>volume!AM16</f>
        <v>0</v>
      </c>
      <c r="AN16" s="53">
        <f>volume!AN16</f>
        <v>0</v>
      </c>
      <c r="AO16" s="53">
        <f>volume!AO16</f>
        <v>5</v>
      </c>
      <c r="AP16" s="54">
        <f>volume!AP16</f>
        <v>0</v>
      </c>
      <c r="AQ16" s="49">
        <f t="shared" si="5"/>
        <v>176</v>
      </c>
      <c r="AR16" s="52">
        <f>volume!AR16</f>
        <v>18</v>
      </c>
      <c r="AS16" s="53">
        <f>volume!AS16</f>
        <v>5</v>
      </c>
      <c r="AT16" s="53">
        <f>volume!AT16</f>
        <v>0</v>
      </c>
      <c r="AU16" s="53">
        <f>volume!AU16</f>
        <v>0</v>
      </c>
      <c r="AV16" s="53">
        <f>volume!AV16</f>
        <v>1</v>
      </c>
      <c r="AW16" s="54">
        <f>volume!AW16</f>
        <v>0</v>
      </c>
      <c r="AX16" s="49">
        <f t="shared" si="6"/>
        <v>24</v>
      </c>
      <c r="AY16" s="52">
        <f>volume!AY16</f>
        <v>41</v>
      </c>
      <c r="AZ16" s="53">
        <f>volume!AZ16</f>
        <v>21</v>
      </c>
      <c r="BA16" s="53">
        <f>volume!BA16</f>
        <v>0</v>
      </c>
      <c r="BB16" s="53">
        <f>volume!BB16</f>
        <v>0</v>
      </c>
      <c r="BC16" s="53">
        <f>volume!BC16</f>
        <v>3</v>
      </c>
      <c r="BD16" s="54">
        <f>volume!BD16</f>
        <v>0</v>
      </c>
      <c r="BE16" s="49">
        <f t="shared" si="7"/>
        <v>65</v>
      </c>
      <c r="BF16" s="52">
        <f>volume!BF16</f>
        <v>3</v>
      </c>
      <c r="BG16" s="53">
        <f>volume!BG16</f>
        <v>0</v>
      </c>
      <c r="BH16" s="53">
        <f>volume!BH16</f>
        <v>0</v>
      </c>
      <c r="BI16" s="53">
        <f>volume!BI16</f>
        <v>0</v>
      </c>
      <c r="BJ16" s="53">
        <f>volume!BJ16</f>
        <v>0</v>
      </c>
      <c r="BK16" s="54">
        <f>volume!BK16</f>
        <v>0</v>
      </c>
      <c r="BL16" s="49">
        <f t="shared" si="8"/>
        <v>3</v>
      </c>
      <c r="BM16" s="52">
        <f>volume!BM16</f>
        <v>63</v>
      </c>
      <c r="BN16" s="53">
        <f>volume!BN16</f>
        <v>10</v>
      </c>
      <c r="BO16" s="53">
        <f>volume!BO16</f>
        <v>0</v>
      </c>
      <c r="BP16" s="53">
        <f>volume!BP16</f>
        <v>0</v>
      </c>
      <c r="BQ16" s="53">
        <f>volume!BQ16</f>
        <v>2</v>
      </c>
      <c r="BR16" s="54">
        <f>volume!BR16</f>
        <v>0</v>
      </c>
      <c r="BS16" s="49">
        <f t="shared" si="9"/>
        <v>75</v>
      </c>
      <c r="BT16" s="52">
        <f>volume!BT16</f>
        <v>72</v>
      </c>
      <c r="BU16" s="53">
        <f>volume!BU16</f>
        <v>9</v>
      </c>
      <c r="BV16" s="53">
        <f>volume!BV16</f>
        <v>0</v>
      </c>
      <c r="BW16" s="53">
        <f>volume!BW16</f>
        <v>0</v>
      </c>
      <c r="BX16" s="53">
        <f>volume!BX16</f>
        <v>0</v>
      </c>
      <c r="BY16" s="54">
        <f>volume!BY16</f>
        <v>0</v>
      </c>
      <c r="BZ16" s="49">
        <f t="shared" si="10"/>
        <v>81</v>
      </c>
      <c r="CA16" s="52">
        <f>volume!CA16</f>
        <v>0</v>
      </c>
      <c r="CB16" s="53">
        <f>volume!CB16</f>
        <v>0</v>
      </c>
      <c r="CC16" s="53">
        <f>volume!CC16</f>
        <v>0</v>
      </c>
      <c r="CD16" s="53">
        <f>volume!CD16</f>
        <v>0</v>
      </c>
      <c r="CE16" s="53">
        <f>volume!CE16</f>
        <v>0</v>
      </c>
      <c r="CF16" s="54">
        <f>volume!CF16</f>
        <v>0</v>
      </c>
      <c r="CG16" s="49">
        <f t="shared" si="11"/>
        <v>0</v>
      </c>
      <c r="CH16" s="52">
        <f>volume!CH16</f>
        <v>20</v>
      </c>
      <c r="CI16" s="53">
        <f>volume!CI16</f>
        <v>6</v>
      </c>
      <c r="CJ16" s="53">
        <f>volume!CJ16</f>
        <v>0</v>
      </c>
      <c r="CK16" s="53">
        <f>volume!CK16</f>
        <v>0</v>
      </c>
      <c r="CL16" s="53">
        <f>volume!CL16</f>
        <v>0</v>
      </c>
      <c r="CM16" s="54">
        <f>volume!CM16</f>
        <v>0</v>
      </c>
      <c r="CN16" s="49">
        <f t="shared" si="12"/>
        <v>26</v>
      </c>
      <c r="CO16" s="52">
        <f>volume!CO16</f>
        <v>108</v>
      </c>
      <c r="CP16" s="53">
        <f>volume!CP16</f>
        <v>18</v>
      </c>
      <c r="CQ16" s="53">
        <f>volume!CQ16</f>
        <v>0</v>
      </c>
      <c r="CR16" s="53">
        <f>volume!CR16</f>
        <v>0</v>
      </c>
      <c r="CS16" s="53">
        <f>volume!CS16</f>
        <v>3</v>
      </c>
      <c r="CT16" s="54">
        <f>volume!CT16</f>
        <v>0</v>
      </c>
      <c r="CU16" s="49">
        <f t="shared" si="13"/>
        <v>129</v>
      </c>
      <c r="CV16" s="52">
        <f>volume!CV16</f>
        <v>0</v>
      </c>
      <c r="CW16" s="53">
        <f>volume!CW16</f>
        <v>0</v>
      </c>
      <c r="CX16" s="53">
        <f>volume!CX16</f>
        <v>0</v>
      </c>
      <c r="CY16" s="53">
        <f>volume!CY16</f>
        <v>0</v>
      </c>
      <c r="CZ16" s="53">
        <f>volume!CZ16</f>
        <v>0</v>
      </c>
      <c r="DA16" s="54">
        <f>volume!DA16</f>
        <v>0</v>
      </c>
      <c r="DB16" s="49">
        <f t="shared" si="14"/>
        <v>0</v>
      </c>
      <c r="DC16" s="52">
        <f>volume!DC16</f>
        <v>0</v>
      </c>
      <c r="DD16" s="53">
        <f>volume!DD16</f>
        <v>0</v>
      </c>
      <c r="DE16" s="53">
        <f>volume!DE16</f>
        <v>0</v>
      </c>
      <c r="DF16" s="53">
        <f>volume!DF16</f>
        <v>0</v>
      </c>
      <c r="DG16" s="53">
        <f>volume!DG16</f>
        <v>0</v>
      </c>
      <c r="DH16" s="54">
        <f>volume!DH16</f>
        <v>0</v>
      </c>
      <c r="DI16" s="49">
        <f t="shared" si="15"/>
        <v>0</v>
      </c>
      <c r="DJ16" s="52">
        <f>volume!DJ16</f>
        <v>0</v>
      </c>
      <c r="DK16" s="53">
        <f>volume!DK16</f>
        <v>0</v>
      </c>
      <c r="DL16" s="53">
        <f>volume!DL16</f>
        <v>0</v>
      </c>
      <c r="DM16" s="53">
        <f>volume!DM16</f>
        <v>0</v>
      </c>
      <c r="DN16" s="53">
        <f>volume!DN16</f>
        <v>0</v>
      </c>
      <c r="DO16" s="54">
        <f>volume!DO16</f>
        <v>0</v>
      </c>
      <c r="DP16" s="50">
        <f t="shared" si="16"/>
        <v>0</v>
      </c>
      <c r="DQ16" s="52">
        <f>volume!DQ16</f>
        <v>0</v>
      </c>
      <c r="DR16" s="53">
        <f>volume!DR16</f>
        <v>0</v>
      </c>
      <c r="DS16" s="53">
        <f>volume!DS16</f>
        <v>0</v>
      </c>
      <c r="DT16" s="53">
        <f>volume!DT16</f>
        <v>0</v>
      </c>
      <c r="DU16" s="53">
        <f>volume!DU16</f>
        <v>0</v>
      </c>
      <c r="DV16" s="54">
        <f>volume!DV16</f>
        <v>0</v>
      </c>
      <c r="DW16" s="50">
        <f t="shared" si="17"/>
        <v>0</v>
      </c>
      <c r="DX16" s="52">
        <f>volume!DX16</f>
        <v>0</v>
      </c>
      <c r="DY16" s="53">
        <f>volume!DY16</f>
        <v>0</v>
      </c>
      <c r="DZ16" s="53">
        <f>volume!DZ16</f>
        <v>0</v>
      </c>
      <c r="EA16" s="53">
        <f>volume!EA16</f>
        <v>0</v>
      </c>
      <c r="EB16" s="53">
        <f>volume!EB16</f>
        <v>0</v>
      </c>
      <c r="EC16" s="54">
        <f>volume!EC16</f>
        <v>0</v>
      </c>
      <c r="ED16" s="50">
        <f t="shared" si="18"/>
        <v>0</v>
      </c>
      <c r="EE16" s="273"/>
      <c r="EF16" s="273"/>
      <c r="EG16" s="273"/>
      <c r="EH16" s="273"/>
      <c r="EI16" s="273"/>
      <c r="EJ16" s="273"/>
      <c r="EK16" s="273"/>
      <c r="EL16" s="52">
        <f>volume!EL16</f>
        <v>0</v>
      </c>
      <c r="EM16" s="53">
        <f>volume!EM16</f>
        <v>0</v>
      </c>
      <c r="EN16" s="53">
        <f>volume!EN16</f>
        <v>0</v>
      </c>
      <c r="EO16" s="53">
        <f>volume!EO16</f>
        <v>0</v>
      </c>
      <c r="EP16" s="53">
        <f>volume!EP16</f>
        <v>0</v>
      </c>
      <c r="EQ16" s="54">
        <f>volume!EQ16</f>
        <v>0</v>
      </c>
      <c r="ER16" s="50">
        <f t="shared" si="19"/>
        <v>0</v>
      </c>
      <c r="ES16" s="52">
        <f>volume!ES16</f>
        <v>0</v>
      </c>
      <c r="ET16" s="53">
        <f>volume!ET16</f>
        <v>0</v>
      </c>
      <c r="EU16" s="53">
        <f>volume!EU16</f>
        <v>0</v>
      </c>
      <c r="EV16" s="53">
        <f>volume!EV16</f>
        <v>0</v>
      </c>
      <c r="EW16" s="53">
        <f>volume!EW16</f>
        <v>0</v>
      </c>
      <c r="EX16" s="54">
        <f>volume!EX16</f>
        <v>0</v>
      </c>
      <c r="EY16" s="50">
        <f t="shared" si="20"/>
        <v>0</v>
      </c>
      <c r="EZ16" s="52">
        <f>volume!EZ16</f>
        <v>0</v>
      </c>
      <c r="FA16" s="53">
        <f>volume!FA16</f>
        <v>0</v>
      </c>
      <c r="FB16" s="53">
        <f>volume!FB16</f>
        <v>0</v>
      </c>
      <c r="FC16" s="53">
        <f>volume!FC16</f>
        <v>0</v>
      </c>
      <c r="FD16" s="53">
        <f>volume!FD16</f>
        <v>0</v>
      </c>
      <c r="FE16" s="54">
        <f>volume!FE16</f>
        <v>0</v>
      </c>
      <c r="FF16" s="50">
        <f t="shared" si="21"/>
        <v>0</v>
      </c>
      <c r="FG16" s="273"/>
      <c r="FH16" s="273"/>
      <c r="FI16" s="273"/>
      <c r="FJ16" s="273"/>
      <c r="FK16" s="273"/>
      <c r="FL16" s="273"/>
      <c r="FM16" s="273"/>
      <c r="FN16" s="52">
        <f>volume!FN16</f>
        <v>0</v>
      </c>
      <c r="FO16" s="53">
        <f>volume!FO16</f>
        <v>0</v>
      </c>
      <c r="FP16" s="53">
        <f>volume!FP16</f>
        <v>0</v>
      </c>
      <c r="FQ16" s="53">
        <f>volume!FQ16</f>
        <v>0</v>
      </c>
      <c r="FR16" s="53">
        <f>volume!FR16</f>
        <v>0</v>
      </c>
      <c r="FS16" s="54">
        <f>volume!FS16</f>
        <v>0</v>
      </c>
      <c r="FT16" s="50">
        <f t="shared" si="22"/>
        <v>0</v>
      </c>
      <c r="FU16" s="52">
        <f>volume!FU16</f>
        <v>0</v>
      </c>
      <c r="FV16" s="53">
        <f>volume!FV16</f>
        <v>0</v>
      </c>
      <c r="FW16" s="53">
        <f>volume!FW16</f>
        <v>0</v>
      </c>
      <c r="FX16" s="53">
        <f>volume!FX16</f>
        <v>0</v>
      </c>
      <c r="FY16" s="53">
        <f>volume!FY16</f>
        <v>0</v>
      </c>
      <c r="FZ16" s="54">
        <f>volume!FZ16</f>
        <v>0</v>
      </c>
      <c r="GA16" s="50">
        <f t="shared" si="23"/>
        <v>0</v>
      </c>
      <c r="GB16" s="52">
        <f>volume!GB16</f>
        <v>0</v>
      </c>
      <c r="GC16" s="53">
        <f>volume!GC16</f>
        <v>0</v>
      </c>
      <c r="GD16" s="53">
        <f>volume!GD16</f>
        <v>0</v>
      </c>
      <c r="GE16" s="53">
        <f>volume!GE16</f>
        <v>0</v>
      </c>
      <c r="GF16" s="53">
        <f>volume!GF16</f>
        <v>0</v>
      </c>
      <c r="GG16" s="54">
        <f>volume!GG16</f>
        <v>0</v>
      </c>
      <c r="GH16" s="50">
        <f t="shared" si="24"/>
        <v>0</v>
      </c>
      <c r="GI16" s="273"/>
      <c r="GJ16" s="273"/>
      <c r="GK16" s="273"/>
      <c r="GL16" s="273"/>
      <c r="GM16" s="273"/>
      <c r="GN16" s="273"/>
      <c r="GO16" s="273"/>
      <c r="GP16" s="52">
        <f>volume!GP16</f>
        <v>0</v>
      </c>
      <c r="GQ16" s="53">
        <f>volume!GQ16</f>
        <v>0</v>
      </c>
      <c r="GR16" s="53">
        <f>volume!GR16</f>
        <v>0</v>
      </c>
      <c r="GS16" s="53">
        <f>volume!GS16</f>
        <v>0</v>
      </c>
      <c r="GT16" s="53">
        <f>volume!GT16</f>
        <v>0</v>
      </c>
      <c r="GU16" s="54">
        <f>volume!GU16</f>
        <v>0</v>
      </c>
      <c r="GV16" s="50">
        <f t="shared" si="25"/>
        <v>0</v>
      </c>
      <c r="GW16" s="52">
        <f>volume!GW16</f>
        <v>0</v>
      </c>
      <c r="GX16" s="53">
        <f>volume!GX16</f>
        <v>0</v>
      </c>
      <c r="GY16" s="53">
        <f>volume!GY16</f>
        <v>0</v>
      </c>
      <c r="GZ16" s="53">
        <f>volume!GZ16</f>
        <v>0</v>
      </c>
      <c r="HA16" s="53">
        <f>volume!HA16</f>
        <v>0</v>
      </c>
      <c r="HB16" s="54">
        <f>volume!HB16</f>
        <v>0</v>
      </c>
      <c r="HC16" s="50">
        <f t="shared" si="26"/>
        <v>0</v>
      </c>
      <c r="HD16" s="52">
        <f>volume!HD16</f>
        <v>0</v>
      </c>
      <c r="HE16" s="53">
        <f>volume!HE16</f>
        <v>0</v>
      </c>
      <c r="HF16" s="53">
        <f>volume!HF16</f>
        <v>0</v>
      </c>
      <c r="HG16" s="53">
        <f>volume!HG16</f>
        <v>0</v>
      </c>
      <c r="HH16" s="53">
        <f>volume!HH16</f>
        <v>0</v>
      </c>
      <c r="HI16" s="54">
        <f>volume!HI16</f>
        <v>0</v>
      </c>
      <c r="HJ16" s="50">
        <f t="shared" si="27"/>
        <v>0</v>
      </c>
    </row>
    <row r="17" spans="1:218" ht="21.75" customHeight="1" x14ac:dyDescent="0.6">
      <c r="A17" s="51" t="s">
        <v>72</v>
      </c>
      <c r="B17" s="52">
        <f>volume!B17</f>
        <v>29</v>
      </c>
      <c r="C17" s="53">
        <f>volume!C17</f>
        <v>8</v>
      </c>
      <c r="D17" s="53">
        <f>volume!D17</f>
        <v>0</v>
      </c>
      <c r="E17" s="53">
        <f>volume!E17</f>
        <v>0</v>
      </c>
      <c r="F17" s="53">
        <f>volume!F17</f>
        <v>1</v>
      </c>
      <c r="G17" s="54">
        <f>volume!G17</f>
        <v>0</v>
      </c>
      <c r="H17" s="48">
        <f t="shared" si="0"/>
        <v>38</v>
      </c>
      <c r="I17" s="52">
        <f>volume!I17</f>
        <v>46</v>
      </c>
      <c r="J17" s="53">
        <f>volume!J17</f>
        <v>7</v>
      </c>
      <c r="K17" s="53">
        <f>volume!K17</f>
        <v>0</v>
      </c>
      <c r="L17" s="53">
        <f>volume!L17</f>
        <v>0</v>
      </c>
      <c r="M17" s="53">
        <f>volume!M17</f>
        <v>0</v>
      </c>
      <c r="N17" s="54">
        <f>volume!N17</f>
        <v>0</v>
      </c>
      <c r="O17" s="49">
        <f t="shared" si="1"/>
        <v>53</v>
      </c>
      <c r="P17" s="52">
        <f>volume!P17</f>
        <v>26</v>
      </c>
      <c r="Q17" s="53">
        <f>volume!Q17</f>
        <v>11</v>
      </c>
      <c r="R17" s="53">
        <f>volume!R17</f>
        <v>0</v>
      </c>
      <c r="S17" s="53">
        <f>volume!S17</f>
        <v>0</v>
      </c>
      <c r="T17" s="53">
        <f>volume!T17</f>
        <v>0</v>
      </c>
      <c r="U17" s="54">
        <f>volume!U17</f>
        <v>0</v>
      </c>
      <c r="V17" s="49">
        <f t="shared" si="2"/>
        <v>37</v>
      </c>
      <c r="W17" s="52">
        <f>volume!W17</f>
        <v>0</v>
      </c>
      <c r="X17" s="53">
        <f>volume!X17</f>
        <v>0</v>
      </c>
      <c r="Y17" s="53">
        <f>volume!Y17</f>
        <v>0</v>
      </c>
      <c r="Z17" s="53">
        <f>volume!Z17</f>
        <v>0</v>
      </c>
      <c r="AA17" s="53">
        <f>volume!AA17</f>
        <v>0</v>
      </c>
      <c r="AB17" s="54">
        <f>volume!AB17</f>
        <v>0</v>
      </c>
      <c r="AC17" s="49">
        <f t="shared" si="3"/>
        <v>0</v>
      </c>
      <c r="AD17" s="52">
        <f>volume!AD17</f>
        <v>49</v>
      </c>
      <c r="AE17" s="53">
        <f>volume!AE17</f>
        <v>19</v>
      </c>
      <c r="AF17" s="53">
        <f>volume!AF17</f>
        <v>0</v>
      </c>
      <c r="AG17" s="53">
        <f>volume!AG17</f>
        <v>0</v>
      </c>
      <c r="AH17" s="53">
        <f>volume!AH17</f>
        <v>0</v>
      </c>
      <c r="AI17" s="54">
        <f>volume!AI17</f>
        <v>0</v>
      </c>
      <c r="AJ17" s="49">
        <f t="shared" si="4"/>
        <v>68</v>
      </c>
      <c r="AK17" s="52">
        <f>volume!AK17</f>
        <v>137</v>
      </c>
      <c r="AL17" s="53">
        <f>volume!AL17</f>
        <v>49</v>
      </c>
      <c r="AM17" s="53">
        <f>volume!AM17</f>
        <v>0</v>
      </c>
      <c r="AN17" s="53">
        <f>volume!AN17</f>
        <v>0</v>
      </c>
      <c r="AO17" s="53">
        <f>volume!AO17</f>
        <v>8</v>
      </c>
      <c r="AP17" s="54">
        <f>volume!AP17</f>
        <v>0</v>
      </c>
      <c r="AQ17" s="49">
        <f t="shared" si="5"/>
        <v>194</v>
      </c>
      <c r="AR17" s="52">
        <f>volume!AR17</f>
        <v>27</v>
      </c>
      <c r="AS17" s="53">
        <f>volume!AS17</f>
        <v>10</v>
      </c>
      <c r="AT17" s="53">
        <f>volume!AT17</f>
        <v>0</v>
      </c>
      <c r="AU17" s="53">
        <f>volume!AU17</f>
        <v>0</v>
      </c>
      <c r="AV17" s="53">
        <f>volume!AV17</f>
        <v>1</v>
      </c>
      <c r="AW17" s="54">
        <f>volume!AW17</f>
        <v>0</v>
      </c>
      <c r="AX17" s="49">
        <f t="shared" si="6"/>
        <v>38</v>
      </c>
      <c r="AY17" s="52">
        <f>volume!AY17</f>
        <v>36</v>
      </c>
      <c r="AZ17" s="53">
        <f>volume!AZ17</f>
        <v>16</v>
      </c>
      <c r="BA17" s="53">
        <f>volume!BA17</f>
        <v>0</v>
      </c>
      <c r="BB17" s="53">
        <f>volume!BB17</f>
        <v>0</v>
      </c>
      <c r="BC17" s="53">
        <f>volume!BC17</f>
        <v>0</v>
      </c>
      <c r="BD17" s="54">
        <f>volume!BD17</f>
        <v>0</v>
      </c>
      <c r="BE17" s="49">
        <f t="shared" si="7"/>
        <v>52</v>
      </c>
      <c r="BF17" s="52">
        <f>volume!BF17</f>
        <v>8</v>
      </c>
      <c r="BG17" s="53">
        <f>volume!BG17</f>
        <v>3</v>
      </c>
      <c r="BH17" s="53">
        <f>volume!BH17</f>
        <v>0</v>
      </c>
      <c r="BI17" s="53">
        <f>volume!BI17</f>
        <v>0</v>
      </c>
      <c r="BJ17" s="53">
        <f>volume!BJ17</f>
        <v>0</v>
      </c>
      <c r="BK17" s="54">
        <f>volume!BK17</f>
        <v>0</v>
      </c>
      <c r="BL17" s="49">
        <f t="shared" si="8"/>
        <v>11</v>
      </c>
      <c r="BM17" s="52">
        <f>volume!BM17</f>
        <v>51</v>
      </c>
      <c r="BN17" s="53">
        <f>volume!BN17</f>
        <v>15</v>
      </c>
      <c r="BO17" s="53">
        <f>volume!BO17</f>
        <v>0</v>
      </c>
      <c r="BP17" s="53">
        <f>volume!BP17</f>
        <v>0</v>
      </c>
      <c r="BQ17" s="53">
        <f>volume!BQ17</f>
        <v>0</v>
      </c>
      <c r="BR17" s="54">
        <f>volume!BR17</f>
        <v>0</v>
      </c>
      <c r="BS17" s="49">
        <f t="shared" si="9"/>
        <v>66</v>
      </c>
      <c r="BT17" s="52">
        <f>volume!BT17</f>
        <v>65</v>
      </c>
      <c r="BU17" s="53">
        <f>volume!BU17</f>
        <v>20</v>
      </c>
      <c r="BV17" s="53">
        <f>volume!BV17</f>
        <v>0</v>
      </c>
      <c r="BW17" s="53">
        <f>volume!BW17</f>
        <v>0</v>
      </c>
      <c r="BX17" s="53">
        <f>volume!BX17</f>
        <v>0</v>
      </c>
      <c r="BY17" s="54">
        <f>volume!BY17</f>
        <v>0</v>
      </c>
      <c r="BZ17" s="49">
        <f t="shared" si="10"/>
        <v>85</v>
      </c>
      <c r="CA17" s="52">
        <f>volume!CA17</f>
        <v>0</v>
      </c>
      <c r="CB17" s="53">
        <f>volume!CB17</f>
        <v>0</v>
      </c>
      <c r="CC17" s="53">
        <f>volume!CC17</f>
        <v>0</v>
      </c>
      <c r="CD17" s="53">
        <f>volume!CD17</f>
        <v>0</v>
      </c>
      <c r="CE17" s="53">
        <f>volume!CE17</f>
        <v>0</v>
      </c>
      <c r="CF17" s="54">
        <f>volume!CF17</f>
        <v>0</v>
      </c>
      <c r="CG17" s="49">
        <f t="shared" si="11"/>
        <v>0</v>
      </c>
      <c r="CH17" s="52">
        <f>volume!CH17</f>
        <v>28</v>
      </c>
      <c r="CI17" s="53">
        <f>volume!CI17</f>
        <v>10</v>
      </c>
      <c r="CJ17" s="53">
        <f>volume!CJ17</f>
        <v>0</v>
      </c>
      <c r="CK17" s="53">
        <f>volume!CK17</f>
        <v>0</v>
      </c>
      <c r="CL17" s="53">
        <f>volume!CL17</f>
        <v>1</v>
      </c>
      <c r="CM17" s="54">
        <f>volume!CM17</f>
        <v>0</v>
      </c>
      <c r="CN17" s="49">
        <f t="shared" si="12"/>
        <v>39</v>
      </c>
      <c r="CO17" s="52">
        <f>volume!CO17</f>
        <v>95</v>
      </c>
      <c r="CP17" s="53">
        <f>volume!CP17</f>
        <v>23</v>
      </c>
      <c r="CQ17" s="53">
        <f>volume!CQ17</f>
        <v>0</v>
      </c>
      <c r="CR17" s="53">
        <f>volume!CR17</f>
        <v>0</v>
      </c>
      <c r="CS17" s="53">
        <f>volume!CS17</f>
        <v>2</v>
      </c>
      <c r="CT17" s="54">
        <f>volume!CT17</f>
        <v>0</v>
      </c>
      <c r="CU17" s="49">
        <f t="shared" si="13"/>
        <v>120</v>
      </c>
      <c r="CV17" s="52">
        <f>volume!CV17</f>
        <v>0</v>
      </c>
      <c r="CW17" s="53">
        <f>volume!CW17</f>
        <v>0</v>
      </c>
      <c r="CX17" s="53">
        <f>volume!CX17</f>
        <v>0</v>
      </c>
      <c r="CY17" s="53">
        <f>volume!CY17</f>
        <v>0</v>
      </c>
      <c r="CZ17" s="53">
        <f>volume!CZ17</f>
        <v>0</v>
      </c>
      <c r="DA17" s="54">
        <f>volume!DA17</f>
        <v>0</v>
      </c>
      <c r="DB17" s="49">
        <f t="shared" si="14"/>
        <v>0</v>
      </c>
      <c r="DC17" s="52">
        <f>volume!DC17</f>
        <v>0</v>
      </c>
      <c r="DD17" s="53">
        <f>volume!DD17</f>
        <v>0</v>
      </c>
      <c r="DE17" s="53">
        <f>volume!DE17</f>
        <v>0</v>
      </c>
      <c r="DF17" s="53">
        <f>volume!DF17</f>
        <v>0</v>
      </c>
      <c r="DG17" s="53">
        <f>volume!DG17</f>
        <v>0</v>
      </c>
      <c r="DH17" s="54">
        <f>volume!DH17</f>
        <v>0</v>
      </c>
      <c r="DI17" s="49">
        <f t="shared" si="15"/>
        <v>0</v>
      </c>
      <c r="DJ17" s="52">
        <f>volume!DJ17</f>
        <v>0</v>
      </c>
      <c r="DK17" s="53">
        <f>volume!DK17</f>
        <v>0</v>
      </c>
      <c r="DL17" s="53">
        <f>volume!DL17</f>
        <v>0</v>
      </c>
      <c r="DM17" s="53">
        <f>volume!DM17</f>
        <v>0</v>
      </c>
      <c r="DN17" s="53">
        <f>volume!DN17</f>
        <v>0</v>
      </c>
      <c r="DO17" s="54">
        <f>volume!DO17</f>
        <v>0</v>
      </c>
      <c r="DP17" s="50">
        <f t="shared" si="16"/>
        <v>0</v>
      </c>
      <c r="DQ17" s="52">
        <f>volume!DQ17</f>
        <v>0</v>
      </c>
      <c r="DR17" s="53">
        <f>volume!DR17</f>
        <v>0</v>
      </c>
      <c r="DS17" s="53">
        <f>volume!DS17</f>
        <v>0</v>
      </c>
      <c r="DT17" s="53">
        <f>volume!DT17</f>
        <v>0</v>
      </c>
      <c r="DU17" s="53">
        <f>volume!DU17</f>
        <v>0</v>
      </c>
      <c r="DV17" s="54">
        <f>volume!DV17</f>
        <v>0</v>
      </c>
      <c r="DW17" s="50">
        <f t="shared" si="17"/>
        <v>0</v>
      </c>
      <c r="DX17" s="52">
        <f>volume!DX17</f>
        <v>0</v>
      </c>
      <c r="DY17" s="53">
        <f>volume!DY17</f>
        <v>0</v>
      </c>
      <c r="DZ17" s="53">
        <f>volume!DZ17</f>
        <v>0</v>
      </c>
      <c r="EA17" s="53">
        <f>volume!EA17</f>
        <v>0</v>
      </c>
      <c r="EB17" s="53">
        <f>volume!EB17</f>
        <v>0</v>
      </c>
      <c r="EC17" s="54">
        <f>volume!EC17</f>
        <v>0</v>
      </c>
      <c r="ED17" s="50">
        <f t="shared" si="18"/>
        <v>0</v>
      </c>
      <c r="EE17" s="273"/>
      <c r="EF17" s="273"/>
      <c r="EG17" s="273"/>
      <c r="EH17" s="273"/>
      <c r="EI17" s="273"/>
      <c r="EJ17" s="273"/>
      <c r="EK17" s="273"/>
      <c r="EL17" s="52">
        <f>volume!EL17</f>
        <v>0</v>
      </c>
      <c r="EM17" s="53">
        <f>volume!EM17</f>
        <v>0</v>
      </c>
      <c r="EN17" s="53">
        <f>volume!EN17</f>
        <v>0</v>
      </c>
      <c r="EO17" s="53">
        <f>volume!EO17</f>
        <v>0</v>
      </c>
      <c r="EP17" s="53">
        <f>volume!EP17</f>
        <v>0</v>
      </c>
      <c r="EQ17" s="54">
        <f>volume!EQ17</f>
        <v>0</v>
      </c>
      <c r="ER17" s="50">
        <f t="shared" si="19"/>
        <v>0</v>
      </c>
      <c r="ES17" s="52">
        <f>volume!ES17</f>
        <v>0</v>
      </c>
      <c r="ET17" s="53">
        <f>volume!ET17</f>
        <v>0</v>
      </c>
      <c r="EU17" s="53">
        <f>volume!EU17</f>
        <v>0</v>
      </c>
      <c r="EV17" s="53">
        <f>volume!EV17</f>
        <v>0</v>
      </c>
      <c r="EW17" s="53">
        <f>volume!EW17</f>
        <v>0</v>
      </c>
      <c r="EX17" s="54">
        <f>volume!EX17</f>
        <v>0</v>
      </c>
      <c r="EY17" s="50">
        <f t="shared" si="20"/>
        <v>0</v>
      </c>
      <c r="EZ17" s="52">
        <f>volume!EZ17</f>
        <v>0</v>
      </c>
      <c r="FA17" s="53">
        <f>volume!FA17</f>
        <v>0</v>
      </c>
      <c r="FB17" s="53">
        <f>volume!FB17</f>
        <v>0</v>
      </c>
      <c r="FC17" s="53">
        <f>volume!FC17</f>
        <v>0</v>
      </c>
      <c r="FD17" s="53">
        <f>volume!FD17</f>
        <v>0</v>
      </c>
      <c r="FE17" s="54">
        <f>volume!FE17</f>
        <v>0</v>
      </c>
      <c r="FF17" s="50">
        <f t="shared" si="21"/>
        <v>0</v>
      </c>
      <c r="FG17" s="273"/>
      <c r="FH17" s="273"/>
      <c r="FI17" s="273"/>
      <c r="FJ17" s="273"/>
      <c r="FK17" s="273"/>
      <c r="FL17" s="273"/>
      <c r="FM17" s="273"/>
      <c r="FN17" s="52">
        <f>volume!FN17</f>
        <v>0</v>
      </c>
      <c r="FO17" s="53">
        <f>volume!FO17</f>
        <v>0</v>
      </c>
      <c r="FP17" s="53">
        <f>volume!FP17</f>
        <v>0</v>
      </c>
      <c r="FQ17" s="53">
        <f>volume!FQ17</f>
        <v>0</v>
      </c>
      <c r="FR17" s="53">
        <f>volume!FR17</f>
        <v>0</v>
      </c>
      <c r="FS17" s="54">
        <f>volume!FS17</f>
        <v>0</v>
      </c>
      <c r="FT17" s="50">
        <f t="shared" si="22"/>
        <v>0</v>
      </c>
      <c r="FU17" s="52">
        <f>volume!FU17</f>
        <v>0</v>
      </c>
      <c r="FV17" s="53">
        <f>volume!FV17</f>
        <v>0</v>
      </c>
      <c r="FW17" s="53">
        <f>volume!FW17</f>
        <v>0</v>
      </c>
      <c r="FX17" s="53">
        <f>volume!FX17</f>
        <v>0</v>
      </c>
      <c r="FY17" s="53">
        <f>volume!FY17</f>
        <v>0</v>
      </c>
      <c r="FZ17" s="54">
        <f>volume!FZ17</f>
        <v>0</v>
      </c>
      <c r="GA17" s="50">
        <f t="shared" si="23"/>
        <v>0</v>
      </c>
      <c r="GB17" s="52">
        <f>volume!GB17</f>
        <v>0</v>
      </c>
      <c r="GC17" s="53">
        <f>volume!GC17</f>
        <v>0</v>
      </c>
      <c r="GD17" s="53">
        <f>volume!GD17</f>
        <v>0</v>
      </c>
      <c r="GE17" s="53">
        <f>volume!GE17</f>
        <v>0</v>
      </c>
      <c r="GF17" s="53">
        <f>volume!GF17</f>
        <v>0</v>
      </c>
      <c r="GG17" s="54">
        <f>volume!GG17</f>
        <v>0</v>
      </c>
      <c r="GH17" s="50">
        <f t="shared" si="24"/>
        <v>0</v>
      </c>
      <c r="GI17" s="273"/>
      <c r="GJ17" s="273"/>
      <c r="GK17" s="273"/>
      <c r="GL17" s="273"/>
      <c r="GM17" s="273"/>
      <c r="GN17" s="273"/>
      <c r="GO17" s="273"/>
      <c r="GP17" s="52">
        <f>volume!GP17</f>
        <v>0</v>
      </c>
      <c r="GQ17" s="53">
        <f>volume!GQ17</f>
        <v>0</v>
      </c>
      <c r="GR17" s="53">
        <f>volume!GR17</f>
        <v>0</v>
      </c>
      <c r="GS17" s="53">
        <f>volume!GS17</f>
        <v>0</v>
      </c>
      <c r="GT17" s="53">
        <f>volume!GT17</f>
        <v>0</v>
      </c>
      <c r="GU17" s="54">
        <f>volume!GU17</f>
        <v>0</v>
      </c>
      <c r="GV17" s="50">
        <f t="shared" si="25"/>
        <v>0</v>
      </c>
      <c r="GW17" s="52">
        <f>volume!GW17</f>
        <v>0</v>
      </c>
      <c r="GX17" s="53">
        <f>volume!GX17</f>
        <v>0</v>
      </c>
      <c r="GY17" s="53">
        <f>volume!GY17</f>
        <v>0</v>
      </c>
      <c r="GZ17" s="53">
        <f>volume!GZ17</f>
        <v>0</v>
      </c>
      <c r="HA17" s="53">
        <f>volume!HA17</f>
        <v>0</v>
      </c>
      <c r="HB17" s="54">
        <f>volume!HB17</f>
        <v>0</v>
      </c>
      <c r="HC17" s="50">
        <f t="shared" si="26"/>
        <v>0</v>
      </c>
      <c r="HD17" s="52">
        <f>volume!HD17</f>
        <v>0</v>
      </c>
      <c r="HE17" s="53">
        <f>volume!HE17</f>
        <v>0</v>
      </c>
      <c r="HF17" s="53">
        <f>volume!HF17</f>
        <v>0</v>
      </c>
      <c r="HG17" s="53">
        <f>volume!HG17</f>
        <v>0</v>
      </c>
      <c r="HH17" s="53">
        <f>volume!HH17</f>
        <v>0</v>
      </c>
      <c r="HI17" s="54">
        <f>volume!HI17</f>
        <v>0</v>
      </c>
      <c r="HJ17" s="50">
        <f t="shared" si="27"/>
        <v>0</v>
      </c>
    </row>
    <row r="18" spans="1:218" ht="21.75" customHeight="1" x14ac:dyDescent="0.6">
      <c r="A18" s="55" t="s">
        <v>73</v>
      </c>
      <c r="B18" s="52">
        <f>volume!B18</f>
        <v>37</v>
      </c>
      <c r="C18" s="53">
        <f>volume!C18</f>
        <v>5</v>
      </c>
      <c r="D18" s="53">
        <f>volume!D18</f>
        <v>0</v>
      </c>
      <c r="E18" s="53">
        <f>volume!E18</f>
        <v>0</v>
      </c>
      <c r="F18" s="53">
        <f>volume!F18</f>
        <v>1</v>
      </c>
      <c r="G18" s="54">
        <f>volume!G18</f>
        <v>0</v>
      </c>
      <c r="H18" s="48">
        <f t="shared" si="0"/>
        <v>43</v>
      </c>
      <c r="I18" s="52">
        <f>volume!I18</f>
        <v>51</v>
      </c>
      <c r="J18" s="53">
        <f>volume!J18</f>
        <v>10</v>
      </c>
      <c r="K18" s="53">
        <f>volume!K18</f>
        <v>0</v>
      </c>
      <c r="L18" s="53">
        <f>volume!L18</f>
        <v>0</v>
      </c>
      <c r="M18" s="53">
        <f>volume!M18</f>
        <v>0</v>
      </c>
      <c r="N18" s="54">
        <f>volume!N18</f>
        <v>0</v>
      </c>
      <c r="O18" s="49">
        <f t="shared" si="1"/>
        <v>61</v>
      </c>
      <c r="P18" s="52">
        <f>volume!P18</f>
        <v>19</v>
      </c>
      <c r="Q18" s="53">
        <f>volume!Q18</f>
        <v>9</v>
      </c>
      <c r="R18" s="53">
        <f>volume!R18</f>
        <v>0</v>
      </c>
      <c r="S18" s="53">
        <f>volume!S18</f>
        <v>0</v>
      </c>
      <c r="T18" s="53">
        <f>volume!T18</f>
        <v>0</v>
      </c>
      <c r="U18" s="54">
        <f>volume!U18</f>
        <v>0</v>
      </c>
      <c r="V18" s="49">
        <f t="shared" si="2"/>
        <v>28</v>
      </c>
      <c r="W18" s="52">
        <f>volume!W18</f>
        <v>0</v>
      </c>
      <c r="X18" s="53">
        <f>volume!X18</f>
        <v>0</v>
      </c>
      <c r="Y18" s="53">
        <f>volume!Y18</f>
        <v>0</v>
      </c>
      <c r="Z18" s="53">
        <f>volume!Z18</f>
        <v>0</v>
      </c>
      <c r="AA18" s="53">
        <f>volume!AA18</f>
        <v>0</v>
      </c>
      <c r="AB18" s="54">
        <f>volume!AB18</f>
        <v>0</v>
      </c>
      <c r="AC18" s="49">
        <f t="shared" si="3"/>
        <v>0</v>
      </c>
      <c r="AD18" s="52">
        <f>volume!AD18</f>
        <v>55</v>
      </c>
      <c r="AE18" s="53">
        <f>volume!AE18</f>
        <v>26</v>
      </c>
      <c r="AF18" s="53">
        <f>volume!AF18</f>
        <v>1</v>
      </c>
      <c r="AG18" s="53">
        <f>volume!AG18</f>
        <v>0</v>
      </c>
      <c r="AH18" s="53">
        <f>volume!AH18</f>
        <v>0</v>
      </c>
      <c r="AI18" s="54">
        <f>volume!AI18</f>
        <v>0</v>
      </c>
      <c r="AJ18" s="49">
        <f t="shared" si="4"/>
        <v>82</v>
      </c>
      <c r="AK18" s="52">
        <f>volume!AK18</f>
        <v>146</v>
      </c>
      <c r="AL18" s="53">
        <f>volume!AL18</f>
        <v>51</v>
      </c>
      <c r="AM18" s="53">
        <f>volume!AM18</f>
        <v>0</v>
      </c>
      <c r="AN18" s="53">
        <f>volume!AN18</f>
        <v>1</v>
      </c>
      <c r="AO18" s="53">
        <f>volume!AO18</f>
        <v>4</v>
      </c>
      <c r="AP18" s="54">
        <f>volume!AP18</f>
        <v>0</v>
      </c>
      <c r="AQ18" s="49">
        <f t="shared" si="5"/>
        <v>202</v>
      </c>
      <c r="AR18" s="52">
        <f>volume!AR18</f>
        <v>20</v>
      </c>
      <c r="AS18" s="53">
        <f>volume!AS18</f>
        <v>7</v>
      </c>
      <c r="AT18" s="53">
        <f>volume!AT18</f>
        <v>0</v>
      </c>
      <c r="AU18" s="53">
        <f>volume!AU18</f>
        <v>0</v>
      </c>
      <c r="AV18" s="53">
        <f>volume!AV18</f>
        <v>0</v>
      </c>
      <c r="AW18" s="54">
        <f>volume!AW18</f>
        <v>0</v>
      </c>
      <c r="AX18" s="49">
        <f t="shared" si="6"/>
        <v>27</v>
      </c>
      <c r="AY18" s="52">
        <f>volume!AY18</f>
        <v>43</v>
      </c>
      <c r="AZ18" s="53">
        <f>volume!AZ18</f>
        <v>19</v>
      </c>
      <c r="BA18" s="53">
        <f>volume!BA18</f>
        <v>0</v>
      </c>
      <c r="BB18" s="53">
        <f>volume!BB18</f>
        <v>0</v>
      </c>
      <c r="BC18" s="53">
        <f>volume!BC18</f>
        <v>1</v>
      </c>
      <c r="BD18" s="54">
        <f>volume!BD18</f>
        <v>0</v>
      </c>
      <c r="BE18" s="49">
        <f t="shared" si="7"/>
        <v>63</v>
      </c>
      <c r="BF18" s="52">
        <f>volume!BF18</f>
        <v>2</v>
      </c>
      <c r="BG18" s="53">
        <f>volume!BG18</f>
        <v>1</v>
      </c>
      <c r="BH18" s="53">
        <f>volume!BH18</f>
        <v>0</v>
      </c>
      <c r="BI18" s="53">
        <f>volume!BI18</f>
        <v>0</v>
      </c>
      <c r="BJ18" s="53">
        <f>volume!BJ18</f>
        <v>0</v>
      </c>
      <c r="BK18" s="54">
        <f>volume!BK18</f>
        <v>0</v>
      </c>
      <c r="BL18" s="49">
        <f t="shared" si="8"/>
        <v>3</v>
      </c>
      <c r="BM18" s="52">
        <f>volume!BM18</f>
        <v>48</v>
      </c>
      <c r="BN18" s="53">
        <f>volume!BN18</f>
        <v>16</v>
      </c>
      <c r="BO18" s="53">
        <f>volume!BO18</f>
        <v>0</v>
      </c>
      <c r="BP18" s="53">
        <f>volume!BP18</f>
        <v>0</v>
      </c>
      <c r="BQ18" s="53">
        <f>volume!BQ18</f>
        <v>1</v>
      </c>
      <c r="BR18" s="54">
        <f>volume!BR18</f>
        <v>0</v>
      </c>
      <c r="BS18" s="49">
        <f t="shared" si="9"/>
        <v>65</v>
      </c>
      <c r="BT18" s="52">
        <f>volume!BT18</f>
        <v>59</v>
      </c>
      <c r="BU18" s="53">
        <f>volume!BU18</f>
        <v>12</v>
      </c>
      <c r="BV18" s="53">
        <f>volume!BV18</f>
        <v>0</v>
      </c>
      <c r="BW18" s="53">
        <f>volume!BW18</f>
        <v>0</v>
      </c>
      <c r="BX18" s="53">
        <f>volume!BX18</f>
        <v>0</v>
      </c>
      <c r="BY18" s="54">
        <f>volume!BY18</f>
        <v>0</v>
      </c>
      <c r="BZ18" s="49">
        <f t="shared" si="10"/>
        <v>71</v>
      </c>
      <c r="CA18" s="52">
        <f>volume!CA18</f>
        <v>0</v>
      </c>
      <c r="CB18" s="53">
        <f>volume!CB18</f>
        <v>0</v>
      </c>
      <c r="CC18" s="53">
        <f>volume!CC18</f>
        <v>0</v>
      </c>
      <c r="CD18" s="53">
        <f>volume!CD18</f>
        <v>0</v>
      </c>
      <c r="CE18" s="53">
        <f>volume!CE18</f>
        <v>0</v>
      </c>
      <c r="CF18" s="54">
        <f>volume!CF18</f>
        <v>0</v>
      </c>
      <c r="CG18" s="49">
        <f t="shared" si="11"/>
        <v>0</v>
      </c>
      <c r="CH18" s="52">
        <f>volume!CH18</f>
        <v>22</v>
      </c>
      <c r="CI18" s="53">
        <f>volume!CI18</f>
        <v>8</v>
      </c>
      <c r="CJ18" s="53">
        <f>volume!CJ18</f>
        <v>0</v>
      </c>
      <c r="CK18" s="53">
        <f>volume!CK18</f>
        <v>0</v>
      </c>
      <c r="CL18" s="53">
        <f>volume!CL18</f>
        <v>0</v>
      </c>
      <c r="CM18" s="54">
        <f>volume!CM18</f>
        <v>0</v>
      </c>
      <c r="CN18" s="49">
        <f t="shared" si="12"/>
        <v>30</v>
      </c>
      <c r="CO18" s="52">
        <f>volume!CO18</f>
        <v>102</v>
      </c>
      <c r="CP18" s="53">
        <f>volume!CP18</f>
        <v>20</v>
      </c>
      <c r="CQ18" s="53">
        <f>volume!CQ18</f>
        <v>1</v>
      </c>
      <c r="CR18" s="53">
        <f>volume!CR18</f>
        <v>1</v>
      </c>
      <c r="CS18" s="53">
        <f>volume!CS18</f>
        <v>2</v>
      </c>
      <c r="CT18" s="54">
        <f>volume!CT18</f>
        <v>0</v>
      </c>
      <c r="CU18" s="49">
        <f t="shared" si="13"/>
        <v>126</v>
      </c>
      <c r="CV18" s="52">
        <f>volume!CV18</f>
        <v>0</v>
      </c>
      <c r="CW18" s="53">
        <f>volume!CW18</f>
        <v>0</v>
      </c>
      <c r="CX18" s="53">
        <f>volume!CX18</f>
        <v>0</v>
      </c>
      <c r="CY18" s="53">
        <f>volume!CY18</f>
        <v>0</v>
      </c>
      <c r="CZ18" s="53">
        <f>volume!CZ18</f>
        <v>0</v>
      </c>
      <c r="DA18" s="54">
        <f>volume!DA18</f>
        <v>0</v>
      </c>
      <c r="DB18" s="49">
        <f t="shared" si="14"/>
        <v>0</v>
      </c>
      <c r="DC18" s="52">
        <f>volume!DC18</f>
        <v>0</v>
      </c>
      <c r="DD18" s="53">
        <f>volume!DD18</f>
        <v>0</v>
      </c>
      <c r="DE18" s="53">
        <f>volume!DE18</f>
        <v>0</v>
      </c>
      <c r="DF18" s="53">
        <f>volume!DF18</f>
        <v>0</v>
      </c>
      <c r="DG18" s="53">
        <f>volume!DG18</f>
        <v>0</v>
      </c>
      <c r="DH18" s="54">
        <f>volume!DH18</f>
        <v>0</v>
      </c>
      <c r="DI18" s="49">
        <f t="shared" si="15"/>
        <v>0</v>
      </c>
      <c r="DJ18" s="52">
        <f>volume!DJ18</f>
        <v>0</v>
      </c>
      <c r="DK18" s="53">
        <f>volume!DK18</f>
        <v>0</v>
      </c>
      <c r="DL18" s="53">
        <f>volume!DL18</f>
        <v>0</v>
      </c>
      <c r="DM18" s="53">
        <f>volume!DM18</f>
        <v>0</v>
      </c>
      <c r="DN18" s="53">
        <f>volume!DN18</f>
        <v>0</v>
      </c>
      <c r="DO18" s="54">
        <f>volume!DO18</f>
        <v>0</v>
      </c>
      <c r="DP18" s="50">
        <f t="shared" si="16"/>
        <v>0</v>
      </c>
      <c r="DQ18" s="52">
        <f>volume!DQ18</f>
        <v>0</v>
      </c>
      <c r="DR18" s="53">
        <f>volume!DR18</f>
        <v>0</v>
      </c>
      <c r="DS18" s="53">
        <f>volume!DS18</f>
        <v>0</v>
      </c>
      <c r="DT18" s="53">
        <f>volume!DT18</f>
        <v>0</v>
      </c>
      <c r="DU18" s="53">
        <f>volume!DU18</f>
        <v>0</v>
      </c>
      <c r="DV18" s="54">
        <f>volume!DV18</f>
        <v>0</v>
      </c>
      <c r="DW18" s="50">
        <f t="shared" si="17"/>
        <v>0</v>
      </c>
      <c r="DX18" s="52">
        <f>volume!DX18</f>
        <v>0</v>
      </c>
      <c r="DY18" s="53">
        <f>volume!DY18</f>
        <v>0</v>
      </c>
      <c r="DZ18" s="53">
        <f>volume!DZ18</f>
        <v>0</v>
      </c>
      <c r="EA18" s="53">
        <f>volume!EA18</f>
        <v>0</v>
      </c>
      <c r="EB18" s="53">
        <f>volume!EB18</f>
        <v>0</v>
      </c>
      <c r="EC18" s="54">
        <f>volume!EC18</f>
        <v>0</v>
      </c>
      <c r="ED18" s="50">
        <f t="shared" si="18"/>
        <v>0</v>
      </c>
      <c r="EE18" s="273"/>
      <c r="EF18" s="273"/>
      <c r="EG18" s="273"/>
      <c r="EH18" s="273"/>
      <c r="EI18" s="273"/>
      <c r="EJ18" s="273"/>
      <c r="EK18" s="273"/>
      <c r="EL18" s="52">
        <f>volume!EL18</f>
        <v>0</v>
      </c>
      <c r="EM18" s="53">
        <f>volume!EM18</f>
        <v>0</v>
      </c>
      <c r="EN18" s="53">
        <f>volume!EN18</f>
        <v>0</v>
      </c>
      <c r="EO18" s="53">
        <f>volume!EO18</f>
        <v>0</v>
      </c>
      <c r="EP18" s="53">
        <f>volume!EP18</f>
        <v>0</v>
      </c>
      <c r="EQ18" s="54">
        <f>volume!EQ18</f>
        <v>0</v>
      </c>
      <c r="ER18" s="50">
        <f t="shared" si="19"/>
        <v>0</v>
      </c>
      <c r="ES18" s="52">
        <f>volume!ES18</f>
        <v>0</v>
      </c>
      <c r="ET18" s="53">
        <f>volume!ET18</f>
        <v>0</v>
      </c>
      <c r="EU18" s="53">
        <f>volume!EU18</f>
        <v>0</v>
      </c>
      <c r="EV18" s="53">
        <f>volume!EV18</f>
        <v>0</v>
      </c>
      <c r="EW18" s="53">
        <f>volume!EW18</f>
        <v>0</v>
      </c>
      <c r="EX18" s="54">
        <f>volume!EX18</f>
        <v>0</v>
      </c>
      <c r="EY18" s="50">
        <f t="shared" si="20"/>
        <v>0</v>
      </c>
      <c r="EZ18" s="52">
        <f>volume!EZ18</f>
        <v>0</v>
      </c>
      <c r="FA18" s="53">
        <f>volume!FA18</f>
        <v>0</v>
      </c>
      <c r="FB18" s="53">
        <f>volume!FB18</f>
        <v>0</v>
      </c>
      <c r="FC18" s="53">
        <f>volume!FC18</f>
        <v>0</v>
      </c>
      <c r="FD18" s="53">
        <f>volume!FD18</f>
        <v>0</v>
      </c>
      <c r="FE18" s="54">
        <f>volume!FE18</f>
        <v>0</v>
      </c>
      <c r="FF18" s="50">
        <f t="shared" si="21"/>
        <v>0</v>
      </c>
      <c r="FG18" s="273"/>
      <c r="FH18" s="273"/>
      <c r="FI18" s="273"/>
      <c r="FJ18" s="273"/>
      <c r="FK18" s="273"/>
      <c r="FL18" s="273"/>
      <c r="FM18" s="273"/>
      <c r="FN18" s="52">
        <f>volume!FN18</f>
        <v>0</v>
      </c>
      <c r="FO18" s="53">
        <f>volume!FO18</f>
        <v>0</v>
      </c>
      <c r="FP18" s="53">
        <f>volume!FP18</f>
        <v>0</v>
      </c>
      <c r="FQ18" s="53">
        <f>volume!FQ18</f>
        <v>0</v>
      </c>
      <c r="FR18" s="53">
        <f>volume!FR18</f>
        <v>0</v>
      </c>
      <c r="FS18" s="54">
        <f>volume!FS18</f>
        <v>0</v>
      </c>
      <c r="FT18" s="50">
        <f t="shared" si="22"/>
        <v>0</v>
      </c>
      <c r="FU18" s="52">
        <f>volume!FU18</f>
        <v>0</v>
      </c>
      <c r="FV18" s="53">
        <f>volume!FV18</f>
        <v>0</v>
      </c>
      <c r="FW18" s="53">
        <f>volume!FW18</f>
        <v>0</v>
      </c>
      <c r="FX18" s="53">
        <f>volume!FX18</f>
        <v>0</v>
      </c>
      <c r="FY18" s="53">
        <f>volume!FY18</f>
        <v>0</v>
      </c>
      <c r="FZ18" s="54">
        <f>volume!FZ18</f>
        <v>0</v>
      </c>
      <c r="GA18" s="50">
        <f t="shared" si="23"/>
        <v>0</v>
      </c>
      <c r="GB18" s="52">
        <f>volume!GB18</f>
        <v>0</v>
      </c>
      <c r="GC18" s="53">
        <f>volume!GC18</f>
        <v>0</v>
      </c>
      <c r="GD18" s="53">
        <f>volume!GD18</f>
        <v>0</v>
      </c>
      <c r="GE18" s="53">
        <f>volume!GE18</f>
        <v>0</v>
      </c>
      <c r="GF18" s="53">
        <f>volume!GF18</f>
        <v>0</v>
      </c>
      <c r="GG18" s="54">
        <f>volume!GG18</f>
        <v>0</v>
      </c>
      <c r="GH18" s="50">
        <f t="shared" si="24"/>
        <v>0</v>
      </c>
      <c r="GI18" s="273"/>
      <c r="GJ18" s="273"/>
      <c r="GK18" s="273"/>
      <c r="GL18" s="273"/>
      <c r="GM18" s="273"/>
      <c r="GN18" s="273"/>
      <c r="GO18" s="273"/>
      <c r="GP18" s="52">
        <f>volume!GP18</f>
        <v>0</v>
      </c>
      <c r="GQ18" s="53">
        <f>volume!GQ18</f>
        <v>0</v>
      </c>
      <c r="GR18" s="53">
        <f>volume!GR18</f>
        <v>0</v>
      </c>
      <c r="GS18" s="53">
        <f>volume!GS18</f>
        <v>0</v>
      </c>
      <c r="GT18" s="53">
        <f>volume!GT18</f>
        <v>0</v>
      </c>
      <c r="GU18" s="54">
        <f>volume!GU18</f>
        <v>0</v>
      </c>
      <c r="GV18" s="50">
        <f t="shared" si="25"/>
        <v>0</v>
      </c>
      <c r="GW18" s="52">
        <f>volume!GW18</f>
        <v>0</v>
      </c>
      <c r="GX18" s="53">
        <f>volume!GX18</f>
        <v>0</v>
      </c>
      <c r="GY18" s="53">
        <f>volume!GY18</f>
        <v>0</v>
      </c>
      <c r="GZ18" s="53">
        <f>volume!GZ18</f>
        <v>0</v>
      </c>
      <c r="HA18" s="53">
        <f>volume!HA18</f>
        <v>0</v>
      </c>
      <c r="HB18" s="54">
        <f>volume!HB18</f>
        <v>0</v>
      </c>
      <c r="HC18" s="50">
        <f t="shared" si="26"/>
        <v>0</v>
      </c>
      <c r="HD18" s="52">
        <f>volume!HD18</f>
        <v>0</v>
      </c>
      <c r="HE18" s="53">
        <f>volume!HE18</f>
        <v>0</v>
      </c>
      <c r="HF18" s="53">
        <f>volume!HF18</f>
        <v>0</v>
      </c>
      <c r="HG18" s="53">
        <f>volume!HG18</f>
        <v>0</v>
      </c>
      <c r="HH18" s="53">
        <f>volume!HH18</f>
        <v>0</v>
      </c>
      <c r="HI18" s="54">
        <f>volume!HI18</f>
        <v>0</v>
      </c>
      <c r="HJ18" s="50">
        <f t="shared" si="27"/>
        <v>0</v>
      </c>
    </row>
    <row r="19" spans="1:218" ht="21.75" customHeight="1" x14ac:dyDescent="0.6">
      <c r="A19" s="44" t="s">
        <v>74</v>
      </c>
      <c r="B19" s="45">
        <f>volume!B19</f>
        <v>32</v>
      </c>
      <c r="C19" s="46">
        <f>volume!C19</f>
        <v>5</v>
      </c>
      <c r="D19" s="46">
        <f>volume!D19</f>
        <v>0</v>
      </c>
      <c r="E19" s="46">
        <f>volume!E19</f>
        <v>0</v>
      </c>
      <c r="F19" s="46">
        <f>volume!F19</f>
        <v>0</v>
      </c>
      <c r="G19" s="47">
        <f>volume!G19</f>
        <v>2</v>
      </c>
      <c r="H19" s="48">
        <f t="shared" si="0"/>
        <v>39</v>
      </c>
      <c r="I19" s="45">
        <f>volume!I19</f>
        <v>46</v>
      </c>
      <c r="J19" s="46">
        <f>volume!J19</f>
        <v>9</v>
      </c>
      <c r="K19" s="46">
        <f>volume!K19</f>
        <v>0</v>
      </c>
      <c r="L19" s="46">
        <f>volume!L19</f>
        <v>0</v>
      </c>
      <c r="M19" s="46">
        <f>volume!M19</f>
        <v>0</v>
      </c>
      <c r="N19" s="47">
        <f>volume!N19</f>
        <v>0</v>
      </c>
      <c r="O19" s="49">
        <f t="shared" si="1"/>
        <v>55</v>
      </c>
      <c r="P19" s="45">
        <f>volume!P19</f>
        <v>22</v>
      </c>
      <c r="Q19" s="46">
        <f>volume!Q19</f>
        <v>7</v>
      </c>
      <c r="R19" s="46">
        <f>volume!R19</f>
        <v>0</v>
      </c>
      <c r="S19" s="46">
        <f>volume!S19</f>
        <v>0</v>
      </c>
      <c r="T19" s="46">
        <f>volume!T19</f>
        <v>1</v>
      </c>
      <c r="U19" s="47">
        <f>volume!U19</f>
        <v>0</v>
      </c>
      <c r="V19" s="49">
        <f t="shared" si="2"/>
        <v>30</v>
      </c>
      <c r="W19" s="45">
        <f>volume!W19</f>
        <v>0</v>
      </c>
      <c r="X19" s="46">
        <f>volume!X19</f>
        <v>0</v>
      </c>
      <c r="Y19" s="46">
        <f>volume!Y19</f>
        <v>0</v>
      </c>
      <c r="Z19" s="46">
        <f>volume!Z19</f>
        <v>0</v>
      </c>
      <c r="AA19" s="46">
        <f>volume!AA19</f>
        <v>0</v>
      </c>
      <c r="AB19" s="47">
        <f>volume!AB19</f>
        <v>0</v>
      </c>
      <c r="AC19" s="49">
        <f t="shared" si="3"/>
        <v>0</v>
      </c>
      <c r="AD19" s="45">
        <f>volume!AD19</f>
        <v>63</v>
      </c>
      <c r="AE19" s="46">
        <f>volume!AE19</f>
        <v>18</v>
      </c>
      <c r="AF19" s="46">
        <f>volume!AF19</f>
        <v>0</v>
      </c>
      <c r="AG19" s="46">
        <f>volume!AG19</f>
        <v>0</v>
      </c>
      <c r="AH19" s="46">
        <f>volume!AH19</f>
        <v>0</v>
      </c>
      <c r="AI19" s="47">
        <f>volume!AI19</f>
        <v>0</v>
      </c>
      <c r="AJ19" s="49">
        <f t="shared" si="4"/>
        <v>81</v>
      </c>
      <c r="AK19" s="45">
        <f>volume!AK19</f>
        <v>139</v>
      </c>
      <c r="AL19" s="46">
        <f>volume!AL19</f>
        <v>43</v>
      </c>
      <c r="AM19" s="46">
        <f>volume!AM19</f>
        <v>0</v>
      </c>
      <c r="AN19" s="46">
        <f>volume!AN19</f>
        <v>0</v>
      </c>
      <c r="AO19" s="46">
        <f>volume!AO19</f>
        <v>2</v>
      </c>
      <c r="AP19" s="47">
        <f>volume!AP19</f>
        <v>0</v>
      </c>
      <c r="AQ19" s="49">
        <f t="shared" si="5"/>
        <v>184</v>
      </c>
      <c r="AR19" s="45">
        <f>volume!AR19</f>
        <v>18</v>
      </c>
      <c r="AS19" s="46">
        <f>volume!AS19</f>
        <v>5</v>
      </c>
      <c r="AT19" s="46">
        <f>volume!AT19</f>
        <v>0</v>
      </c>
      <c r="AU19" s="46">
        <f>volume!AU19</f>
        <v>0</v>
      </c>
      <c r="AV19" s="46">
        <f>volume!AV19</f>
        <v>0</v>
      </c>
      <c r="AW19" s="47">
        <f>volume!AW19</f>
        <v>0</v>
      </c>
      <c r="AX19" s="49">
        <f t="shared" si="6"/>
        <v>23</v>
      </c>
      <c r="AY19" s="45">
        <f>volume!AY19</f>
        <v>35</v>
      </c>
      <c r="AZ19" s="46">
        <f>volume!AZ19</f>
        <v>13</v>
      </c>
      <c r="BA19" s="46">
        <f>volume!BA19</f>
        <v>0</v>
      </c>
      <c r="BB19" s="46">
        <f>volume!BB19</f>
        <v>0</v>
      </c>
      <c r="BC19" s="46">
        <f>volume!BC19</f>
        <v>2</v>
      </c>
      <c r="BD19" s="47">
        <f>volume!BD19</f>
        <v>0</v>
      </c>
      <c r="BE19" s="49">
        <f t="shared" si="7"/>
        <v>50</v>
      </c>
      <c r="BF19" s="45">
        <f>volume!BF19</f>
        <v>5</v>
      </c>
      <c r="BG19" s="46">
        <f>volume!BG19</f>
        <v>0</v>
      </c>
      <c r="BH19" s="46">
        <f>volume!BH19</f>
        <v>0</v>
      </c>
      <c r="BI19" s="46">
        <f>volume!BI19</f>
        <v>0</v>
      </c>
      <c r="BJ19" s="46">
        <f>volume!BJ19</f>
        <v>0</v>
      </c>
      <c r="BK19" s="47">
        <f>volume!BK19</f>
        <v>0</v>
      </c>
      <c r="BL19" s="49">
        <f t="shared" si="8"/>
        <v>5</v>
      </c>
      <c r="BM19" s="45">
        <f>volume!BM19</f>
        <v>59</v>
      </c>
      <c r="BN19" s="46">
        <f>volume!BN19</f>
        <v>11</v>
      </c>
      <c r="BO19" s="46">
        <f>volume!BO19</f>
        <v>0</v>
      </c>
      <c r="BP19" s="46">
        <f>volume!BP19</f>
        <v>0</v>
      </c>
      <c r="BQ19" s="46">
        <f>volume!BQ19</f>
        <v>1</v>
      </c>
      <c r="BR19" s="47">
        <f>volume!BR19</f>
        <v>0</v>
      </c>
      <c r="BS19" s="49">
        <f t="shared" si="9"/>
        <v>71</v>
      </c>
      <c r="BT19" s="45">
        <f>volume!BT19</f>
        <v>76</v>
      </c>
      <c r="BU19" s="46">
        <f>volume!BU19</f>
        <v>10</v>
      </c>
      <c r="BV19" s="46">
        <f>volume!BV19</f>
        <v>0</v>
      </c>
      <c r="BW19" s="46">
        <f>volume!BW19</f>
        <v>0</v>
      </c>
      <c r="BX19" s="46">
        <f>volume!BX19</f>
        <v>0</v>
      </c>
      <c r="BY19" s="47">
        <f>volume!BY19</f>
        <v>0</v>
      </c>
      <c r="BZ19" s="49">
        <f t="shared" si="10"/>
        <v>86</v>
      </c>
      <c r="CA19" s="45">
        <f>volume!CA19</f>
        <v>0</v>
      </c>
      <c r="CB19" s="46">
        <f>volume!CB19</f>
        <v>0</v>
      </c>
      <c r="CC19" s="46">
        <f>volume!CC19</f>
        <v>0</v>
      </c>
      <c r="CD19" s="46">
        <f>volume!CD19</f>
        <v>0</v>
      </c>
      <c r="CE19" s="46">
        <f>volume!CE19</f>
        <v>0</v>
      </c>
      <c r="CF19" s="47">
        <f>volume!CF19</f>
        <v>0</v>
      </c>
      <c r="CG19" s="49">
        <f t="shared" si="11"/>
        <v>0</v>
      </c>
      <c r="CH19" s="45">
        <f>volume!CH19</f>
        <v>15</v>
      </c>
      <c r="CI19" s="46">
        <f>volume!CI19</f>
        <v>5</v>
      </c>
      <c r="CJ19" s="46">
        <f>volume!CJ19</f>
        <v>0</v>
      </c>
      <c r="CK19" s="46">
        <f>volume!CK19</f>
        <v>0</v>
      </c>
      <c r="CL19" s="46">
        <f>volume!CL19</f>
        <v>0</v>
      </c>
      <c r="CM19" s="47">
        <f>volume!CM19</f>
        <v>1</v>
      </c>
      <c r="CN19" s="49">
        <f t="shared" si="12"/>
        <v>21</v>
      </c>
      <c r="CO19" s="45">
        <f>volume!CO19</f>
        <v>113</v>
      </c>
      <c r="CP19" s="46">
        <f>volume!CP19</f>
        <v>27</v>
      </c>
      <c r="CQ19" s="46">
        <f>volume!CQ19</f>
        <v>0</v>
      </c>
      <c r="CR19" s="46">
        <f>volume!CR19</f>
        <v>0</v>
      </c>
      <c r="CS19" s="46">
        <f>volume!CS19</f>
        <v>1</v>
      </c>
      <c r="CT19" s="47">
        <f>volume!CT19</f>
        <v>1</v>
      </c>
      <c r="CU19" s="49">
        <f t="shared" si="13"/>
        <v>142</v>
      </c>
      <c r="CV19" s="45">
        <f>volume!CV19</f>
        <v>0</v>
      </c>
      <c r="CW19" s="46">
        <f>volume!CW19</f>
        <v>0</v>
      </c>
      <c r="CX19" s="46">
        <f>volume!CX19</f>
        <v>0</v>
      </c>
      <c r="CY19" s="46">
        <f>volume!CY19</f>
        <v>0</v>
      </c>
      <c r="CZ19" s="46">
        <f>volume!CZ19</f>
        <v>0</v>
      </c>
      <c r="DA19" s="47">
        <f>volume!DA19</f>
        <v>0</v>
      </c>
      <c r="DB19" s="49">
        <f t="shared" si="14"/>
        <v>0</v>
      </c>
      <c r="DC19" s="45">
        <f>volume!DC19</f>
        <v>0</v>
      </c>
      <c r="DD19" s="46">
        <f>volume!DD19</f>
        <v>0</v>
      </c>
      <c r="DE19" s="46">
        <f>volume!DE19</f>
        <v>0</v>
      </c>
      <c r="DF19" s="46">
        <f>volume!DF19</f>
        <v>0</v>
      </c>
      <c r="DG19" s="46">
        <f>volume!DG19</f>
        <v>0</v>
      </c>
      <c r="DH19" s="47">
        <f>volume!DH19</f>
        <v>0</v>
      </c>
      <c r="DI19" s="49">
        <f t="shared" si="15"/>
        <v>0</v>
      </c>
      <c r="DJ19" s="45">
        <f>volume!DJ19</f>
        <v>0</v>
      </c>
      <c r="DK19" s="46">
        <f>volume!DK19</f>
        <v>0</v>
      </c>
      <c r="DL19" s="46">
        <f>volume!DL19</f>
        <v>0</v>
      </c>
      <c r="DM19" s="46">
        <f>volume!DM19</f>
        <v>0</v>
      </c>
      <c r="DN19" s="46">
        <f>volume!DN19</f>
        <v>0</v>
      </c>
      <c r="DO19" s="47">
        <f>volume!DO19</f>
        <v>0</v>
      </c>
      <c r="DP19" s="50">
        <f t="shared" si="16"/>
        <v>0</v>
      </c>
      <c r="DQ19" s="45">
        <f>volume!DQ19</f>
        <v>0</v>
      </c>
      <c r="DR19" s="46">
        <f>volume!DR19</f>
        <v>0</v>
      </c>
      <c r="DS19" s="46">
        <f>volume!DS19</f>
        <v>0</v>
      </c>
      <c r="DT19" s="46">
        <f>volume!DT19</f>
        <v>0</v>
      </c>
      <c r="DU19" s="46">
        <f>volume!DU19</f>
        <v>0</v>
      </c>
      <c r="DV19" s="47">
        <f>volume!DV19</f>
        <v>0</v>
      </c>
      <c r="DW19" s="50">
        <f t="shared" si="17"/>
        <v>0</v>
      </c>
      <c r="DX19" s="45">
        <f>volume!DX19</f>
        <v>0</v>
      </c>
      <c r="DY19" s="46">
        <f>volume!DY19</f>
        <v>0</v>
      </c>
      <c r="DZ19" s="46">
        <f>volume!DZ19</f>
        <v>0</v>
      </c>
      <c r="EA19" s="46">
        <f>volume!EA19</f>
        <v>0</v>
      </c>
      <c r="EB19" s="46">
        <f>volume!EB19</f>
        <v>0</v>
      </c>
      <c r="EC19" s="47">
        <f>volume!EC19</f>
        <v>0</v>
      </c>
      <c r="ED19" s="50">
        <f t="shared" si="18"/>
        <v>0</v>
      </c>
      <c r="EE19" s="272"/>
      <c r="EF19" s="272"/>
      <c r="EG19" s="272"/>
      <c r="EH19" s="272"/>
      <c r="EI19" s="272"/>
      <c r="EJ19" s="272"/>
      <c r="EK19" s="272"/>
      <c r="EL19" s="45">
        <f>volume!EL19</f>
        <v>0</v>
      </c>
      <c r="EM19" s="46">
        <f>volume!EM19</f>
        <v>0</v>
      </c>
      <c r="EN19" s="46">
        <f>volume!EN19</f>
        <v>0</v>
      </c>
      <c r="EO19" s="46">
        <f>volume!EO19</f>
        <v>0</v>
      </c>
      <c r="EP19" s="46">
        <f>volume!EP19</f>
        <v>0</v>
      </c>
      <c r="EQ19" s="47">
        <f>volume!EQ19</f>
        <v>0</v>
      </c>
      <c r="ER19" s="50">
        <f t="shared" si="19"/>
        <v>0</v>
      </c>
      <c r="ES19" s="45">
        <f>volume!ES19</f>
        <v>0</v>
      </c>
      <c r="ET19" s="46">
        <f>volume!ET19</f>
        <v>0</v>
      </c>
      <c r="EU19" s="46">
        <f>volume!EU19</f>
        <v>0</v>
      </c>
      <c r="EV19" s="46">
        <f>volume!EV19</f>
        <v>0</v>
      </c>
      <c r="EW19" s="46">
        <f>volume!EW19</f>
        <v>0</v>
      </c>
      <c r="EX19" s="47">
        <f>volume!EX19</f>
        <v>0</v>
      </c>
      <c r="EY19" s="50">
        <f t="shared" si="20"/>
        <v>0</v>
      </c>
      <c r="EZ19" s="45">
        <f>volume!EZ19</f>
        <v>0</v>
      </c>
      <c r="FA19" s="46">
        <f>volume!FA19</f>
        <v>0</v>
      </c>
      <c r="FB19" s="46">
        <f>volume!FB19</f>
        <v>0</v>
      </c>
      <c r="FC19" s="46">
        <f>volume!FC19</f>
        <v>0</v>
      </c>
      <c r="FD19" s="46">
        <f>volume!FD19</f>
        <v>0</v>
      </c>
      <c r="FE19" s="47">
        <f>volume!FE19</f>
        <v>0</v>
      </c>
      <c r="FF19" s="50">
        <f t="shared" si="21"/>
        <v>0</v>
      </c>
      <c r="FG19" s="272"/>
      <c r="FH19" s="272"/>
      <c r="FI19" s="272"/>
      <c r="FJ19" s="272"/>
      <c r="FK19" s="272"/>
      <c r="FL19" s="272"/>
      <c r="FM19" s="272"/>
      <c r="FN19" s="45">
        <f>volume!FN19</f>
        <v>0</v>
      </c>
      <c r="FO19" s="46">
        <f>volume!FO19</f>
        <v>0</v>
      </c>
      <c r="FP19" s="46">
        <f>volume!FP19</f>
        <v>0</v>
      </c>
      <c r="FQ19" s="46">
        <f>volume!FQ19</f>
        <v>0</v>
      </c>
      <c r="FR19" s="46">
        <f>volume!FR19</f>
        <v>0</v>
      </c>
      <c r="FS19" s="47">
        <f>volume!FS19</f>
        <v>0</v>
      </c>
      <c r="FT19" s="50">
        <f t="shared" si="22"/>
        <v>0</v>
      </c>
      <c r="FU19" s="45">
        <f>volume!FU19</f>
        <v>0</v>
      </c>
      <c r="FV19" s="46">
        <f>volume!FV19</f>
        <v>0</v>
      </c>
      <c r="FW19" s="46">
        <f>volume!FW19</f>
        <v>0</v>
      </c>
      <c r="FX19" s="46">
        <f>volume!FX19</f>
        <v>0</v>
      </c>
      <c r="FY19" s="46">
        <f>volume!FY19</f>
        <v>0</v>
      </c>
      <c r="FZ19" s="47">
        <f>volume!FZ19</f>
        <v>0</v>
      </c>
      <c r="GA19" s="50">
        <f t="shared" si="23"/>
        <v>0</v>
      </c>
      <c r="GB19" s="45">
        <f>volume!GB19</f>
        <v>0</v>
      </c>
      <c r="GC19" s="46">
        <f>volume!GC19</f>
        <v>0</v>
      </c>
      <c r="GD19" s="46">
        <f>volume!GD19</f>
        <v>0</v>
      </c>
      <c r="GE19" s="46">
        <f>volume!GE19</f>
        <v>0</v>
      </c>
      <c r="GF19" s="46">
        <f>volume!GF19</f>
        <v>0</v>
      </c>
      <c r="GG19" s="47">
        <f>volume!GG19</f>
        <v>0</v>
      </c>
      <c r="GH19" s="50">
        <f t="shared" si="24"/>
        <v>0</v>
      </c>
      <c r="GI19" s="272"/>
      <c r="GJ19" s="272"/>
      <c r="GK19" s="272"/>
      <c r="GL19" s="272"/>
      <c r="GM19" s="272"/>
      <c r="GN19" s="272"/>
      <c r="GO19" s="272"/>
      <c r="GP19" s="45">
        <f>volume!GP19</f>
        <v>0</v>
      </c>
      <c r="GQ19" s="46">
        <f>volume!GQ19</f>
        <v>0</v>
      </c>
      <c r="GR19" s="46">
        <f>volume!GR19</f>
        <v>0</v>
      </c>
      <c r="GS19" s="46">
        <f>volume!GS19</f>
        <v>0</v>
      </c>
      <c r="GT19" s="46">
        <f>volume!GT19</f>
        <v>0</v>
      </c>
      <c r="GU19" s="47">
        <f>volume!GU19</f>
        <v>0</v>
      </c>
      <c r="GV19" s="50">
        <f t="shared" si="25"/>
        <v>0</v>
      </c>
      <c r="GW19" s="45">
        <f>volume!GW19</f>
        <v>0</v>
      </c>
      <c r="GX19" s="46">
        <f>volume!GX19</f>
        <v>0</v>
      </c>
      <c r="GY19" s="46">
        <f>volume!GY19</f>
        <v>0</v>
      </c>
      <c r="GZ19" s="46">
        <f>volume!GZ19</f>
        <v>0</v>
      </c>
      <c r="HA19" s="46">
        <f>volume!HA19</f>
        <v>0</v>
      </c>
      <c r="HB19" s="47">
        <f>volume!HB19</f>
        <v>0</v>
      </c>
      <c r="HC19" s="50">
        <f t="shared" si="26"/>
        <v>0</v>
      </c>
      <c r="HD19" s="45">
        <f>volume!HD19</f>
        <v>0</v>
      </c>
      <c r="HE19" s="46">
        <f>volume!HE19</f>
        <v>0</v>
      </c>
      <c r="HF19" s="46">
        <f>volume!HF19</f>
        <v>0</v>
      </c>
      <c r="HG19" s="46">
        <f>volume!HG19</f>
        <v>0</v>
      </c>
      <c r="HH19" s="46">
        <f>volume!HH19</f>
        <v>0</v>
      </c>
      <c r="HI19" s="47">
        <f>volume!HI19</f>
        <v>0</v>
      </c>
      <c r="HJ19" s="50">
        <f t="shared" si="27"/>
        <v>0</v>
      </c>
    </row>
    <row r="20" spans="1:218" ht="21.75" customHeight="1" x14ac:dyDescent="0.6">
      <c r="A20" s="51" t="s">
        <v>75</v>
      </c>
      <c r="B20" s="52">
        <f>volume!B20</f>
        <v>25</v>
      </c>
      <c r="C20" s="53">
        <f>volume!C20</f>
        <v>9</v>
      </c>
      <c r="D20" s="53">
        <f>volume!D20</f>
        <v>0</v>
      </c>
      <c r="E20" s="53">
        <f>volume!E20</f>
        <v>0</v>
      </c>
      <c r="F20" s="53">
        <f>volume!F20</f>
        <v>2</v>
      </c>
      <c r="G20" s="54">
        <f>volume!G20</f>
        <v>0</v>
      </c>
      <c r="H20" s="48">
        <f t="shared" si="0"/>
        <v>36</v>
      </c>
      <c r="I20" s="52">
        <f>volume!I20</f>
        <v>61</v>
      </c>
      <c r="J20" s="53">
        <f>volume!J20</f>
        <v>14</v>
      </c>
      <c r="K20" s="53">
        <f>volume!K20</f>
        <v>0</v>
      </c>
      <c r="L20" s="53">
        <f>volume!L20</f>
        <v>0</v>
      </c>
      <c r="M20" s="53">
        <f>volume!M20</f>
        <v>0</v>
      </c>
      <c r="N20" s="54">
        <f>volume!N20</f>
        <v>0</v>
      </c>
      <c r="O20" s="49">
        <f t="shared" si="1"/>
        <v>75</v>
      </c>
      <c r="P20" s="52">
        <f>volume!P20</f>
        <v>28</v>
      </c>
      <c r="Q20" s="53">
        <f>volume!Q20</f>
        <v>4</v>
      </c>
      <c r="R20" s="53">
        <f>volume!R20</f>
        <v>0</v>
      </c>
      <c r="S20" s="53">
        <f>volume!S20</f>
        <v>0</v>
      </c>
      <c r="T20" s="53">
        <f>volume!T20</f>
        <v>0</v>
      </c>
      <c r="U20" s="54">
        <f>volume!U20</f>
        <v>0</v>
      </c>
      <c r="V20" s="49">
        <f t="shared" si="2"/>
        <v>32</v>
      </c>
      <c r="W20" s="52">
        <f>volume!W20</f>
        <v>0</v>
      </c>
      <c r="X20" s="53">
        <f>volume!X20</f>
        <v>0</v>
      </c>
      <c r="Y20" s="53">
        <f>volume!Y20</f>
        <v>0</v>
      </c>
      <c r="Z20" s="53">
        <f>volume!Z20</f>
        <v>0</v>
      </c>
      <c r="AA20" s="53">
        <f>volume!AA20</f>
        <v>0</v>
      </c>
      <c r="AB20" s="54">
        <f>volume!AB20</f>
        <v>0</v>
      </c>
      <c r="AC20" s="49">
        <f t="shared" si="3"/>
        <v>0</v>
      </c>
      <c r="AD20" s="52">
        <f>volume!AD20</f>
        <v>54</v>
      </c>
      <c r="AE20" s="53">
        <f>volume!AE20</f>
        <v>24</v>
      </c>
      <c r="AF20" s="53">
        <f>volume!AF20</f>
        <v>0</v>
      </c>
      <c r="AG20" s="53">
        <f>volume!AG20</f>
        <v>0</v>
      </c>
      <c r="AH20" s="53">
        <f>volume!AH20</f>
        <v>0</v>
      </c>
      <c r="AI20" s="54">
        <f>volume!AI20</f>
        <v>0</v>
      </c>
      <c r="AJ20" s="49">
        <f t="shared" si="4"/>
        <v>78</v>
      </c>
      <c r="AK20" s="52">
        <f>volume!AK20</f>
        <v>127</v>
      </c>
      <c r="AL20" s="53">
        <f>volume!AL20</f>
        <v>54</v>
      </c>
      <c r="AM20" s="53">
        <f>volume!AM20</f>
        <v>0</v>
      </c>
      <c r="AN20" s="53">
        <f>volume!AN20</f>
        <v>0</v>
      </c>
      <c r="AO20" s="53">
        <f>volume!AO20</f>
        <v>5</v>
      </c>
      <c r="AP20" s="54">
        <f>volume!AP20</f>
        <v>0</v>
      </c>
      <c r="AQ20" s="49">
        <f t="shared" si="5"/>
        <v>186</v>
      </c>
      <c r="AR20" s="52">
        <f>volume!AR20</f>
        <v>23</v>
      </c>
      <c r="AS20" s="53">
        <f>volume!AS20</f>
        <v>11</v>
      </c>
      <c r="AT20" s="53">
        <f>volume!AT20</f>
        <v>0</v>
      </c>
      <c r="AU20" s="53">
        <f>volume!AU20</f>
        <v>0</v>
      </c>
      <c r="AV20" s="53">
        <f>volume!AV20</f>
        <v>0</v>
      </c>
      <c r="AW20" s="54">
        <f>volume!AW20</f>
        <v>0</v>
      </c>
      <c r="AX20" s="49">
        <f t="shared" si="6"/>
        <v>34</v>
      </c>
      <c r="AY20" s="52">
        <f>volume!AY20</f>
        <v>40</v>
      </c>
      <c r="AZ20" s="53">
        <f>volume!AZ20</f>
        <v>23</v>
      </c>
      <c r="BA20" s="53">
        <f>volume!BA20</f>
        <v>0</v>
      </c>
      <c r="BB20" s="53">
        <f>volume!BB20</f>
        <v>0</v>
      </c>
      <c r="BC20" s="53">
        <f>volume!BC20</f>
        <v>2</v>
      </c>
      <c r="BD20" s="54">
        <f>volume!BD20</f>
        <v>1</v>
      </c>
      <c r="BE20" s="49">
        <f t="shared" si="7"/>
        <v>66</v>
      </c>
      <c r="BF20" s="52">
        <f>volume!BF20</f>
        <v>3</v>
      </c>
      <c r="BG20" s="53">
        <f>volume!BG20</f>
        <v>0</v>
      </c>
      <c r="BH20" s="53">
        <f>volume!BH20</f>
        <v>0</v>
      </c>
      <c r="BI20" s="53">
        <f>volume!BI20</f>
        <v>0</v>
      </c>
      <c r="BJ20" s="53">
        <f>volume!BJ20</f>
        <v>0</v>
      </c>
      <c r="BK20" s="54">
        <f>volume!BK20</f>
        <v>0</v>
      </c>
      <c r="BL20" s="49">
        <f t="shared" si="8"/>
        <v>3</v>
      </c>
      <c r="BM20" s="52">
        <f>volume!BM20</f>
        <v>62</v>
      </c>
      <c r="BN20" s="53">
        <f>volume!BN20</f>
        <v>14</v>
      </c>
      <c r="BO20" s="53">
        <f>volume!BO20</f>
        <v>0</v>
      </c>
      <c r="BP20" s="53">
        <f>volume!BP20</f>
        <v>0</v>
      </c>
      <c r="BQ20" s="53">
        <f>volume!BQ20</f>
        <v>0</v>
      </c>
      <c r="BR20" s="54">
        <f>volume!BR20</f>
        <v>0</v>
      </c>
      <c r="BS20" s="49">
        <f t="shared" si="9"/>
        <v>76</v>
      </c>
      <c r="BT20" s="52">
        <f>volume!BT20</f>
        <v>43</v>
      </c>
      <c r="BU20" s="53">
        <f>volume!BU20</f>
        <v>14</v>
      </c>
      <c r="BV20" s="53">
        <f>volume!BV20</f>
        <v>0</v>
      </c>
      <c r="BW20" s="53">
        <f>volume!BW20</f>
        <v>0</v>
      </c>
      <c r="BX20" s="53">
        <f>volume!BX20</f>
        <v>0</v>
      </c>
      <c r="BY20" s="54">
        <f>volume!BY20</f>
        <v>0</v>
      </c>
      <c r="BZ20" s="49">
        <f t="shared" si="10"/>
        <v>57</v>
      </c>
      <c r="CA20" s="52">
        <f>volume!CA20</f>
        <v>0</v>
      </c>
      <c r="CB20" s="53">
        <f>volume!CB20</f>
        <v>0</v>
      </c>
      <c r="CC20" s="53">
        <f>volume!CC20</f>
        <v>0</v>
      </c>
      <c r="CD20" s="53">
        <f>volume!CD20</f>
        <v>0</v>
      </c>
      <c r="CE20" s="53">
        <f>volume!CE20</f>
        <v>0</v>
      </c>
      <c r="CF20" s="54">
        <f>volume!CF20</f>
        <v>0</v>
      </c>
      <c r="CG20" s="49">
        <f t="shared" si="11"/>
        <v>0</v>
      </c>
      <c r="CH20" s="52">
        <f>volume!CH20</f>
        <v>20</v>
      </c>
      <c r="CI20" s="53">
        <f>volume!CI20</f>
        <v>9</v>
      </c>
      <c r="CJ20" s="53">
        <f>volume!CJ20</f>
        <v>0</v>
      </c>
      <c r="CK20" s="53">
        <f>volume!CK20</f>
        <v>0</v>
      </c>
      <c r="CL20" s="53">
        <f>volume!CL20</f>
        <v>1</v>
      </c>
      <c r="CM20" s="54">
        <f>volume!CM20</f>
        <v>0</v>
      </c>
      <c r="CN20" s="49">
        <f t="shared" si="12"/>
        <v>30</v>
      </c>
      <c r="CO20" s="52">
        <f>volume!CO20</f>
        <v>94</v>
      </c>
      <c r="CP20" s="53">
        <f>volume!CP20</f>
        <v>24</v>
      </c>
      <c r="CQ20" s="53">
        <f>volume!CQ20</f>
        <v>2</v>
      </c>
      <c r="CR20" s="53">
        <f>volume!CR20</f>
        <v>0</v>
      </c>
      <c r="CS20" s="53">
        <f>volume!CS20</f>
        <v>1</v>
      </c>
      <c r="CT20" s="54">
        <f>volume!CT20</f>
        <v>0</v>
      </c>
      <c r="CU20" s="49">
        <f t="shared" si="13"/>
        <v>121</v>
      </c>
      <c r="CV20" s="52">
        <f>volume!CV20</f>
        <v>0</v>
      </c>
      <c r="CW20" s="53">
        <f>volume!CW20</f>
        <v>0</v>
      </c>
      <c r="CX20" s="53">
        <f>volume!CX20</f>
        <v>0</v>
      </c>
      <c r="CY20" s="53">
        <f>volume!CY20</f>
        <v>0</v>
      </c>
      <c r="CZ20" s="53">
        <f>volume!CZ20</f>
        <v>0</v>
      </c>
      <c r="DA20" s="54">
        <f>volume!DA20</f>
        <v>0</v>
      </c>
      <c r="DB20" s="49">
        <f t="shared" si="14"/>
        <v>0</v>
      </c>
      <c r="DC20" s="52">
        <f>volume!DC20</f>
        <v>0</v>
      </c>
      <c r="DD20" s="53">
        <f>volume!DD20</f>
        <v>0</v>
      </c>
      <c r="DE20" s="53">
        <f>volume!DE20</f>
        <v>0</v>
      </c>
      <c r="DF20" s="53">
        <f>volume!DF20</f>
        <v>0</v>
      </c>
      <c r="DG20" s="53">
        <f>volume!DG20</f>
        <v>0</v>
      </c>
      <c r="DH20" s="54">
        <f>volume!DH20</f>
        <v>0</v>
      </c>
      <c r="DI20" s="49">
        <f t="shared" si="15"/>
        <v>0</v>
      </c>
      <c r="DJ20" s="52">
        <f>volume!DJ20</f>
        <v>0</v>
      </c>
      <c r="DK20" s="53">
        <f>volume!DK20</f>
        <v>0</v>
      </c>
      <c r="DL20" s="53">
        <f>volume!DL20</f>
        <v>0</v>
      </c>
      <c r="DM20" s="53">
        <f>volume!DM20</f>
        <v>0</v>
      </c>
      <c r="DN20" s="53">
        <f>volume!DN20</f>
        <v>0</v>
      </c>
      <c r="DO20" s="54">
        <f>volume!DO20</f>
        <v>0</v>
      </c>
      <c r="DP20" s="50">
        <f t="shared" si="16"/>
        <v>0</v>
      </c>
      <c r="DQ20" s="52">
        <f>volume!DQ20</f>
        <v>0</v>
      </c>
      <c r="DR20" s="53">
        <f>volume!DR20</f>
        <v>0</v>
      </c>
      <c r="DS20" s="53">
        <f>volume!DS20</f>
        <v>0</v>
      </c>
      <c r="DT20" s="53">
        <f>volume!DT20</f>
        <v>0</v>
      </c>
      <c r="DU20" s="53">
        <f>volume!DU20</f>
        <v>0</v>
      </c>
      <c r="DV20" s="54">
        <f>volume!DV20</f>
        <v>0</v>
      </c>
      <c r="DW20" s="50">
        <f t="shared" si="17"/>
        <v>0</v>
      </c>
      <c r="DX20" s="52">
        <f>volume!DX20</f>
        <v>0</v>
      </c>
      <c r="DY20" s="53">
        <f>volume!DY20</f>
        <v>0</v>
      </c>
      <c r="DZ20" s="53">
        <f>volume!DZ20</f>
        <v>0</v>
      </c>
      <c r="EA20" s="53">
        <f>volume!EA20</f>
        <v>0</v>
      </c>
      <c r="EB20" s="53">
        <f>volume!EB20</f>
        <v>0</v>
      </c>
      <c r="EC20" s="54">
        <f>volume!EC20</f>
        <v>0</v>
      </c>
      <c r="ED20" s="50">
        <f t="shared" si="18"/>
        <v>0</v>
      </c>
      <c r="EE20" s="273"/>
      <c r="EF20" s="273"/>
      <c r="EG20" s="273"/>
      <c r="EH20" s="273"/>
      <c r="EI20" s="273"/>
      <c r="EJ20" s="273"/>
      <c r="EK20" s="273"/>
      <c r="EL20" s="52">
        <f>volume!EL20</f>
        <v>0</v>
      </c>
      <c r="EM20" s="53">
        <f>volume!EM20</f>
        <v>0</v>
      </c>
      <c r="EN20" s="53">
        <f>volume!EN20</f>
        <v>0</v>
      </c>
      <c r="EO20" s="53">
        <f>volume!EO20</f>
        <v>0</v>
      </c>
      <c r="EP20" s="53">
        <f>volume!EP20</f>
        <v>0</v>
      </c>
      <c r="EQ20" s="54">
        <f>volume!EQ20</f>
        <v>0</v>
      </c>
      <c r="ER20" s="50">
        <f t="shared" si="19"/>
        <v>0</v>
      </c>
      <c r="ES20" s="52">
        <f>volume!ES20</f>
        <v>0</v>
      </c>
      <c r="ET20" s="53">
        <f>volume!ET20</f>
        <v>0</v>
      </c>
      <c r="EU20" s="53">
        <f>volume!EU20</f>
        <v>0</v>
      </c>
      <c r="EV20" s="53">
        <f>volume!EV20</f>
        <v>0</v>
      </c>
      <c r="EW20" s="53">
        <f>volume!EW20</f>
        <v>0</v>
      </c>
      <c r="EX20" s="54">
        <f>volume!EX20</f>
        <v>0</v>
      </c>
      <c r="EY20" s="50">
        <f t="shared" si="20"/>
        <v>0</v>
      </c>
      <c r="EZ20" s="52">
        <f>volume!EZ20</f>
        <v>0</v>
      </c>
      <c r="FA20" s="53">
        <f>volume!FA20</f>
        <v>0</v>
      </c>
      <c r="FB20" s="53">
        <f>volume!FB20</f>
        <v>0</v>
      </c>
      <c r="FC20" s="53">
        <f>volume!FC20</f>
        <v>0</v>
      </c>
      <c r="FD20" s="53">
        <f>volume!FD20</f>
        <v>0</v>
      </c>
      <c r="FE20" s="54">
        <f>volume!FE20</f>
        <v>0</v>
      </c>
      <c r="FF20" s="50">
        <f t="shared" si="21"/>
        <v>0</v>
      </c>
      <c r="FG20" s="273"/>
      <c r="FH20" s="273"/>
      <c r="FI20" s="273"/>
      <c r="FJ20" s="273"/>
      <c r="FK20" s="273"/>
      <c r="FL20" s="273"/>
      <c r="FM20" s="273"/>
      <c r="FN20" s="52">
        <f>volume!FN20</f>
        <v>0</v>
      </c>
      <c r="FO20" s="53">
        <f>volume!FO20</f>
        <v>0</v>
      </c>
      <c r="FP20" s="53">
        <f>volume!FP20</f>
        <v>0</v>
      </c>
      <c r="FQ20" s="53">
        <f>volume!FQ20</f>
        <v>0</v>
      </c>
      <c r="FR20" s="53">
        <f>volume!FR20</f>
        <v>0</v>
      </c>
      <c r="FS20" s="54">
        <f>volume!FS20</f>
        <v>0</v>
      </c>
      <c r="FT20" s="50">
        <f t="shared" si="22"/>
        <v>0</v>
      </c>
      <c r="FU20" s="52">
        <f>volume!FU20</f>
        <v>0</v>
      </c>
      <c r="FV20" s="53">
        <f>volume!FV20</f>
        <v>0</v>
      </c>
      <c r="FW20" s="53">
        <f>volume!FW20</f>
        <v>0</v>
      </c>
      <c r="FX20" s="53">
        <f>volume!FX20</f>
        <v>0</v>
      </c>
      <c r="FY20" s="53">
        <f>volume!FY20</f>
        <v>0</v>
      </c>
      <c r="FZ20" s="54">
        <f>volume!FZ20</f>
        <v>0</v>
      </c>
      <c r="GA20" s="50">
        <f t="shared" si="23"/>
        <v>0</v>
      </c>
      <c r="GB20" s="52">
        <f>volume!GB20</f>
        <v>0</v>
      </c>
      <c r="GC20" s="53">
        <f>volume!GC20</f>
        <v>0</v>
      </c>
      <c r="GD20" s="53">
        <f>volume!GD20</f>
        <v>0</v>
      </c>
      <c r="GE20" s="53">
        <f>volume!GE20</f>
        <v>0</v>
      </c>
      <c r="GF20" s="53">
        <f>volume!GF20</f>
        <v>0</v>
      </c>
      <c r="GG20" s="54">
        <f>volume!GG20</f>
        <v>0</v>
      </c>
      <c r="GH20" s="50">
        <f t="shared" si="24"/>
        <v>0</v>
      </c>
      <c r="GI20" s="273"/>
      <c r="GJ20" s="273"/>
      <c r="GK20" s="273"/>
      <c r="GL20" s="273"/>
      <c r="GM20" s="273"/>
      <c r="GN20" s="273"/>
      <c r="GO20" s="273"/>
      <c r="GP20" s="52">
        <f>volume!GP20</f>
        <v>0</v>
      </c>
      <c r="GQ20" s="53">
        <f>volume!GQ20</f>
        <v>0</v>
      </c>
      <c r="GR20" s="53">
        <f>volume!GR20</f>
        <v>0</v>
      </c>
      <c r="GS20" s="53">
        <f>volume!GS20</f>
        <v>0</v>
      </c>
      <c r="GT20" s="53">
        <f>volume!GT20</f>
        <v>0</v>
      </c>
      <c r="GU20" s="54">
        <f>volume!GU20</f>
        <v>0</v>
      </c>
      <c r="GV20" s="50">
        <f t="shared" si="25"/>
        <v>0</v>
      </c>
      <c r="GW20" s="52">
        <f>volume!GW20</f>
        <v>0</v>
      </c>
      <c r="GX20" s="53">
        <f>volume!GX20</f>
        <v>0</v>
      </c>
      <c r="GY20" s="53">
        <f>volume!GY20</f>
        <v>0</v>
      </c>
      <c r="GZ20" s="53">
        <f>volume!GZ20</f>
        <v>0</v>
      </c>
      <c r="HA20" s="53">
        <f>volume!HA20</f>
        <v>0</v>
      </c>
      <c r="HB20" s="54">
        <f>volume!HB20</f>
        <v>0</v>
      </c>
      <c r="HC20" s="50">
        <f t="shared" si="26"/>
        <v>0</v>
      </c>
      <c r="HD20" s="52">
        <f>volume!HD20</f>
        <v>0</v>
      </c>
      <c r="HE20" s="53">
        <f>volume!HE20</f>
        <v>0</v>
      </c>
      <c r="HF20" s="53">
        <f>volume!HF20</f>
        <v>0</v>
      </c>
      <c r="HG20" s="53">
        <f>volume!HG20</f>
        <v>0</v>
      </c>
      <c r="HH20" s="53">
        <f>volume!HH20</f>
        <v>0</v>
      </c>
      <c r="HI20" s="54">
        <f>volume!HI20</f>
        <v>0</v>
      </c>
      <c r="HJ20" s="50">
        <f t="shared" si="27"/>
        <v>0</v>
      </c>
    </row>
    <row r="21" spans="1:218" ht="21.75" customHeight="1" x14ac:dyDescent="0.6">
      <c r="A21" s="51" t="s">
        <v>76</v>
      </c>
      <c r="B21" s="52">
        <f>volume!B21</f>
        <v>29</v>
      </c>
      <c r="C21" s="53">
        <f>volume!C21</f>
        <v>11</v>
      </c>
      <c r="D21" s="53">
        <f>volume!D21</f>
        <v>0</v>
      </c>
      <c r="E21" s="53">
        <f>volume!E21</f>
        <v>0</v>
      </c>
      <c r="F21" s="53">
        <f>volume!F21</f>
        <v>0</v>
      </c>
      <c r="G21" s="54">
        <f>volume!G21</f>
        <v>1</v>
      </c>
      <c r="H21" s="48">
        <f t="shared" si="0"/>
        <v>41</v>
      </c>
      <c r="I21" s="52">
        <f>volume!I21</f>
        <v>39</v>
      </c>
      <c r="J21" s="53">
        <f>volume!J21</f>
        <v>8</v>
      </c>
      <c r="K21" s="53">
        <f>volume!K21</f>
        <v>0</v>
      </c>
      <c r="L21" s="53">
        <f>volume!L21</f>
        <v>0</v>
      </c>
      <c r="M21" s="53">
        <f>volume!M21</f>
        <v>0</v>
      </c>
      <c r="N21" s="54">
        <f>volume!N21</f>
        <v>0</v>
      </c>
      <c r="O21" s="49">
        <f t="shared" si="1"/>
        <v>47</v>
      </c>
      <c r="P21" s="52">
        <f>volume!P21</f>
        <v>26</v>
      </c>
      <c r="Q21" s="53">
        <f>volume!Q21</f>
        <v>5</v>
      </c>
      <c r="R21" s="53">
        <f>volume!R21</f>
        <v>0</v>
      </c>
      <c r="S21" s="53">
        <f>volume!S21</f>
        <v>0</v>
      </c>
      <c r="T21" s="53">
        <f>volume!T21</f>
        <v>0</v>
      </c>
      <c r="U21" s="54">
        <f>volume!U21</f>
        <v>0</v>
      </c>
      <c r="V21" s="49">
        <f t="shared" si="2"/>
        <v>31</v>
      </c>
      <c r="W21" s="52">
        <f>volume!W21</f>
        <v>0</v>
      </c>
      <c r="X21" s="53">
        <f>volume!X21</f>
        <v>0</v>
      </c>
      <c r="Y21" s="53">
        <f>volume!Y21</f>
        <v>0</v>
      </c>
      <c r="Z21" s="53">
        <f>volume!Z21</f>
        <v>0</v>
      </c>
      <c r="AA21" s="53">
        <f>volume!AA21</f>
        <v>0</v>
      </c>
      <c r="AB21" s="54">
        <f>volume!AB21</f>
        <v>0</v>
      </c>
      <c r="AC21" s="49">
        <f t="shared" si="3"/>
        <v>0</v>
      </c>
      <c r="AD21" s="52">
        <f>volume!AD21</f>
        <v>66</v>
      </c>
      <c r="AE21" s="53">
        <f>volume!AE21</f>
        <v>19</v>
      </c>
      <c r="AF21" s="53">
        <f>volume!AF21</f>
        <v>0</v>
      </c>
      <c r="AG21" s="53">
        <f>volume!AG21</f>
        <v>0</v>
      </c>
      <c r="AH21" s="53">
        <f>volume!AH21</f>
        <v>0</v>
      </c>
      <c r="AI21" s="54">
        <f>volume!AI21</f>
        <v>0</v>
      </c>
      <c r="AJ21" s="49">
        <f t="shared" si="4"/>
        <v>85</v>
      </c>
      <c r="AK21" s="52">
        <f>volume!AK21</f>
        <v>140</v>
      </c>
      <c r="AL21" s="53">
        <f>volume!AL21</f>
        <v>42</v>
      </c>
      <c r="AM21" s="53">
        <f>volume!AM21</f>
        <v>0</v>
      </c>
      <c r="AN21" s="53">
        <f>volume!AN21</f>
        <v>0</v>
      </c>
      <c r="AO21" s="53">
        <f>volume!AO21</f>
        <v>6</v>
      </c>
      <c r="AP21" s="54">
        <f>volume!AP21</f>
        <v>0</v>
      </c>
      <c r="AQ21" s="49">
        <f t="shared" si="5"/>
        <v>188</v>
      </c>
      <c r="AR21" s="52">
        <f>volume!AR21</f>
        <v>20</v>
      </c>
      <c r="AS21" s="53">
        <f>volume!AS21</f>
        <v>8</v>
      </c>
      <c r="AT21" s="53">
        <f>volume!AT21</f>
        <v>0</v>
      </c>
      <c r="AU21" s="53">
        <f>volume!AU21</f>
        <v>0</v>
      </c>
      <c r="AV21" s="53">
        <f>volume!AV21</f>
        <v>1</v>
      </c>
      <c r="AW21" s="54">
        <f>volume!AW21</f>
        <v>0</v>
      </c>
      <c r="AX21" s="49">
        <f t="shared" si="6"/>
        <v>29</v>
      </c>
      <c r="AY21" s="52">
        <f>volume!AY21</f>
        <v>32</v>
      </c>
      <c r="AZ21" s="53">
        <f>volume!AZ21</f>
        <v>20</v>
      </c>
      <c r="BA21" s="53">
        <f>volume!BA21</f>
        <v>0</v>
      </c>
      <c r="BB21" s="53">
        <f>volume!BB21</f>
        <v>0</v>
      </c>
      <c r="BC21" s="53">
        <f>volume!BC21</f>
        <v>0</v>
      </c>
      <c r="BD21" s="54">
        <f>volume!BD21</f>
        <v>1</v>
      </c>
      <c r="BE21" s="49">
        <f t="shared" si="7"/>
        <v>53</v>
      </c>
      <c r="BF21" s="52">
        <f>volume!BF21</f>
        <v>2</v>
      </c>
      <c r="BG21" s="53">
        <f>volume!BG21</f>
        <v>2</v>
      </c>
      <c r="BH21" s="53">
        <f>volume!BH21</f>
        <v>0</v>
      </c>
      <c r="BI21" s="53">
        <f>volume!BI21</f>
        <v>0</v>
      </c>
      <c r="BJ21" s="53">
        <f>volume!BJ21</f>
        <v>0</v>
      </c>
      <c r="BK21" s="54">
        <f>volume!BK21</f>
        <v>0</v>
      </c>
      <c r="BL21" s="49">
        <f t="shared" si="8"/>
        <v>4</v>
      </c>
      <c r="BM21" s="52">
        <f>volume!BM21</f>
        <v>71</v>
      </c>
      <c r="BN21" s="53">
        <f>volume!BN21</f>
        <v>16</v>
      </c>
      <c r="BO21" s="53">
        <f>volume!BO21</f>
        <v>0</v>
      </c>
      <c r="BP21" s="53">
        <f>volume!BP21</f>
        <v>0</v>
      </c>
      <c r="BQ21" s="53">
        <f>volume!BQ21</f>
        <v>0</v>
      </c>
      <c r="BR21" s="54">
        <f>volume!BR21</f>
        <v>0</v>
      </c>
      <c r="BS21" s="49">
        <f t="shared" si="9"/>
        <v>87</v>
      </c>
      <c r="BT21" s="52">
        <f>volume!BT21</f>
        <v>59</v>
      </c>
      <c r="BU21" s="53">
        <f>volume!BU21</f>
        <v>9</v>
      </c>
      <c r="BV21" s="53">
        <f>volume!BV21</f>
        <v>0</v>
      </c>
      <c r="BW21" s="53">
        <f>volume!BW21</f>
        <v>0</v>
      </c>
      <c r="BX21" s="53">
        <f>volume!BX21</f>
        <v>0</v>
      </c>
      <c r="BY21" s="54">
        <f>volume!BY21</f>
        <v>0</v>
      </c>
      <c r="BZ21" s="49">
        <f t="shared" si="10"/>
        <v>68</v>
      </c>
      <c r="CA21" s="52">
        <f>volume!CA21</f>
        <v>0</v>
      </c>
      <c r="CB21" s="53">
        <f>volume!CB21</f>
        <v>0</v>
      </c>
      <c r="CC21" s="53">
        <f>volume!CC21</f>
        <v>0</v>
      </c>
      <c r="CD21" s="53">
        <f>volume!CD21</f>
        <v>0</v>
      </c>
      <c r="CE21" s="53">
        <f>volume!CE21</f>
        <v>0</v>
      </c>
      <c r="CF21" s="54">
        <f>volume!CF21</f>
        <v>0</v>
      </c>
      <c r="CG21" s="49">
        <f t="shared" si="11"/>
        <v>0</v>
      </c>
      <c r="CH21" s="52">
        <f>volume!CH21</f>
        <v>25</v>
      </c>
      <c r="CI21" s="53">
        <f>volume!CI21</f>
        <v>7</v>
      </c>
      <c r="CJ21" s="53">
        <f>volume!CJ21</f>
        <v>0</v>
      </c>
      <c r="CK21" s="53">
        <f>volume!CK21</f>
        <v>0</v>
      </c>
      <c r="CL21" s="53">
        <f>volume!CL21</f>
        <v>0</v>
      </c>
      <c r="CM21" s="54">
        <f>volume!CM21</f>
        <v>0</v>
      </c>
      <c r="CN21" s="49">
        <f t="shared" si="12"/>
        <v>32</v>
      </c>
      <c r="CO21" s="52">
        <f>volume!CO21</f>
        <v>97</v>
      </c>
      <c r="CP21" s="53">
        <f>volume!CP21</f>
        <v>20</v>
      </c>
      <c r="CQ21" s="53">
        <f>volume!CQ21</f>
        <v>0</v>
      </c>
      <c r="CR21" s="53">
        <f>volume!CR21</f>
        <v>1</v>
      </c>
      <c r="CS21" s="53">
        <f>volume!CS21</f>
        <v>3</v>
      </c>
      <c r="CT21" s="54">
        <f>volume!CT21</f>
        <v>0</v>
      </c>
      <c r="CU21" s="49">
        <f t="shared" si="13"/>
        <v>121</v>
      </c>
      <c r="CV21" s="52">
        <f>volume!CV21</f>
        <v>0</v>
      </c>
      <c r="CW21" s="53">
        <f>volume!CW21</f>
        <v>0</v>
      </c>
      <c r="CX21" s="53">
        <f>volume!CX21</f>
        <v>0</v>
      </c>
      <c r="CY21" s="53">
        <f>volume!CY21</f>
        <v>0</v>
      </c>
      <c r="CZ21" s="53">
        <f>volume!CZ21</f>
        <v>0</v>
      </c>
      <c r="DA21" s="54">
        <f>volume!DA21</f>
        <v>0</v>
      </c>
      <c r="DB21" s="49">
        <f t="shared" si="14"/>
        <v>0</v>
      </c>
      <c r="DC21" s="52">
        <f>volume!DC21</f>
        <v>0</v>
      </c>
      <c r="DD21" s="53">
        <f>volume!DD21</f>
        <v>0</v>
      </c>
      <c r="DE21" s="53">
        <f>volume!DE21</f>
        <v>0</v>
      </c>
      <c r="DF21" s="53">
        <f>volume!DF21</f>
        <v>0</v>
      </c>
      <c r="DG21" s="53">
        <f>volume!DG21</f>
        <v>0</v>
      </c>
      <c r="DH21" s="54">
        <f>volume!DH21</f>
        <v>0</v>
      </c>
      <c r="DI21" s="49">
        <f t="shared" si="15"/>
        <v>0</v>
      </c>
      <c r="DJ21" s="52">
        <f>volume!DJ21</f>
        <v>0</v>
      </c>
      <c r="DK21" s="53">
        <f>volume!DK21</f>
        <v>0</v>
      </c>
      <c r="DL21" s="53">
        <f>volume!DL21</f>
        <v>0</v>
      </c>
      <c r="DM21" s="53">
        <f>volume!DM21</f>
        <v>0</v>
      </c>
      <c r="DN21" s="53">
        <f>volume!DN21</f>
        <v>0</v>
      </c>
      <c r="DO21" s="54">
        <f>volume!DO21</f>
        <v>0</v>
      </c>
      <c r="DP21" s="50">
        <f t="shared" si="16"/>
        <v>0</v>
      </c>
      <c r="DQ21" s="52">
        <f>volume!DQ21</f>
        <v>0</v>
      </c>
      <c r="DR21" s="53">
        <f>volume!DR21</f>
        <v>0</v>
      </c>
      <c r="DS21" s="53">
        <f>volume!DS21</f>
        <v>0</v>
      </c>
      <c r="DT21" s="53">
        <f>volume!DT21</f>
        <v>0</v>
      </c>
      <c r="DU21" s="53">
        <f>volume!DU21</f>
        <v>0</v>
      </c>
      <c r="DV21" s="54">
        <f>volume!DV21</f>
        <v>0</v>
      </c>
      <c r="DW21" s="50">
        <f t="shared" si="17"/>
        <v>0</v>
      </c>
      <c r="DX21" s="52">
        <f>volume!DX21</f>
        <v>0</v>
      </c>
      <c r="DY21" s="53">
        <f>volume!DY21</f>
        <v>0</v>
      </c>
      <c r="DZ21" s="53">
        <f>volume!DZ21</f>
        <v>0</v>
      </c>
      <c r="EA21" s="53">
        <f>volume!EA21</f>
        <v>0</v>
      </c>
      <c r="EB21" s="53">
        <f>volume!EB21</f>
        <v>0</v>
      </c>
      <c r="EC21" s="54">
        <f>volume!EC21</f>
        <v>0</v>
      </c>
      <c r="ED21" s="50">
        <f t="shared" si="18"/>
        <v>0</v>
      </c>
      <c r="EE21" s="273"/>
      <c r="EF21" s="273"/>
      <c r="EG21" s="273"/>
      <c r="EH21" s="273"/>
      <c r="EI21" s="273"/>
      <c r="EJ21" s="273"/>
      <c r="EK21" s="273"/>
      <c r="EL21" s="52">
        <f>volume!EL21</f>
        <v>0</v>
      </c>
      <c r="EM21" s="53">
        <f>volume!EM21</f>
        <v>0</v>
      </c>
      <c r="EN21" s="53">
        <f>volume!EN21</f>
        <v>0</v>
      </c>
      <c r="EO21" s="53">
        <f>volume!EO21</f>
        <v>0</v>
      </c>
      <c r="EP21" s="53">
        <f>volume!EP21</f>
        <v>0</v>
      </c>
      <c r="EQ21" s="54">
        <f>volume!EQ21</f>
        <v>0</v>
      </c>
      <c r="ER21" s="50">
        <f t="shared" si="19"/>
        <v>0</v>
      </c>
      <c r="ES21" s="52">
        <f>volume!ES21</f>
        <v>0</v>
      </c>
      <c r="ET21" s="53">
        <f>volume!ET21</f>
        <v>0</v>
      </c>
      <c r="EU21" s="53">
        <f>volume!EU21</f>
        <v>0</v>
      </c>
      <c r="EV21" s="53">
        <f>volume!EV21</f>
        <v>0</v>
      </c>
      <c r="EW21" s="53">
        <f>volume!EW21</f>
        <v>0</v>
      </c>
      <c r="EX21" s="54">
        <f>volume!EX21</f>
        <v>0</v>
      </c>
      <c r="EY21" s="50">
        <f t="shared" si="20"/>
        <v>0</v>
      </c>
      <c r="EZ21" s="52">
        <f>volume!EZ21</f>
        <v>0</v>
      </c>
      <c r="FA21" s="53">
        <f>volume!FA21</f>
        <v>0</v>
      </c>
      <c r="FB21" s="53">
        <f>volume!FB21</f>
        <v>0</v>
      </c>
      <c r="FC21" s="53">
        <f>volume!FC21</f>
        <v>0</v>
      </c>
      <c r="FD21" s="53">
        <f>volume!FD21</f>
        <v>0</v>
      </c>
      <c r="FE21" s="54">
        <f>volume!FE21</f>
        <v>0</v>
      </c>
      <c r="FF21" s="50">
        <f t="shared" si="21"/>
        <v>0</v>
      </c>
      <c r="FG21" s="273"/>
      <c r="FH21" s="273"/>
      <c r="FI21" s="273"/>
      <c r="FJ21" s="273"/>
      <c r="FK21" s="273"/>
      <c r="FL21" s="273"/>
      <c r="FM21" s="273"/>
      <c r="FN21" s="52">
        <f>volume!FN21</f>
        <v>0</v>
      </c>
      <c r="FO21" s="53">
        <f>volume!FO21</f>
        <v>0</v>
      </c>
      <c r="FP21" s="53">
        <f>volume!FP21</f>
        <v>0</v>
      </c>
      <c r="FQ21" s="53">
        <f>volume!FQ21</f>
        <v>0</v>
      </c>
      <c r="FR21" s="53">
        <f>volume!FR21</f>
        <v>0</v>
      </c>
      <c r="FS21" s="54">
        <f>volume!FS21</f>
        <v>0</v>
      </c>
      <c r="FT21" s="50">
        <f t="shared" si="22"/>
        <v>0</v>
      </c>
      <c r="FU21" s="52">
        <f>volume!FU21</f>
        <v>0</v>
      </c>
      <c r="FV21" s="53">
        <f>volume!FV21</f>
        <v>0</v>
      </c>
      <c r="FW21" s="53">
        <f>volume!FW21</f>
        <v>0</v>
      </c>
      <c r="FX21" s="53">
        <f>volume!FX21</f>
        <v>0</v>
      </c>
      <c r="FY21" s="53">
        <f>volume!FY21</f>
        <v>0</v>
      </c>
      <c r="FZ21" s="54">
        <f>volume!FZ21</f>
        <v>0</v>
      </c>
      <c r="GA21" s="50">
        <f t="shared" si="23"/>
        <v>0</v>
      </c>
      <c r="GB21" s="52">
        <f>volume!GB21</f>
        <v>0</v>
      </c>
      <c r="GC21" s="53">
        <f>volume!GC21</f>
        <v>0</v>
      </c>
      <c r="GD21" s="53">
        <f>volume!GD21</f>
        <v>0</v>
      </c>
      <c r="GE21" s="53">
        <f>volume!GE21</f>
        <v>0</v>
      </c>
      <c r="GF21" s="53">
        <f>volume!GF21</f>
        <v>0</v>
      </c>
      <c r="GG21" s="54">
        <f>volume!GG21</f>
        <v>0</v>
      </c>
      <c r="GH21" s="50">
        <f t="shared" si="24"/>
        <v>0</v>
      </c>
      <c r="GI21" s="273"/>
      <c r="GJ21" s="273"/>
      <c r="GK21" s="273"/>
      <c r="GL21" s="273"/>
      <c r="GM21" s="273"/>
      <c r="GN21" s="273"/>
      <c r="GO21" s="273"/>
      <c r="GP21" s="52">
        <f>volume!GP21</f>
        <v>0</v>
      </c>
      <c r="GQ21" s="53">
        <f>volume!GQ21</f>
        <v>0</v>
      </c>
      <c r="GR21" s="53">
        <f>volume!GR21</f>
        <v>0</v>
      </c>
      <c r="GS21" s="53">
        <f>volume!GS21</f>
        <v>0</v>
      </c>
      <c r="GT21" s="53">
        <f>volume!GT21</f>
        <v>0</v>
      </c>
      <c r="GU21" s="54">
        <f>volume!GU21</f>
        <v>0</v>
      </c>
      <c r="GV21" s="50">
        <f t="shared" si="25"/>
        <v>0</v>
      </c>
      <c r="GW21" s="52">
        <f>volume!GW21</f>
        <v>0</v>
      </c>
      <c r="GX21" s="53">
        <f>volume!GX21</f>
        <v>0</v>
      </c>
      <c r="GY21" s="53">
        <f>volume!GY21</f>
        <v>0</v>
      </c>
      <c r="GZ21" s="53">
        <f>volume!GZ21</f>
        <v>0</v>
      </c>
      <c r="HA21" s="53">
        <f>volume!HA21</f>
        <v>0</v>
      </c>
      <c r="HB21" s="54">
        <f>volume!HB21</f>
        <v>0</v>
      </c>
      <c r="HC21" s="50">
        <f t="shared" si="26"/>
        <v>0</v>
      </c>
      <c r="HD21" s="52">
        <f>volume!HD21</f>
        <v>0</v>
      </c>
      <c r="HE21" s="53">
        <f>volume!HE21</f>
        <v>0</v>
      </c>
      <c r="HF21" s="53">
        <f>volume!HF21</f>
        <v>0</v>
      </c>
      <c r="HG21" s="53">
        <f>volume!HG21</f>
        <v>0</v>
      </c>
      <c r="HH21" s="53">
        <f>volume!HH21</f>
        <v>0</v>
      </c>
      <c r="HI21" s="54">
        <f>volume!HI21</f>
        <v>0</v>
      </c>
      <c r="HJ21" s="50">
        <f t="shared" si="27"/>
        <v>0</v>
      </c>
    </row>
    <row r="22" spans="1:218" ht="21.75" customHeight="1" x14ac:dyDescent="0.6">
      <c r="A22" s="55" t="s">
        <v>77</v>
      </c>
      <c r="B22" s="52">
        <f>volume!B22</f>
        <v>30</v>
      </c>
      <c r="C22" s="53">
        <f>volume!C22</f>
        <v>8</v>
      </c>
      <c r="D22" s="53">
        <f>volume!D22</f>
        <v>0</v>
      </c>
      <c r="E22" s="53">
        <f>volume!E22</f>
        <v>0</v>
      </c>
      <c r="F22" s="53">
        <f>volume!F22</f>
        <v>0</v>
      </c>
      <c r="G22" s="54">
        <f>volume!G22</f>
        <v>0</v>
      </c>
      <c r="H22" s="48">
        <f t="shared" si="0"/>
        <v>38</v>
      </c>
      <c r="I22" s="52">
        <f>volume!I22</f>
        <v>54</v>
      </c>
      <c r="J22" s="53">
        <f>volume!J22</f>
        <v>13</v>
      </c>
      <c r="K22" s="53">
        <f>volume!K22</f>
        <v>0</v>
      </c>
      <c r="L22" s="53">
        <f>volume!L22</f>
        <v>0</v>
      </c>
      <c r="M22" s="53">
        <f>volume!M22</f>
        <v>0</v>
      </c>
      <c r="N22" s="54">
        <f>volume!N22</f>
        <v>1</v>
      </c>
      <c r="O22" s="49">
        <f t="shared" si="1"/>
        <v>68</v>
      </c>
      <c r="P22" s="52">
        <f>volume!P22</f>
        <v>26</v>
      </c>
      <c r="Q22" s="53">
        <f>volume!Q22</f>
        <v>5</v>
      </c>
      <c r="R22" s="53">
        <f>volume!R22</f>
        <v>0</v>
      </c>
      <c r="S22" s="53">
        <f>volume!S22</f>
        <v>0</v>
      </c>
      <c r="T22" s="53">
        <f>volume!T22</f>
        <v>0</v>
      </c>
      <c r="U22" s="54">
        <f>volume!U22</f>
        <v>0</v>
      </c>
      <c r="V22" s="49">
        <f t="shared" si="2"/>
        <v>31</v>
      </c>
      <c r="W22" s="52">
        <f>volume!W22</f>
        <v>0</v>
      </c>
      <c r="X22" s="53">
        <f>volume!X22</f>
        <v>0</v>
      </c>
      <c r="Y22" s="53">
        <f>volume!Y22</f>
        <v>0</v>
      </c>
      <c r="Z22" s="53">
        <f>volume!Z22</f>
        <v>0</v>
      </c>
      <c r="AA22" s="53">
        <f>volume!AA22</f>
        <v>0</v>
      </c>
      <c r="AB22" s="54">
        <f>volume!AB22</f>
        <v>0</v>
      </c>
      <c r="AC22" s="49">
        <f t="shared" si="3"/>
        <v>0</v>
      </c>
      <c r="AD22" s="52">
        <f>volume!AD22</f>
        <v>63</v>
      </c>
      <c r="AE22" s="53">
        <f>volume!AE22</f>
        <v>22</v>
      </c>
      <c r="AF22" s="53">
        <f>volume!AF22</f>
        <v>0</v>
      </c>
      <c r="AG22" s="53">
        <f>volume!AG22</f>
        <v>0</v>
      </c>
      <c r="AH22" s="53">
        <f>volume!AH22</f>
        <v>0</v>
      </c>
      <c r="AI22" s="54">
        <f>volume!AI22</f>
        <v>0</v>
      </c>
      <c r="AJ22" s="49">
        <f t="shared" si="4"/>
        <v>85</v>
      </c>
      <c r="AK22" s="52">
        <f>volume!AK22</f>
        <v>135</v>
      </c>
      <c r="AL22" s="53">
        <f>volume!AL22</f>
        <v>38</v>
      </c>
      <c r="AM22" s="53">
        <f>volume!AM22</f>
        <v>0</v>
      </c>
      <c r="AN22" s="53">
        <f>volume!AN22</f>
        <v>0</v>
      </c>
      <c r="AO22" s="53">
        <f>volume!AO22</f>
        <v>3</v>
      </c>
      <c r="AP22" s="54">
        <f>volume!AP22</f>
        <v>0</v>
      </c>
      <c r="AQ22" s="49">
        <f t="shared" si="5"/>
        <v>176</v>
      </c>
      <c r="AR22" s="52">
        <f>volume!AR22</f>
        <v>14</v>
      </c>
      <c r="AS22" s="53">
        <f>volume!AS22</f>
        <v>4</v>
      </c>
      <c r="AT22" s="53">
        <f>volume!AT22</f>
        <v>0</v>
      </c>
      <c r="AU22" s="53">
        <f>volume!AU22</f>
        <v>0</v>
      </c>
      <c r="AV22" s="53">
        <f>volume!AV22</f>
        <v>0</v>
      </c>
      <c r="AW22" s="54">
        <f>volume!AW22</f>
        <v>0</v>
      </c>
      <c r="AX22" s="49">
        <f t="shared" si="6"/>
        <v>18</v>
      </c>
      <c r="AY22" s="52">
        <f>volume!AY22</f>
        <v>39</v>
      </c>
      <c r="AZ22" s="53">
        <f>volume!AZ22</f>
        <v>18</v>
      </c>
      <c r="BA22" s="53">
        <f>volume!BA22</f>
        <v>0</v>
      </c>
      <c r="BB22" s="53">
        <f>volume!BB22</f>
        <v>0</v>
      </c>
      <c r="BC22" s="53">
        <f>volume!BC22</f>
        <v>1</v>
      </c>
      <c r="BD22" s="54">
        <f>volume!BD22</f>
        <v>0</v>
      </c>
      <c r="BE22" s="49">
        <f t="shared" si="7"/>
        <v>58</v>
      </c>
      <c r="BF22" s="52">
        <f>volume!BF22</f>
        <v>3</v>
      </c>
      <c r="BG22" s="53">
        <f>volume!BG22</f>
        <v>1</v>
      </c>
      <c r="BH22" s="53">
        <f>volume!BH22</f>
        <v>0</v>
      </c>
      <c r="BI22" s="53">
        <f>volume!BI22</f>
        <v>0</v>
      </c>
      <c r="BJ22" s="53">
        <f>volume!BJ22</f>
        <v>1</v>
      </c>
      <c r="BK22" s="54">
        <f>volume!BK22</f>
        <v>0</v>
      </c>
      <c r="BL22" s="49">
        <f t="shared" si="8"/>
        <v>5</v>
      </c>
      <c r="BM22" s="52">
        <f>volume!BM22</f>
        <v>68</v>
      </c>
      <c r="BN22" s="53">
        <f>volume!BN22</f>
        <v>13</v>
      </c>
      <c r="BO22" s="53">
        <f>volume!BO22</f>
        <v>0</v>
      </c>
      <c r="BP22" s="53">
        <f>volume!BP22</f>
        <v>0</v>
      </c>
      <c r="BQ22" s="53">
        <f>volume!BQ22</f>
        <v>2</v>
      </c>
      <c r="BR22" s="54">
        <f>volume!BR22</f>
        <v>0</v>
      </c>
      <c r="BS22" s="49">
        <f t="shared" si="9"/>
        <v>83</v>
      </c>
      <c r="BT22" s="52">
        <f>volume!BT22</f>
        <v>44</v>
      </c>
      <c r="BU22" s="53">
        <f>volume!BU22</f>
        <v>10</v>
      </c>
      <c r="BV22" s="53">
        <f>volume!BV22</f>
        <v>0</v>
      </c>
      <c r="BW22" s="53">
        <f>volume!BW22</f>
        <v>0</v>
      </c>
      <c r="BX22" s="53">
        <f>volume!BX22</f>
        <v>0</v>
      </c>
      <c r="BY22" s="54">
        <f>volume!BY22</f>
        <v>0</v>
      </c>
      <c r="BZ22" s="49">
        <f t="shared" si="10"/>
        <v>54</v>
      </c>
      <c r="CA22" s="52">
        <f>volume!CA22</f>
        <v>0</v>
      </c>
      <c r="CB22" s="53">
        <f>volume!CB22</f>
        <v>0</v>
      </c>
      <c r="CC22" s="53">
        <f>volume!CC22</f>
        <v>0</v>
      </c>
      <c r="CD22" s="53">
        <f>volume!CD22</f>
        <v>0</v>
      </c>
      <c r="CE22" s="53">
        <f>volume!CE22</f>
        <v>0</v>
      </c>
      <c r="CF22" s="54">
        <f>volume!CF22</f>
        <v>0</v>
      </c>
      <c r="CG22" s="49">
        <f t="shared" si="11"/>
        <v>0</v>
      </c>
      <c r="CH22" s="52">
        <f>volume!CH22</f>
        <v>19</v>
      </c>
      <c r="CI22" s="53">
        <f>volume!CI22</f>
        <v>6</v>
      </c>
      <c r="CJ22" s="53">
        <f>volume!CJ22</f>
        <v>0</v>
      </c>
      <c r="CK22" s="53">
        <f>volume!CK22</f>
        <v>0</v>
      </c>
      <c r="CL22" s="53">
        <f>volume!CL22</f>
        <v>1</v>
      </c>
      <c r="CM22" s="54">
        <f>volume!CM22</f>
        <v>0</v>
      </c>
      <c r="CN22" s="49">
        <f t="shared" si="12"/>
        <v>26</v>
      </c>
      <c r="CO22" s="52">
        <f>volume!CO22</f>
        <v>105</v>
      </c>
      <c r="CP22" s="53">
        <f>volume!CP22</f>
        <v>18</v>
      </c>
      <c r="CQ22" s="53">
        <f>volume!CQ22</f>
        <v>0</v>
      </c>
      <c r="CR22" s="53">
        <f>volume!CR22</f>
        <v>0</v>
      </c>
      <c r="CS22" s="53">
        <f>volume!CS22</f>
        <v>2</v>
      </c>
      <c r="CT22" s="54">
        <f>volume!CT22</f>
        <v>0</v>
      </c>
      <c r="CU22" s="49">
        <f t="shared" si="13"/>
        <v>125</v>
      </c>
      <c r="CV22" s="52">
        <f>volume!CV22</f>
        <v>0</v>
      </c>
      <c r="CW22" s="53">
        <f>volume!CW22</f>
        <v>0</v>
      </c>
      <c r="CX22" s="53">
        <f>volume!CX22</f>
        <v>0</v>
      </c>
      <c r="CY22" s="53">
        <f>volume!CY22</f>
        <v>0</v>
      </c>
      <c r="CZ22" s="53">
        <f>volume!CZ22</f>
        <v>0</v>
      </c>
      <c r="DA22" s="54">
        <f>volume!DA22</f>
        <v>0</v>
      </c>
      <c r="DB22" s="49">
        <f t="shared" si="14"/>
        <v>0</v>
      </c>
      <c r="DC22" s="52">
        <f>volume!DC22</f>
        <v>0</v>
      </c>
      <c r="DD22" s="53">
        <f>volume!DD22</f>
        <v>0</v>
      </c>
      <c r="DE22" s="53">
        <f>volume!DE22</f>
        <v>0</v>
      </c>
      <c r="DF22" s="53">
        <f>volume!DF22</f>
        <v>0</v>
      </c>
      <c r="DG22" s="53">
        <f>volume!DG22</f>
        <v>0</v>
      </c>
      <c r="DH22" s="54">
        <f>volume!DH22</f>
        <v>0</v>
      </c>
      <c r="DI22" s="49">
        <f t="shared" si="15"/>
        <v>0</v>
      </c>
      <c r="DJ22" s="52">
        <f>volume!DJ22</f>
        <v>0</v>
      </c>
      <c r="DK22" s="53">
        <f>volume!DK22</f>
        <v>0</v>
      </c>
      <c r="DL22" s="53">
        <f>volume!DL22</f>
        <v>0</v>
      </c>
      <c r="DM22" s="53">
        <f>volume!DM22</f>
        <v>0</v>
      </c>
      <c r="DN22" s="53">
        <f>volume!DN22</f>
        <v>0</v>
      </c>
      <c r="DO22" s="54">
        <f>volume!DO22</f>
        <v>0</v>
      </c>
      <c r="DP22" s="50">
        <f t="shared" si="16"/>
        <v>0</v>
      </c>
      <c r="DQ22" s="52">
        <f>volume!DQ22</f>
        <v>0</v>
      </c>
      <c r="DR22" s="53">
        <f>volume!DR22</f>
        <v>0</v>
      </c>
      <c r="DS22" s="53">
        <f>volume!DS22</f>
        <v>0</v>
      </c>
      <c r="DT22" s="53">
        <f>volume!DT22</f>
        <v>0</v>
      </c>
      <c r="DU22" s="53">
        <f>volume!DU22</f>
        <v>0</v>
      </c>
      <c r="DV22" s="54">
        <f>volume!DV22</f>
        <v>0</v>
      </c>
      <c r="DW22" s="50">
        <f t="shared" si="17"/>
        <v>0</v>
      </c>
      <c r="DX22" s="52">
        <f>volume!DX22</f>
        <v>0</v>
      </c>
      <c r="DY22" s="53">
        <f>volume!DY22</f>
        <v>0</v>
      </c>
      <c r="DZ22" s="53">
        <f>volume!DZ22</f>
        <v>0</v>
      </c>
      <c r="EA22" s="53">
        <f>volume!EA22</f>
        <v>0</v>
      </c>
      <c r="EB22" s="53">
        <f>volume!EB22</f>
        <v>0</v>
      </c>
      <c r="EC22" s="54">
        <f>volume!EC22</f>
        <v>0</v>
      </c>
      <c r="ED22" s="50">
        <f t="shared" si="18"/>
        <v>0</v>
      </c>
      <c r="EE22" s="273"/>
      <c r="EF22" s="273"/>
      <c r="EG22" s="273"/>
      <c r="EH22" s="273"/>
      <c r="EI22" s="273"/>
      <c r="EJ22" s="273"/>
      <c r="EK22" s="273"/>
      <c r="EL22" s="52">
        <f>volume!EL22</f>
        <v>0</v>
      </c>
      <c r="EM22" s="53">
        <f>volume!EM22</f>
        <v>0</v>
      </c>
      <c r="EN22" s="53">
        <f>volume!EN22</f>
        <v>0</v>
      </c>
      <c r="EO22" s="53">
        <f>volume!EO22</f>
        <v>0</v>
      </c>
      <c r="EP22" s="53">
        <f>volume!EP22</f>
        <v>0</v>
      </c>
      <c r="EQ22" s="54">
        <f>volume!EQ22</f>
        <v>0</v>
      </c>
      <c r="ER22" s="50">
        <f t="shared" si="19"/>
        <v>0</v>
      </c>
      <c r="ES22" s="52">
        <f>volume!ES22</f>
        <v>0</v>
      </c>
      <c r="ET22" s="53">
        <f>volume!ET22</f>
        <v>0</v>
      </c>
      <c r="EU22" s="53">
        <f>volume!EU22</f>
        <v>0</v>
      </c>
      <c r="EV22" s="53">
        <f>volume!EV22</f>
        <v>0</v>
      </c>
      <c r="EW22" s="53">
        <f>volume!EW22</f>
        <v>0</v>
      </c>
      <c r="EX22" s="54">
        <f>volume!EX22</f>
        <v>0</v>
      </c>
      <c r="EY22" s="50">
        <f t="shared" si="20"/>
        <v>0</v>
      </c>
      <c r="EZ22" s="52">
        <f>volume!EZ22</f>
        <v>0</v>
      </c>
      <c r="FA22" s="53">
        <f>volume!FA22</f>
        <v>0</v>
      </c>
      <c r="FB22" s="53">
        <f>volume!FB22</f>
        <v>0</v>
      </c>
      <c r="FC22" s="53">
        <f>volume!FC22</f>
        <v>0</v>
      </c>
      <c r="FD22" s="53">
        <f>volume!FD22</f>
        <v>0</v>
      </c>
      <c r="FE22" s="54">
        <f>volume!FE22</f>
        <v>0</v>
      </c>
      <c r="FF22" s="50">
        <f t="shared" si="21"/>
        <v>0</v>
      </c>
      <c r="FG22" s="273"/>
      <c r="FH22" s="273"/>
      <c r="FI22" s="273"/>
      <c r="FJ22" s="273"/>
      <c r="FK22" s="273"/>
      <c r="FL22" s="273"/>
      <c r="FM22" s="273"/>
      <c r="FN22" s="52">
        <f>volume!FN22</f>
        <v>0</v>
      </c>
      <c r="FO22" s="53">
        <f>volume!FO22</f>
        <v>0</v>
      </c>
      <c r="FP22" s="53">
        <f>volume!FP22</f>
        <v>0</v>
      </c>
      <c r="FQ22" s="53">
        <f>volume!FQ22</f>
        <v>0</v>
      </c>
      <c r="FR22" s="53">
        <f>volume!FR22</f>
        <v>0</v>
      </c>
      <c r="FS22" s="54">
        <f>volume!FS22</f>
        <v>0</v>
      </c>
      <c r="FT22" s="50">
        <f t="shared" si="22"/>
        <v>0</v>
      </c>
      <c r="FU22" s="52">
        <f>volume!FU22</f>
        <v>0</v>
      </c>
      <c r="FV22" s="53">
        <f>volume!FV22</f>
        <v>0</v>
      </c>
      <c r="FW22" s="53">
        <f>volume!FW22</f>
        <v>0</v>
      </c>
      <c r="FX22" s="53">
        <f>volume!FX22</f>
        <v>0</v>
      </c>
      <c r="FY22" s="53">
        <f>volume!FY22</f>
        <v>0</v>
      </c>
      <c r="FZ22" s="54">
        <f>volume!FZ22</f>
        <v>0</v>
      </c>
      <c r="GA22" s="50">
        <f t="shared" si="23"/>
        <v>0</v>
      </c>
      <c r="GB22" s="52">
        <f>volume!GB22</f>
        <v>0</v>
      </c>
      <c r="GC22" s="53">
        <f>volume!GC22</f>
        <v>0</v>
      </c>
      <c r="GD22" s="53">
        <f>volume!GD22</f>
        <v>0</v>
      </c>
      <c r="GE22" s="53">
        <f>volume!GE22</f>
        <v>0</v>
      </c>
      <c r="GF22" s="53">
        <f>volume!GF22</f>
        <v>0</v>
      </c>
      <c r="GG22" s="54">
        <f>volume!GG22</f>
        <v>0</v>
      </c>
      <c r="GH22" s="50">
        <f t="shared" si="24"/>
        <v>0</v>
      </c>
      <c r="GI22" s="273"/>
      <c r="GJ22" s="273"/>
      <c r="GK22" s="273"/>
      <c r="GL22" s="273"/>
      <c r="GM22" s="273"/>
      <c r="GN22" s="273"/>
      <c r="GO22" s="273"/>
      <c r="GP22" s="52">
        <f>volume!GP22</f>
        <v>0</v>
      </c>
      <c r="GQ22" s="53">
        <f>volume!GQ22</f>
        <v>0</v>
      </c>
      <c r="GR22" s="53">
        <f>volume!GR22</f>
        <v>0</v>
      </c>
      <c r="GS22" s="53">
        <f>volume!GS22</f>
        <v>0</v>
      </c>
      <c r="GT22" s="53">
        <f>volume!GT22</f>
        <v>0</v>
      </c>
      <c r="GU22" s="54">
        <f>volume!GU22</f>
        <v>0</v>
      </c>
      <c r="GV22" s="50">
        <f t="shared" si="25"/>
        <v>0</v>
      </c>
      <c r="GW22" s="52">
        <f>volume!GW22</f>
        <v>0</v>
      </c>
      <c r="GX22" s="53">
        <f>volume!GX22</f>
        <v>0</v>
      </c>
      <c r="GY22" s="53">
        <f>volume!GY22</f>
        <v>0</v>
      </c>
      <c r="GZ22" s="53">
        <f>volume!GZ22</f>
        <v>0</v>
      </c>
      <c r="HA22" s="53">
        <f>volume!HA22</f>
        <v>0</v>
      </c>
      <c r="HB22" s="54">
        <f>volume!HB22</f>
        <v>0</v>
      </c>
      <c r="HC22" s="50">
        <f t="shared" si="26"/>
        <v>0</v>
      </c>
      <c r="HD22" s="52">
        <f>volume!HD22</f>
        <v>0</v>
      </c>
      <c r="HE22" s="53">
        <f>volume!HE22</f>
        <v>0</v>
      </c>
      <c r="HF22" s="53">
        <f>volume!HF22</f>
        <v>0</v>
      </c>
      <c r="HG22" s="53">
        <f>volume!HG22</f>
        <v>0</v>
      </c>
      <c r="HH22" s="53">
        <f>volume!HH22</f>
        <v>0</v>
      </c>
      <c r="HI22" s="54">
        <f>volume!HI22</f>
        <v>0</v>
      </c>
      <c r="HJ22" s="50">
        <f t="shared" si="27"/>
        <v>0</v>
      </c>
    </row>
    <row r="23" spans="1:218" ht="21.75" customHeight="1" x14ac:dyDescent="0.6">
      <c r="A23" s="44" t="s">
        <v>78</v>
      </c>
      <c r="B23" s="45">
        <f>volume!B23</f>
        <v>26</v>
      </c>
      <c r="C23" s="46">
        <f>volume!C23</f>
        <v>4</v>
      </c>
      <c r="D23" s="46">
        <f>volume!D23</f>
        <v>0</v>
      </c>
      <c r="E23" s="46">
        <f>volume!E23</f>
        <v>0</v>
      </c>
      <c r="F23" s="46">
        <f>volume!F23</f>
        <v>1</v>
      </c>
      <c r="G23" s="47">
        <f>volume!G23</f>
        <v>0</v>
      </c>
      <c r="H23" s="48">
        <f t="shared" si="0"/>
        <v>31</v>
      </c>
      <c r="I23" s="45">
        <f>volume!I23</f>
        <v>63</v>
      </c>
      <c r="J23" s="46">
        <f>volume!J23</f>
        <v>17</v>
      </c>
      <c r="K23" s="46">
        <f>volume!K23</f>
        <v>0</v>
      </c>
      <c r="L23" s="46">
        <f>volume!L23</f>
        <v>0</v>
      </c>
      <c r="M23" s="46">
        <f>volume!M23</f>
        <v>0</v>
      </c>
      <c r="N23" s="47">
        <f>volume!N23</f>
        <v>0</v>
      </c>
      <c r="O23" s="49">
        <f t="shared" si="1"/>
        <v>80</v>
      </c>
      <c r="P23" s="45">
        <f>volume!P23</f>
        <v>22</v>
      </c>
      <c r="Q23" s="46">
        <f>volume!Q23</f>
        <v>3</v>
      </c>
      <c r="R23" s="46">
        <f>volume!R23</f>
        <v>0</v>
      </c>
      <c r="S23" s="46">
        <f>volume!S23</f>
        <v>0</v>
      </c>
      <c r="T23" s="46">
        <f>volume!T23</f>
        <v>0</v>
      </c>
      <c r="U23" s="47">
        <f>volume!U23</f>
        <v>0</v>
      </c>
      <c r="V23" s="49">
        <f t="shared" si="2"/>
        <v>25</v>
      </c>
      <c r="W23" s="45">
        <f>volume!W23</f>
        <v>0</v>
      </c>
      <c r="X23" s="46">
        <f>volume!X23</f>
        <v>0</v>
      </c>
      <c r="Y23" s="46">
        <f>volume!Y23</f>
        <v>0</v>
      </c>
      <c r="Z23" s="46">
        <f>volume!Z23</f>
        <v>0</v>
      </c>
      <c r="AA23" s="46">
        <f>volume!AA23</f>
        <v>0</v>
      </c>
      <c r="AB23" s="47">
        <f>volume!AB23</f>
        <v>0</v>
      </c>
      <c r="AC23" s="49">
        <f t="shared" si="3"/>
        <v>0</v>
      </c>
      <c r="AD23" s="45">
        <f>volume!AD23</f>
        <v>61</v>
      </c>
      <c r="AE23" s="46">
        <f>volume!AE23</f>
        <v>26</v>
      </c>
      <c r="AF23" s="46">
        <f>volume!AF23</f>
        <v>1</v>
      </c>
      <c r="AG23" s="46">
        <f>volume!AG23</f>
        <v>0</v>
      </c>
      <c r="AH23" s="46">
        <f>volume!AH23</f>
        <v>0</v>
      </c>
      <c r="AI23" s="47">
        <f>volume!AI23</f>
        <v>0</v>
      </c>
      <c r="AJ23" s="49">
        <f t="shared" si="4"/>
        <v>88</v>
      </c>
      <c r="AK23" s="45">
        <f>volume!AK23</f>
        <v>118</v>
      </c>
      <c r="AL23" s="46">
        <f>volume!AL23</f>
        <v>57</v>
      </c>
      <c r="AM23" s="46">
        <f>volume!AM23</f>
        <v>0</v>
      </c>
      <c r="AN23" s="46">
        <f>volume!AN23</f>
        <v>1</v>
      </c>
      <c r="AO23" s="46">
        <f>volume!AO23</f>
        <v>11</v>
      </c>
      <c r="AP23" s="47">
        <f>volume!AP23</f>
        <v>0</v>
      </c>
      <c r="AQ23" s="49">
        <f t="shared" si="5"/>
        <v>187</v>
      </c>
      <c r="AR23" s="45">
        <f>volume!AR23</f>
        <v>16</v>
      </c>
      <c r="AS23" s="46">
        <f>volume!AS23</f>
        <v>5</v>
      </c>
      <c r="AT23" s="46">
        <f>volume!AT23</f>
        <v>0</v>
      </c>
      <c r="AU23" s="46">
        <f>volume!AU23</f>
        <v>0</v>
      </c>
      <c r="AV23" s="46">
        <f>volume!AV23</f>
        <v>0</v>
      </c>
      <c r="AW23" s="47">
        <f>volume!AW23</f>
        <v>0</v>
      </c>
      <c r="AX23" s="49">
        <f t="shared" si="6"/>
        <v>21</v>
      </c>
      <c r="AY23" s="45">
        <f>volume!AY23</f>
        <v>45</v>
      </c>
      <c r="AZ23" s="46">
        <f>volume!AZ23</f>
        <v>22</v>
      </c>
      <c r="BA23" s="46">
        <f>volume!BA23</f>
        <v>1</v>
      </c>
      <c r="BB23" s="46">
        <f>volume!BB23</f>
        <v>0</v>
      </c>
      <c r="BC23" s="46">
        <f>volume!BC23</f>
        <v>0</v>
      </c>
      <c r="BD23" s="47">
        <f>volume!BD23</f>
        <v>2</v>
      </c>
      <c r="BE23" s="49">
        <f t="shared" si="7"/>
        <v>70</v>
      </c>
      <c r="BF23" s="45">
        <f>volume!BF23</f>
        <v>7</v>
      </c>
      <c r="BG23" s="46">
        <f>volume!BG23</f>
        <v>0</v>
      </c>
      <c r="BH23" s="46">
        <f>volume!BH23</f>
        <v>0</v>
      </c>
      <c r="BI23" s="46">
        <f>volume!BI23</f>
        <v>0</v>
      </c>
      <c r="BJ23" s="46">
        <f>volume!BJ23</f>
        <v>0</v>
      </c>
      <c r="BK23" s="47">
        <f>volume!BK23</f>
        <v>0</v>
      </c>
      <c r="BL23" s="49">
        <f t="shared" si="8"/>
        <v>7</v>
      </c>
      <c r="BM23" s="45">
        <f>volume!BM23</f>
        <v>52</v>
      </c>
      <c r="BN23" s="46">
        <f>volume!BN23</f>
        <v>15</v>
      </c>
      <c r="BO23" s="46">
        <f>volume!BO23</f>
        <v>0</v>
      </c>
      <c r="BP23" s="46">
        <f>volume!BP23</f>
        <v>0</v>
      </c>
      <c r="BQ23" s="46">
        <f>volume!BQ23</f>
        <v>1</v>
      </c>
      <c r="BR23" s="47">
        <f>volume!BR23</f>
        <v>0</v>
      </c>
      <c r="BS23" s="49">
        <f t="shared" si="9"/>
        <v>68</v>
      </c>
      <c r="BT23" s="45">
        <f>volume!BT23</f>
        <v>67</v>
      </c>
      <c r="BU23" s="46">
        <f>volume!BU23</f>
        <v>6</v>
      </c>
      <c r="BV23" s="46">
        <f>volume!BV23</f>
        <v>0</v>
      </c>
      <c r="BW23" s="46">
        <f>volume!BW23</f>
        <v>0</v>
      </c>
      <c r="BX23" s="46">
        <f>volume!BX23</f>
        <v>0</v>
      </c>
      <c r="BY23" s="47">
        <f>volume!BY23</f>
        <v>0</v>
      </c>
      <c r="BZ23" s="49">
        <f t="shared" si="10"/>
        <v>73</v>
      </c>
      <c r="CA23" s="45">
        <f>volume!CA23</f>
        <v>0</v>
      </c>
      <c r="CB23" s="46">
        <f>volume!CB23</f>
        <v>0</v>
      </c>
      <c r="CC23" s="46">
        <f>volume!CC23</f>
        <v>0</v>
      </c>
      <c r="CD23" s="46">
        <f>volume!CD23</f>
        <v>0</v>
      </c>
      <c r="CE23" s="46">
        <f>volume!CE23</f>
        <v>0</v>
      </c>
      <c r="CF23" s="47">
        <f>volume!CF23</f>
        <v>0</v>
      </c>
      <c r="CG23" s="49">
        <f t="shared" si="11"/>
        <v>0</v>
      </c>
      <c r="CH23" s="45">
        <f>volume!CH23</f>
        <v>16</v>
      </c>
      <c r="CI23" s="46">
        <f>volume!CI23</f>
        <v>4</v>
      </c>
      <c r="CJ23" s="46">
        <f>volume!CJ23</f>
        <v>0</v>
      </c>
      <c r="CK23" s="46">
        <f>volume!CK23</f>
        <v>0</v>
      </c>
      <c r="CL23" s="46">
        <f>volume!CL23</f>
        <v>1</v>
      </c>
      <c r="CM23" s="47">
        <f>volume!CM23</f>
        <v>0</v>
      </c>
      <c r="CN23" s="49">
        <f t="shared" si="12"/>
        <v>21</v>
      </c>
      <c r="CO23" s="45">
        <f>volume!CO23</f>
        <v>110</v>
      </c>
      <c r="CP23" s="46">
        <f>volume!CP23</f>
        <v>22</v>
      </c>
      <c r="CQ23" s="46">
        <f>volume!CQ23</f>
        <v>0</v>
      </c>
      <c r="CR23" s="46">
        <f>volume!CR23</f>
        <v>0</v>
      </c>
      <c r="CS23" s="46">
        <f>volume!CS23</f>
        <v>2</v>
      </c>
      <c r="CT23" s="47">
        <f>volume!CT23</f>
        <v>0</v>
      </c>
      <c r="CU23" s="49">
        <f t="shared" si="13"/>
        <v>134</v>
      </c>
      <c r="CV23" s="45">
        <f>volume!CV23</f>
        <v>0</v>
      </c>
      <c r="CW23" s="46">
        <f>volume!CW23</f>
        <v>0</v>
      </c>
      <c r="CX23" s="46">
        <f>volume!CX23</f>
        <v>0</v>
      </c>
      <c r="CY23" s="46">
        <f>volume!CY23</f>
        <v>0</v>
      </c>
      <c r="CZ23" s="46">
        <f>volume!CZ23</f>
        <v>0</v>
      </c>
      <c r="DA23" s="47">
        <f>volume!DA23</f>
        <v>0</v>
      </c>
      <c r="DB23" s="49">
        <f t="shared" si="14"/>
        <v>0</v>
      </c>
      <c r="DC23" s="45">
        <f>volume!DC23</f>
        <v>0</v>
      </c>
      <c r="DD23" s="46">
        <f>volume!DD23</f>
        <v>0</v>
      </c>
      <c r="DE23" s="46">
        <f>volume!DE23</f>
        <v>0</v>
      </c>
      <c r="DF23" s="46">
        <f>volume!DF23</f>
        <v>0</v>
      </c>
      <c r="DG23" s="46">
        <f>volume!DG23</f>
        <v>0</v>
      </c>
      <c r="DH23" s="47">
        <f>volume!DH23</f>
        <v>0</v>
      </c>
      <c r="DI23" s="49">
        <f t="shared" si="15"/>
        <v>0</v>
      </c>
      <c r="DJ23" s="45">
        <f>volume!DJ23</f>
        <v>0</v>
      </c>
      <c r="DK23" s="46">
        <f>volume!DK23</f>
        <v>0</v>
      </c>
      <c r="DL23" s="46">
        <f>volume!DL23</f>
        <v>0</v>
      </c>
      <c r="DM23" s="46">
        <f>volume!DM23</f>
        <v>0</v>
      </c>
      <c r="DN23" s="46">
        <f>volume!DN23</f>
        <v>0</v>
      </c>
      <c r="DO23" s="47">
        <f>volume!DO23</f>
        <v>0</v>
      </c>
      <c r="DP23" s="50">
        <f t="shared" si="16"/>
        <v>0</v>
      </c>
      <c r="DQ23" s="45">
        <f>volume!DQ23</f>
        <v>0</v>
      </c>
      <c r="DR23" s="46">
        <f>volume!DR23</f>
        <v>0</v>
      </c>
      <c r="DS23" s="46">
        <f>volume!DS23</f>
        <v>0</v>
      </c>
      <c r="DT23" s="46">
        <f>volume!DT23</f>
        <v>0</v>
      </c>
      <c r="DU23" s="46">
        <f>volume!DU23</f>
        <v>0</v>
      </c>
      <c r="DV23" s="47">
        <f>volume!DV23</f>
        <v>0</v>
      </c>
      <c r="DW23" s="50">
        <f t="shared" si="17"/>
        <v>0</v>
      </c>
      <c r="DX23" s="45">
        <f>volume!DX23</f>
        <v>0</v>
      </c>
      <c r="DY23" s="46">
        <f>volume!DY23</f>
        <v>0</v>
      </c>
      <c r="DZ23" s="46">
        <f>volume!DZ23</f>
        <v>0</v>
      </c>
      <c r="EA23" s="46">
        <f>volume!EA23</f>
        <v>0</v>
      </c>
      <c r="EB23" s="46">
        <f>volume!EB23</f>
        <v>0</v>
      </c>
      <c r="EC23" s="47">
        <f>volume!EC23</f>
        <v>0</v>
      </c>
      <c r="ED23" s="50">
        <f t="shared" si="18"/>
        <v>0</v>
      </c>
      <c r="EE23" s="272"/>
      <c r="EF23" s="272"/>
      <c r="EG23" s="272"/>
      <c r="EH23" s="272"/>
      <c r="EI23" s="272"/>
      <c r="EJ23" s="272"/>
      <c r="EK23" s="272"/>
      <c r="EL23" s="45">
        <f>volume!EL23</f>
        <v>0</v>
      </c>
      <c r="EM23" s="46">
        <f>volume!EM23</f>
        <v>0</v>
      </c>
      <c r="EN23" s="46">
        <f>volume!EN23</f>
        <v>0</v>
      </c>
      <c r="EO23" s="46">
        <f>volume!EO23</f>
        <v>0</v>
      </c>
      <c r="EP23" s="46">
        <f>volume!EP23</f>
        <v>0</v>
      </c>
      <c r="EQ23" s="47">
        <f>volume!EQ23</f>
        <v>0</v>
      </c>
      <c r="ER23" s="50">
        <f t="shared" si="19"/>
        <v>0</v>
      </c>
      <c r="ES23" s="45">
        <f>volume!ES23</f>
        <v>0</v>
      </c>
      <c r="ET23" s="46">
        <f>volume!ET23</f>
        <v>0</v>
      </c>
      <c r="EU23" s="46">
        <f>volume!EU23</f>
        <v>0</v>
      </c>
      <c r="EV23" s="46">
        <f>volume!EV23</f>
        <v>0</v>
      </c>
      <c r="EW23" s="46">
        <f>volume!EW23</f>
        <v>0</v>
      </c>
      <c r="EX23" s="47">
        <f>volume!EX23</f>
        <v>0</v>
      </c>
      <c r="EY23" s="50">
        <f t="shared" si="20"/>
        <v>0</v>
      </c>
      <c r="EZ23" s="45">
        <f>volume!EZ23</f>
        <v>0</v>
      </c>
      <c r="FA23" s="46">
        <f>volume!FA23</f>
        <v>0</v>
      </c>
      <c r="FB23" s="46">
        <f>volume!FB23</f>
        <v>0</v>
      </c>
      <c r="FC23" s="46">
        <f>volume!FC23</f>
        <v>0</v>
      </c>
      <c r="FD23" s="46">
        <f>volume!FD23</f>
        <v>0</v>
      </c>
      <c r="FE23" s="47">
        <f>volume!FE23</f>
        <v>0</v>
      </c>
      <c r="FF23" s="50">
        <f t="shared" si="21"/>
        <v>0</v>
      </c>
      <c r="FG23" s="272"/>
      <c r="FH23" s="272"/>
      <c r="FI23" s="272"/>
      <c r="FJ23" s="272"/>
      <c r="FK23" s="272"/>
      <c r="FL23" s="272"/>
      <c r="FM23" s="272"/>
      <c r="FN23" s="45">
        <f>volume!FN23</f>
        <v>0</v>
      </c>
      <c r="FO23" s="46">
        <f>volume!FO23</f>
        <v>0</v>
      </c>
      <c r="FP23" s="46">
        <f>volume!FP23</f>
        <v>0</v>
      </c>
      <c r="FQ23" s="46">
        <f>volume!FQ23</f>
        <v>0</v>
      </c>
      <c r="FR23" s="46">
        <f>volume!FR23</f>
        <v>0</v>
      </c>
      <c r="FS23" s="47">
        <f>volume!FS23</f>
        <v>0</v>
      </c>
      <c r="FT23" s="50">
        <f t="shared" si="22"/>
        <v>0</v>
      </c>
      <c r="FU23" s="45">
        <f>volume!FU23</f>
        <v>0</v>
      </c>
      <c r="FV23" s="46">
        <f>volume!FV23</f>
        <v>0</v>
      </c>
      <c r="FW23" s="46">
        <f>volume!FW23</f>
        <v>0</v>
      </c>
      <c r="FX23" s="46">
        <f>volume!FX23</f>
        <v>0</v>
      </c>
      <c r="FY23" s="46">
        <f>volume!FY23</f>
        <v>0</v>
      </c>
      <c r="FZ23" s="47">
        <f>volume!FZ23</f>
        <v>0</v>
      </c>
      <c r="GA23" s="50">
        <f t="shared" si="23"/>
        <v>0</v>
      </c>
      <c r="GB23" s="45">
        <f>volume!GB23</f>
        <v>0</v>
      </c>
      <c r="GC23" s="46">
        <f>volume!GC23</f>
        <v>0</v>
      </c>
      <c r="GD23" s="46">
        <f>volume!GD23</f>
        <v>0</v>
      </c>
      <c r="GE23" s="46">
        <f>volume!GE23</f>
        <v>0</v>
      </c>
      <c r="GF23" s="46">
        <f>volume!GF23</f>
        <v>0</v>
      </c>
      <c r="GG23" s="47">
        <f>volume!GG23</f>
        <v>0</v>
      </c>
      <c r="GH23" s="50">
        <f t="shared" si="24"/>
        <v>0</v>
      </c>
      <c r="GI23" s="272"/>
      <c r="GJ23" s="272"/>
      <c r="GK23" s="272"/>
      <c r="GL23" s="272"/>
      <c r="GM23" s="272"/>
      <c r="GN23" s="272"/>
      <c r="GO23" s="272"/>
      <c r="GP23" s="45">
        <f>volume!GP23</f>
        <v>0</v>
      </c>
      <c r="GQ23" s="46">
        <f>volume!GQ23</f>
        <v>0</v>
      </c>
      <c r="GR23" s="46">
        <f>volume!GR23</f>
        <v>0</v>
      </c>
      <c r="GS23" s="46">
        <f>volume!GS23</f>
        <v>0</v>
      </c>
      <c r="GT23" s="46">
        <f>volume!GT23</f>
        <v>0</v>
      </c>
      <c r="GU23" s="47">
        <f>volume!GU23</f>
        <v>0</v>
      </c>
      <c r="GV23" s="50">
        <f t="shared" si="25"/>
        <v>0</v>
      </c>
      <c r="GW23" s="45">
        <f>volume!GW23</f>
        <v>0</v>
      </c>
      <c r="GX23" s="46">
        <f>volume!GX23</f>
        <v>0</v>
      </c>
      <c r="GY23" s="46">
        <f>volume!GY23</f>
        <v>0</v>
      </c>
      <c r="GZ23" s="46">
        <f>volume!GZ23</f>
        <v>0</v>
      </c>
      <c r="HA23" s="46">
        <f>volume!HA23</f>
        <v>0</v>
      </c>
      <c r="HB23" s="47">
        <f>volume!HB23</f>
        <v>0</v>
      </c>
      <c r="HC23" s="50">
        <f t="shared" si="26"/>
        <v>0</v>
      </c>
      <c r="HD23" s="45">
        <f>volume!HD23</f>
        <v>0</v>
      </c>
      <c r="HE23" s="46">
        <f>volume!HE23</f>
        <v>0</v>
      </c>
      <c r="HF23" s="46">
        <f>volume!HF23</f>
        <v>0</v>
      </c>
      <c r="HG23" s="46">
        <f>volume!HG23</f>
        <v>0</v>
      </c>
      <c r="HH23" s="46">
        <f>volume!HH23</f>
        <v>0</v>
      </c>
      <c r="HI23" s="47">
        <f>volume!HI23</f>
        <v>0</v>
      </c>
      <c r="HJ23" s="50">
        <f t="shared" si="27"/>
        <v>0</v>
      </c>
    </row>
    <row r="24" spans="1:218" ht="21.75" customHeight="1" x14ac:dyDescent="0.6">
      <c r="A24" s="51" t="s">
        <v>79</v>
      </c>
      <c r="B24" s="52">
        <f>volume!B24</f>
        <v>28</v>
      </c>
      <c r="C24" s="53">
        <f>volume!C24</f>
        <v>6</v>
      </c>
      <c r="D24" s="53">
        <f>volume!D24</f>
        <v>0</v>
      </c>
      <c r="E24" s="53">
        <f>volume!E24</f>
        <v>0</v>
      </c>
      <c r="F24" s="53">
        <f>volume!F24</f>
        <v>1</v>
      </c>
      <c r="G24" s="54">
        <f>volume!G24</f>
        <v>0</v>
      </c>
      <c r="H24" s="48">
        <f t="shared" si="0"/>
        <v>35</v>
      </c>
      <c r="I24" s="52">
        <f>volume!I24</f>
        <v>55</v>
      </c>
      <c r="J24" s="53">
        <f>volume!J24</f>
        <v>10</v>
      </c>
      <c r="K24" s="53">
        <f>volume!K24</f>
        <v>0</v>
      </c>
      <c r="L24" s="53">
        <f>volume!L24</f>
        <v>0</v>
      </c>
      <c r="M24" s="53">
        <f>volume!M24</f>
        <v>0</v>
      </c>
      <c r="N24" s="54">
        <f>volume!N24</f>
        <v>0</v>
      </c>
      <c r="O24" s="49">
        <f t="shared" si="1"/>
        <v>65</v>
      </c>
      <c r="P24" s="52">
        <f>volume!P24</f>
        <v>18</v>
      </c>
      <c r="Q24" s="53">
        <f>volume!Q24</f>
        <v>7</v>
      </c>
      <c r="R24" s="53">
        <f>volume!R24</f>
        <v>0</v>
      </c>
      <c r="S24" s="53">
        <f>volume!S24</f>
        <v>0</v>
      </c>
      <c r="T24" s="53">
        <f>volume!T24</f>
        <v>0</v>
      </c>
      <c r="U24" s="54">
        <f>volume!U24</f>
        <v>0</v>
      </c>
      <c r="V24" s="49">
        <f t="shared" si="2"/>
        <v>25</v>
      </c>
      <c r="W24" s="52">
        <f>volume!W24</f>
        <v>0</v>
      </c>
      <c r="X24" s="53">
        <f>volume!X24</f>
        <v>0</v>
      </c>
      <c r="Y24" s="53">
        <f>volume!Y24</f>
        <v>0</v>
      </c>
      <c r="Z24" s="53">
        <f>volume!Z24</f>
        <v>0</v>
      </c>
      <c r="AA24" s="53">
        <f>volume!AA24</f>
        <v>0</v>
      </c>
      <c r="AB24" s="54">
        <f>volume!AB24</f>
        <v>0</v>
      </c>
      <c r="AC24" s="49">
        <f t="shared" si="3"/>
        <v>0</v>
      </c>
      <c r="AD24" s="52">
        <f>volume!AD24</f>
        <v>64</v>
      </c>
      <c r="AE24" s="53">
        <f>volume!AE24</f>
        <v>23</v>
      </c>
      <c r="AF24" s="53">
        <f>volume!AF24</f>
        <v>0</v>
      </c>
      <c r="AG24" s="53">
        <f>volume!AG24</f>
        <v>0</v>
      </c>
      <c r="AH24" s="53">
        <f>volume!AH24</f>
        <v>0</v>
      </c>
      <c r="AI24" s="54">
        <f>volume!AI24</f>
        <v>0</v>
      </c>
      <c r="AJ24" s="49">
        <f t="shared" si="4"/>
        <v>87</v>
      </c>
      <c r="AK24" s="52">
        <f>volume!AK24</f>
        <v>124</v>
      </c>
      <c r="AL24" s="53">
        <f>volume!AL24</f>
        <v>32</v>
      </c>
      <c r="AM24" s="53">
        <f>volume!AM24</f>
        <v>0</v>
      </c>
      <c r="AN24" s="53">
        <f>volume!AN24</f>
        <v>0</v>
      </c>
      <c r="AO24" s="53">
        <f>volume!AO24</f>
        <v>9</v>
      </c>
      <c r="AP24" s="54">
        <f>volume!AP24</f>
        <v>0</v>
      </c>
      <c r="AQ24" s="49">
        <f t="shared" si="5"/>
        <v>165</v>
      </c>
      <c r="AR24" s="52">
        <f>volume!AR24</f>
        <v>19</v>
      </c>
      <c r="AS24" s="53">
        <f>volume!AS24</f>
        <v>9</v>
      </c>
      <c r="AT24" s="53">
        <f>volume!AT24</f>
        <v>0</v>
      </c>
      <c r="AU24" s="53">
        <f>volume!AU24</f>
        <v>0</v>
      </c>
      <c r="AV24" s="53">
        <f>volume!AV24</f>
        <v>0</v>
      </c>
      <c r="AW24" s="54">
        <f>volume!AW24</f>
        <v>0</v>
      </c>
      <c r="AX24" s="49">
        <f t="shared" si="6"/>
        <v>28</v>
      </c>
      <c r="AY24" s="52">
        <f>volume!AY24</f>
        <v>40</v>
      </c>
      <c r="AZ24" s="53">
        <f>volume!AZ24</f>
        <v>15</v>
      </c>
      <c r="BA24" s="53">
        <f>volume!BA24</f>
        <v>0</v>
      </c>
      <c r="BB24" s="53">
        <f>volume!BB24</f>
        <v>0</v>
      </c>
      <c r="BC24" s="53">
        <f>volume!BC24</f>
        <v>3</v>
      </c>
      <c r="BD24" s="54">
        <f>volume!BD24</f>
        <v>0</v>
      </c>
      <c r="BE24" s="49">
        <f t="shared" si="7"/>
        <v>58</v>
      </c>
      <c r="BF24" s="52">
        <f>volume!BF24</f>
        <v>6</v>
      </c>
      <c r="BG24" s="53">
        <f>volume!BG24</f>
        <v>0</v>
      </c>
      <c r="BH24" s="53">
        <f>volume!BH24</f>
        <v>0</v>
      </c>
      <c r="BI24" s="53">
        <f>volume!BI24</f>
        <v>0</v>
      </c>
      <c r="BJ24" s="53">
        <f>volume!BJ24</f>
        <v>0</v>
      </c>
      <c r="BK24" s="54">
        <f>volume!BK24</f>
        <v>0</v>
      </c>
      <c r="BL24" s="49">
        <f t="shared" si="8"/>
        <v>6</v>
      </c>
      <c r="BM24" s="52">
        <f>volume!BM24</f>
        <v>65</v>
      </c>
      <c r="BN24" s="53">
        <f>volume!BN24</f>
        <v>14</v>
      </c>
      <c r="BO24" s="53">
        <f>volume!BO24</f>
        <v>0</v>
      </c>
      <c r="BP24" s="53">
        <f>volume!BP24</f>
        <v>0</v>
      </c>
      <c r="BQ24" s="53">
        <f>volume!BQ24</f>
        <v>0</v>
      </c>
      <c r="BR24" s="54">
        <f>volume!BR24</f>
        <v>0</v>
      </c>
      <c r="BS24" s="49">
        <f t="shared" si="9"/>
        <v>79</v>
      </c>
      <c r="BT24" s="52">
        <f>volume!BT24</f>
        <v>55</v>
      </c>
      <c r="BU24" s="53">
        <f>volume!BU24</f>
        <v>17</v>
      </c>
      <c r="BV24" s="53">
        <f>volume!BV24</f>
        <v>0</v>
      </c>
      <c r="BW24" s="53">
        <f>volume!BW24</f>
        <v>0</v>
      </c>
      <c r="BX24" s="53">
        <f>volume!BX24</f>
        <v>0</v>
      </c>
      <c r="BY24" s="54">
        <f>volume!BY24</f>
        <v>0</v>
      </c>
      <c r="BZ24" s="49">
        <f t="shared" si="10"/>
        <v>72</v>
      </c>
      <c r="CA24" s="52">
        <f>volume!CA24</f>
        <v>0</v>
      </c>
      <c r="CB24" s="53">
        <f>volume!CB24</f>
        <v>0</v>
      </c>
      <c r="CC24" s="53">
        <f>volume!CC24</f>
        <v>0</v>
      </c>
      <c r="CD24" s="53">
        <f>volume!CD24</f>
        <v>0</v>
      </c>
      <c r="CE24" s="53">
        <f>volume!CE24</f>
        <v>0</v>
      </c>
      <c r="CF24" s="54">
        <f>volume!CF24</f>
        <v>0</v>
      </c>
      <c r="CG24" s="49">
        <f t="shared" si="11"/>
        <v>0</v>
      </c>
      <c r="CH24" s="52">
        <f>volume!CH24</f>
        <v>24</v>
      </c>
      <c r="CI24" s="53">
        <f>volume!CI24</f>
        <v>10</v>
      </c>
      <c r="CJ24" s="53">
        <f>volume!CJ24</f>
        <v>0</v>
      </c>
      <c r="CK24" s="53">
        <f>volume!CK24</f>
        <v>0</v>
      </c>
      <c r="CL24" s="53">
        <f>volume!CL24</f>
        <v>0</v>
      </c>
      <c r="CM24" s="54">
        <f>volume!CM24</f>
        <v>0</v>
      </c>
      <c r="CN24" s="49">
        <f t="shared" si="12"/>
        <v>34</v>
      </c>
      <c r="CO24" s="52">
        <f>volume!CO24</f>
        <v>102</v>
      </c>
      <c r="CP24" s="53">
        <f>volume!CP24</f>
        <v>26</v>
      </c>
      <c r="CQ24" s="53">
        <f>volume!CQ24</f>
        <v>0</v>
      </c>
      <c r="CR24" s="53">
        <f>volume!CR24</f>
        <v>0</v>
      </c>
      <c r="CS24" s="53">
        <f>volume!CS24</f>
        <v>2</v>
      </c>
      <c r="CT24" s="54">
        <f>volume!CT24</f>
        <v>1</v>
      </c>
      <c r="CU24" s="49">
        <f t="shared" si="13"/>
        <v>131</v>
      </c>
      <c r="CV24" s="52">
        <f>volume!CV24</f>
        <v>0</v>
      </c>
      <c r="CW24" s="53">
        <f>volume!CW24</f>
        <v>0</v>
      </c>
      <c r="CX24" s="53">
        <f>volume!CX24</f>
        <v>0</v>
      </c>
      <c r="CY24" s="53">
        <f>volume!CY24</f>
        <v>0</v>
      </c>
      <c r="CZ24" s="53">
        <f>volume!CZ24</f>
        <v>0</v>
      </c>
      <c r="DA24" s="54">
        <f>volume!DA24</f>
        <v>0</v>
      </c>
      <c r="DB24" s="49">
        <f t="shared" si="14"/>
        <v>0</v>
      </c>
      <c r="DC24" s="52">
        <f>volume!DC24</f>
        <v>0</v>
      </c>
      <c r="DD24" s="53">
        <f>volume!DD24</f>
        <v>0</v>
      </c>
      <c r="DE24" s="53">
        <f>volume!DE24</f>
        <v>0</v>
      </c>
      <c r="DF24" s="53">
        <f>volume!DF24</f>
        <v>0</v>
      </c>
      <c r="DG24" s="53">
        <f>volume!DG24</f>
        <v>0</v>
      </c>
      <c r="DH24" s="54">
        <f>volume!DH24</f>
        <v>0</v>
      </c>
      <c r="DI24" s="49">
        <f t="shared" si="15"/>
        <v>0</v>
      </c>
      <c r="DJ24" s="52">
        <f>volume!DJ24</f>
        <v>0</v>
      </c>
      <c r="DK24" s="53">
        <f>volume!DK24</f>
        <v>0</v>
      </c>
      <c r="DL24" s="53">
        <f>volume!DL24</f>
        <v>0</v>
      </c>
      <c r="DM24" s="53">
        <f>volume!DM24</f>
        <v>0</v>
      </c>
      <c r="DN24" s="53">
        <f>volume!DN24</f>
        <v>0</v>
      </c>
      <c r="DO24" s="54">
        <f>volume!DO24</f>
        <v>0</v>
      </c>
      <c r="DP24" s="50">
        <f t="shared" si="16"/>
        <v>0</v>
      </c>
      <c r="DQ24" s="52">
        <f>volume!DQ24</f>
        <v>0</v>
      </c>
      <c r="DR24" s="53">
        <f>volume!DR24</f>
        <v>0</v>
      </c>
      <c r="DS24" s="53">
        <f>volume!DS24</f>
        <v>0</v>
      </c>
      <c r="DT24" s="53">
        <f>volume!DT24</f>
        <v>0</v>
      </c>
      <c r="DU24" s="53">
        <f>volume!DU24</f>
        <v>0</v>
      </c>
      <c r="DV24" s="54">
        <f>volume!DV24</f>
        <v>0</v>
      </c>
      <c r="DW24" s="50">
        <f t="shared" si="17"/>
        <v>0</v>
      </c>
      <c r="DX24" s="52">
        <f>volume!DX24</f>
        <v>0</v>
      </c>
      <c r="DY24" s="53">
        <f>volume!DY24</f>
        <v>0</v>
      </c>
      <c r="DZ24" s="53">
        <f>volume!DZ24</f>
        <v>0</v>
      </c>
      <c r="EA24" s="53">
        <f>volume!EA24</f>
        <v>0</v>
      </c>
      <c r="EB24" s="53">
        <f>volume!EB24</f>
        <v>0</v>
      </c>
      <c r="EC24" s="54">
        <f>volume!EC24</f>
        <v>0</v>
      </c>
      <c r="ED24" s="50">
        <f t="shared" si="18"/>
        <v>0</v>
      </c>
      <c r="EE24" s="273"/>
      <c r="EF24" s="273"/>
      <c r="EG24" s="273"/>
      <c r="EH24" s="273"/>
      <c r="EI24" s="273"/>
      <c r="EJ24" s="273"/>
      <c r="EK24" s="273"/>
      <c r="EL24" s="52">
        <f>volume!EL24</f>
        <v>0</v>
      </c>
      <c r="EM24" s="53">
        <f>volume!EM24</f>
        <v>0</v>
      </c>
      <c r="EN24" s="53">
        <f>volume!EN24</f>
        <v>0</v>
      </c>
      <c r="EO24" s="53">
        <f>volume!EO24</f>
        <v>0</v>
      </c>
      <c r="EP24" s="53">
        <f>volume!EP24</f>
        <v>0</v>
      </c>
      <c r="EQ24" s="54">
        <f>volume!EQ24</f>
        <v>0</v>
      </c>
      <c r="ER24" s="50">
        <f t="shared" si="19"/>
        <v>0</v>
      </c>
      <c r="ES24" s="52">
        <f>volume!ES24</f>
        <v>0</v>
      </c>
      <c r="ET24" s="53">
        <f>volume!ET24</f>
        <v>0</v>
      </c>
      <c r="EU24" s="53">
        <f>volume!EU24</f>
        <v>0</v>
      </c>
      <c r="EV24" s="53">
        <f>volume!EV24</f>
        <v>0</v>
      </c>
      <c r="EW24" s="53">
        <f>volume!EW24</f>
        <v>0</v>
      </c>
      <c r="EX24" s="54">
        <f>volume!EX24</f>
        <v>0</v>
      </c>
      <c r="EY24" s="50">
        <f t="shared" si="20"/>
        <v>0</v>
      </c>
      <c r="EZ24" s="52">
        <f>volume!EZ24</f>
        <v>0</v>
      </c>
      <c r="FA24" s="53">
        <f>volume!FA24</f>
        <v>0</v>
      </c>
      <c r="FB24" s="53">
        <f>volume!FB24</f>
        <v>0</v>
      </c>
      <c r="FC24" s="53">
        <f>volume!FC24</f>
        <v>0</v>
      </c>
      <c r="FD24" s="53">
        <f>volume!FD24</f>
        <v>0</v>
      </c>
      <c r="FE24" s="54">
        <f>volume!FE24</f>
        <v>0</v>
      </c>
      <c r="FF24" s="50">
        <f t="shared" si="21"/>
        <v>0</v>
      </c>
      <c r="FG24" s="273"/>
      <c r="FH24" s="273"/>
      <c r="FI24" s="273"/>
      <c r="FJ24" s="273"/>
      <c r="FK24" s="273"/>
      <c r="FL24" s="273"/>
      <c r="FM24" s="273"/>
      <c r="FN24" s="52">
        <f>volume!FN24</f>
        <v>0</v>
      </c>
      <c r="FO24" s="53">
        <f>volume!FO24</f>
        <v>0</v>
      </c>
      <c r="FP24" s="53">
        <f>volume!FP24</f>
        <v>0</v>
      </c>
      <c r="FQ24" s="53">
        <f>volume!FQ24</f>
        <v>0</v>
      </c>
      <c r="FR24" s="53">
        <f>volume!FR24</f>
        <v>0</v>
      </c>
      <c r="FS24" s="54">
        <f>volume!FS24</f>
        <v>0</v>
      </c>
      <c r="FT24" s="50">
        <f t="shared" si="22"/>
        <v>0</v>
      </c>
      <c r="FU24" s="52">
        <f>volume!FU24</f>
        <v>0</v>
      </c>
      <c r="FV24" s="53">
        <f>volume!FV24</f>
        <v>0</v>
      </c>
      <c r="FW24" s="53">
        <f>volume!FW24</f>
        <v>0</v>
      </c>
      <c r="FX24" s="53">
        <f>volume!FX24</f>
        <v>0</v>
      </c>
      <c r="FY24" s="53">
        <f>volume!FY24</f>
        <v>0</v>
      </c>
      <c r="FZ24" s="54">
        <f>volume!FZ24</f>
        <v>0</v>
      </c>
      <c r="GA24" s="50">
        <f t="shared" si="23"/>
        <v>0</v>
      </c>
      <c r="GB24" s="52">
        <f>volume!GB24</f>
        <v>0</v>
      </c>
      <c r="GC24" s="53">
        <f>volume!GC24</f>
        <v>0</v>
      </c>
      <c r="GD24" s="53">
        <f>volume!GD24</f>
        <v>0</v>
      </c>
      <c r="GE24" s="53">
        <f>volume!GE24</f>
        <v>0</v>
      </c>
      <c r="GF24" s="53">
        <f>volume!GF24</f>
        <v>0</v>
      </c>
      <c r="GG24" s="54">
        <f>volume!GG24</f>
        <v>0</v>
      </c>
      <c r="GH24" s="50">
        <f t="shared" si="24"/>
        <v>0</v>
      </c>
      <c r="GI24" s="273"/>
      <c r="GJ24" s="273"/>
      <c r="GK24" s="273"/>
      <c r="GL24" s="273"/>
      <c r="GM24" s="273"/>
      <c r="GN24" s="273"/>
      <c r="GO24" s="273"/>
      <c r="GP24" s="52">
        <f>volume!GP24</f>
        <v>0</v>
      </c>
      <c r="GQ24" s="53">
        <f>volume!GQ24</f>
        <v>0</v>
      </c>
      <c r="GR24" s="53">
        <f>volume!GR24</f>
        <v>0</v>
      </c>
      <c r="GS24" s="53">
        <f>volume!GS24</f>
        <v>0</v>
      </c>
      <c r="GT24" s="53">
        <f>volume!GT24</f>
        <v>0</v>
      </c>
      <c r="GU24" s="54">
        <f>volume!GU24</f>
        <v>0</v>
      </c>
      <c r="GV24" s="50">
        <f t="shared" si="25"/>
        <v>0</v>
      </c>
      <c r="GW24" s="52">
        <f>volume!GW24</f>
        <v>0</v>
      </c>
      <c r="GX24" s="53">
        <f>volume!GX24</f>
        <v>0</v>
      </c>
      <c r="GY24" s="53">
        <f>volume!GY24</f>
        <v>0</v>
      </c>
      <c r="GZ24" s="53">
        <f>volume!GZ24</f>
        <v>0</v>
      </c>
      <c r="HA24" s="53">
        <f>volume!HA24</f>
        <v>0</v>
      </c>
      <c r="HB24" s="54">
        <f>volume!HB24</f>
        <v>0</v>
      </c>
      <c r="HC24" s="50">
        <f t="shared" si="26"/>
        <v>0</v>
      </c>
      <c r="HD24" s="52">
        <f>volume!HD24</f>
        <v>0</v>
      </c>
      <c r="HE24" s="53">
        <f>volume!HE24</f>
        <v>0</v>
      </c>
      <c r="HF24" s="53">
        <f>volume!HF24</f>
        <v>0</v>
      </c>
      <c r="HG24" s="53">
        <f>volume!HG24</f>
        <v>0</v>
      </c>
      <c r="HH24" s="53">
        <f>volume!HH24</f>
        <v>0</v>
      </c>
      <c r="HI24" s="54">
        <f>volume!HI24</f>
        <v>0</v>
      </c>
      <c r="HJ24" s="50">
        <f t="shared" si="27"/>
        <v>0</v>
      </c>
    </row>
    <row r="25" spans="1:218" ht="21.75" customHeight="1" x14ac:dyDescent="0.6">
      <c r="A25" s="51" t="s">
        <v>80</v>
      </c>
      <c r="B25" s="52">
        <f>volume!B25</f>
        <v>33</v>
      </c>
      <c r="C25" s="53">
        <f>volume!C25</f>
        <v>5</v>
      </c>
      <c r="D25" s="53">
        <f>volume!D25</f>
        <v>0</v>
      </c>
      <c r="E25" s="53">
        <f>volume!E25</f>
        <v>0</v>
      </c>
      <c r="F25" s="53">
        <f>volume!F25</f>
        <v>0</v>
      </c>
      <c r="G25" s="54">
        <f>volume!G25</f>
        <v>1</v>
      </c>
      <c r="H25" s="48">
        <f t="shared" si="0"/>
        <v>39</v>
      </c>
      <c r="I25" s="52">
        <f>volume!I25</f>
        <v>48</v>
      </c>
      <c r="J25" s="53">
        <f>volume!J25</f>
        <v>11</v>
      </c>
      <c r="K25" s="53">
        <f>volume!K25</f>
        <v>0</v>
      </c>
      <c r="L25" s="53">
        <f>volume!L25</f>
        <v>0</v>
      </c>
      <c r="M25" s="53">
        <f>volume!M25</f>
        <v>0</v>
      </c>
      <c r="N25" s="54">
        <f>volume!N25</f>
        <v>0</v>
      </c>
      <c r="O25" s="49">
        <f t="shared" si="1"/>
        <v>59</v>
      </c>
      <c r="P25" s="52">
        <f>volume!P25</f>
        <v>25</v>
      </c>
      <c r="Q25" s="53">
        <f>volume!Q25</f>
        <v>2</v>
      </c>
      <c r="R25" s="53">
        <f>volume!R25</f>
        <v>0</v>
      </c>
      <c r="S25" s="53">
        <f>volume!S25</f>
        <v>0</v>
      </c>
      <c r="T25" s="53">
        <f>volume!T25</f>
        <v>0</v>
      </c>
      <c r="U25" s="54">
        <f>volume!U25</f>
        <v>0</v>
      </c>
      <c r="V25" s="49">
        <f t="shared" si="2"/>
        <v>27</v>
      </c>
      <c r="W25" s="52">
        <f>volume!W25</f>
        <v>0</v>
      </c>
      <c r="X25" s="53">
        <f>volume!X25</f>
        <v>0</v>
      </c>
      <c r="Y25" s="53">
        <f>volume!Y25</f>
        <v>0</v>
      </c>
      <c r="Z25" s="53">
        <f>volume!Z25</f>
        <v>0</v>
      </c>
      <c r="AA25" s="53">
        <f>volume!AA25</f>
        <v>0</v>
      </c>
      <c r="AB25" s="54">
        <f>volume!AB25</f>
        <v>0</v>
      </c>
      <c r="AC25" s="49">
        <f t="shared" si="3"/>
        <v>0</v>
      </c>
      <c r="AD25" s="52">
        <f>volume!AD25</f>
        <v>58</v>
      </c>
      <c r="AE25" s="53">
        <f>volume!AE25</f>
        <v>19</v>
      </c>
      <c r="AF25" s="53">
        <f>volume!AF25</f>
        <v>0</v>
      </c>
      <c r="AG25" s="53">
        <f>volume!AG25</f>
        <v>0</v>
      </c>
      <c r="AH25" s="53">
        <f>volume!AH25</f>
        <v>0</v>
      </c>
      <c r="AI25" s="54">
        <f>volume!AI25</f>
        <v>0</v>
      </c>
      <c r="AJ25" s="49">
        <f t="shared" si="4"/>
        <v>77</v>
      </c>
      <c r="AK25" s="52">
        <f>volume!AK25</f>
        <v>131</v>
      </c>
      <c r="AL25" s="53">
        <f>volume!AL25</f>
        <v>43</v>
      </c>
      <c r="AM25" s="53">
        <f>volume!AM25</f>
        <v>1</v>
      </c>
      <c r="AN25" s="53">
        <f>volume!AN25</f>
        <v>0</v>
      </c>
      <c r="AO25" s="53">
        <f>volume!AO25</f>
        <v>6</v>
      </c>
      <c r="AP25" s="54">
        <f>volume!AP25</f>
        <v>0</v>
      </c>
      <c r="AQ25" s="49">
        <f t="shared" si="5"/>
        <v>181</v>
      </c>
      <c r="AR25" s="52">
        <f>volume!AR25</f>
        <v>22</v>
      </c>
      <c r="AS25" s="53">
        <f>volume!AS25</f>
        <v>6</v>
      </c>
      <c r="AT25" s="53">
        <f>volume!AT25</f>
        <v>0</v>
      </c>
      <c r="AU25" s="53">
        <f>volume!AU25</f>
        <v>0</v>
      </c>
      <c r="AV25" s="53">
        <f>volume!AV25</f>
        <v>0</v>
      </c>
      <c r="AW25" s="54">
        <f>volume!AW25</f>
        <v>0</v>
      </c>
      <c r="AX25" s="49">
        <f t="shared" si="6"/>
        <v>28</v>
      </c>
      <c r="AY25" s="52">
        <f>volume!AY25</f>
        <v>37</v>
      </c>
      <c r="AZ25" s="53">
        <f>volume!AZ25</f>
        <v>22</v>
      </c>
      <c r="BA25" s="53">
        <f>volume!BA25</f>
        <v>0</v>
      </c>
      <c r="BB25" s="53">
        <f>volume!BB25</f>
        <v>0</v>
      </c>
      <c r="BC25" s="53">
        <f>volume!BC25</f>
        <v>3</v>
      </c>
      <c r="BD25" s="54">
        <f>volume!BD25</f>
        <v>0</v>
      </c>
      <c r="BE25" s="49">
        <f t="shared" si="7"/>
        <v>62</v>
      </c>
      <c r="BF25" s="52">
        <f>volume!BF25</f>
        <v>4</v>
      </c>
      <c r="BG25" s="53">
        <f>volume!BG25</f>
        <v>3</v>
      </c>
      <c r="BH25" s="53">
        <f>volume!BH25</f>
        <v>0</v>
      </c>
      <c r="BI25" s="53">
        <f>volume!BI25</f>
        <v>0</v>
      </c>
      <c r="BJ25" s="53">
        <f>volume!BJ25</f>
        <v>0</v>
      </c>
      <c r="BK25" s="54">
        <f>volume!BK25</f>
        <v>0</v>
      </c>
      <c r="BL25" s="49">
        <f t="shared" si="8"/>
        <v>7</v>
      </c>
      <c r="BM25" s="52">
        <f>volume!BM25</f>
        <v>59</v>
      </c>
      <c r="BN25" s="53">
        <f>volume!BN25</f>
        <v>10</v>
      </c>
      <c r="BO25" s="53">
        <f>volume!BO25</f>
        <v>0</v>
      </c>
      <c r="BP25" s="53">
        <f>volume!BP25</f>
        <v>0</v>
      </c>
      <c r="BQ25" s="53">
        <f>volume!BQ25</f>
        <v>1</v>
      </c>
      <c r="BR25" s="54">
        <f>volume!BR25</f>
        <v>0</v>
      </c>
      <c r="BS25" s="49">
        <f t="shared" si="9"/>
        <v>70</v>
      </c>
      <c r="BT25" s="52">
        <f>volume!BT25</f>
        <v>43</v>
      </c>
      <c r="BU25" s="53">
        <f>volume!BU25</f>
        <v>8</v>
      </c>
      <c r="BV25" s="53">
        <f>volume!BV25</f>
        <v>0</v>
      </c>
      <c r="BW25" s="53">
        <f>volume!BW25</f>
        <v>0</v>
      </c>
      <c r="BX25" s="53">
        <f>volume!BX25</f>
        <v>0</v>
      </c>
      <c r="BY25" s="54">
        <f>volume!BY25</f>
        <v>0</v>
      </c>
      <c r="BZ25" s="49">
        <f t="shared" si="10"/>
        <v>51</v>
      </c>
      <c r="CA25" s="52">
        <f>volume!CA25</f>
        <v>0</v>
      </c>
      <c r="CB25" s="53">
        <f>volume!CB25</f>
        <v>0</v>
      </c>
      <c r="CC25" s="53">
        <f>volume!CC25</f>
        <v>0</v>
      </c>
      <c r="CD25" s="53">
        <f>volume!CD25</f>
        <v>0</v>
      </c>
      <c r="CE25" s="53">
        <f>volume!CE25</f>
        <v>0</v>
      </c>
      <c r="CF25" s="54">
        <f>volume!CF25</f>
        <v>0</v>
      </c>
      <c r="CG25" s="49">
        <f t="shared" si="11"/>
        <v>0</v>
      </c>
      <c r="CH25" s="52">
        <f>volume!CH25</f>
        <v>18</v>
      </c>
      <c r="CI25" s="53">
        <f>volume!CI25</f>
        <v>8</v>
      </c>
      <c r="CJ25" s="53">
        <f>volume!CJ25</f>
        <v>0</v>
      </c>
      <c r="CK25" s="53">
        <f>volume!CK25</f>
        <v>0</v>
      </c>
      <c r="CL25" s="53">
        <f>volume!CL25</f>
        <v>0</v>
      </c>
      <c r="CM25" s="54">
        <f>volume!CM25</f>
        <v>0</v>
      </c>
      <c r="CN25" s="49">
        <f t="shared" si="12"/>
        <v>26</v>
      </c>
      <c r="CO25" s="52">
        <f>volume!CO25</f>
        <v>95</v>
      </c>
      <c r="CP25" s="53">
        <f>volume!CP25</f>
        <v>24</v>
      </c>
      <c r="CQ25" s="53">
        <f>volume!CQ25</f>
        <v>1</v>
      </c>
      <c r="CR25" s="53">
        <f>volume!CR25</f>
        <v>0</v>
      </c>
      <c r="CS25" s="53">
        <f>volume!CS25</f>
        <v>1</v>
      </c>
      <c r="CT25" s="54">
        <f>volume!CT25</f>
        <v>1</v>
      </c>
      <c r="CU25" s="49">
        <f t="shared" si="13"/>
        <v>122</v>
      </c>
      <c r="CV25" s="52">
        <f>volume!CV25</f>
        <v>0</v>
      </c>
      <c r="CW25" s="53">
        <f>volume!CW25</f>
        <v>0</v>
      </c>
      <c r="CX25" s="53">
        <f>volume!CX25</f>
        <v>0</v>
      </c>
      <c r="CY25" s="53">
        <f>volume!CY25</f>
        <v>0</v>
      </c>
      <c r="CZ25" s="53">
        <f>volume!CZ25</f>
        <v>0</v>
      </c>
      <c r="DA25" s="54">
        <f>volume!DA25</f>
        <v>0</v>
      </c>
      <c r="DB25" s="49">
        <f t="shared" si="14"/>
        <v>0</v>
      </c>
      <c r="DC25" s="52">
        <f>volume!DC25</f>
        <v>0</v>
      </c>
      <c r="DD25" s="53">
        <f>volume!DD25</f>
        <v>0</v>
      </c>
      <c r="DE25" s="53">
        <f>volume!DE25</f>
        <v>0</v>
      </c>
      <c r="DF25" s="53">
        <f>volume!DF25</f>
        <v>0</v>
      </c>
      <c r="DG25" s="53">
        <f>volume!DG25</f>
        <v>0</v>
      </c>
      <c r="DH25" s="54">
        <f>volume!DH25</f>
        <v>0</v>
      </c>
      <c r="DI25" s="49">
        <f t="shared" si="15"/>
        <v>0</v>
      </c>
      <c r="DJ25" s="52">
        <f>volume!DJ25</f>
        <v>0</v>
      </c>
      <c r="DK25" s="53">
        <f>volume!DK25</f>
        <v>0</v>
      </c>
      <c r="DL25" s="53">
        <f>volume!DL25</f>
        <v>0</v>
      </c>
      <c r="DM25" s="53">
        <f>volume!DM25</f>
        <v>0</v>
      </c>
      <c r="DN25" s="53">
        <f>volume!DN25</f>
        <v>0</v>
      </c>
      <c r="DO25" s="54">
        <f>volume!DO25</f>
        <v>0</v>
      </c>
      <c r="DP25" s="50">
        <f t="shared" si="16"/>
        <v>0</v>
      </c>
      <c r="DQ25" s="52">
        <f>volume!DQ25</f>
        <v>0</v>
      </c>
      <c r="DR25" s="53">
        <f>volume!DR25</f>
        <v>0</v>
      </c>
      <c r="DS25" s="53">
        <f>volume!DS25</f>
        <v>0</v>
      </c>
      <c r="DT25" s="53">
        <f>volume!DT25</f>
        <v>0</v>
      </c>
      <c r="DU25" s="53">
        <f>volume!DU25</f>
        <v>0</v>
      </c>
      <c r="DV25" s="54">
        <f>volume!DV25</f>
        <v>0</v>
      </c>
      <c r="DW25" s="50">
        <f t="shared" si="17"/>
        <v>0</v>
      </c>
      <c r="DX25" s="52">
        <f>volume!DX25</f>
        <v>0</v>
      </c>
      <c r="DY25" s="53">
        <f>volume!DY25</f>
        <v>0</v>
      </c>
      <c r="DZ25" s="53">
        <f>volume!DZ25</f>
        <v>0</v>
      </c>
      <c r="EA25" s="53">
        <f>volume!EA25</f>
        <v>0</v>
      </c>
      <c r="EB25" s="53">
        <f>volume!EB25</f>
        <v>0</v>
      </c>
      <c r="EC25" s="54">
        <f>volume!EC25</f>
        <v>0</v>
      </c>
      <c r="ED25" s="50">
        <f t="shared" si="18"/>
        <v>0</v>
      </c>
      <c r="EE25" s="273"/>
      <c r="EF25" s="273"/>
      <c r="EG25" s="273"/>
      <c r="EH25" s="273"/>
      <c r="EI25" s="273"/>
      <c r="EJ25" s="273"/>
      <c r="EK25" s="273"/>
      <c r="EL25" s="52">
        <f>volume!EL25</f>
        <v>0</v>
      </c>
      <c r="EM25" s="53">
        <f>volume!EM25</f>
        <v>0</v>
      </c>
      <c r="EN25" s="53">
        <f>volume!EN25</f>
        <v>0</v>
      </c>
      <c r="EO25" s="53">
        <f>volume!EO25</f>
        <v>0</v>
      </c>
      <c r="EP25" s="53">
        <f>volume!EP25</f>
        <v>0</v>
      </c>
      <c r="EQ25" s="54">
        <f>volume!EQ25</f>
        <v>0</v>
      </c>
      <c r="ER25" s="50">
        <f t="shared" si="19"/>
        <v>0</v>
      </c>
      <c r="ES25" s="52">
        <f>volume!ES25</f>
        <v>0</v>
      </c>
      <c r="ET25" s="53">
        <f>volume!ET25</f>
        <v>0</v>
      </c>
      <c r="EU25" s="53">
        <f>volume!EU25</f>
        <v>0</v>
      </c>
      <c r="EV25" s="53">
        <f>volume!EV25</f>
        <v>0</v>
      </c>
      <c r="EW25" s="53">
        <f>volume!EW25</f>
        <v>0</v>
      </c>
      <c r="EX25" s="54">
        <f>volume!EX25</f>
        <v>0</v>
      </c>
      <c r="EY25" s="50">
        <f t="shared" si="20"/>
        <v>0</v>
      </c>
      <c r="EZ25" s="52">
        <f>volume!EZ25</f>
        <v>0</v>
      </c>
      <c r="FA25" s="53">
        <f>volume!FA25</f>
        <v>0</v>
      </c>
      <c r="FB25" s="53">
        <f>volume!FB25</f>
        <v>0</v>
      </c>
      <c r="FC25" s="53">
        <f>volume!FC25</f>
        <v>0</v>
      </c>
      <c r="FD25" s="53">
        <f>volume!FD25</f>
        <v>0</v>
      </c>
      <c r="FE25" s="54">
        <f>volume!FE25</f>
        <v>0</v>
      </c>
      <c r="FF25" s="50">
        <f t="shared" si="21"/>
        <v>0</v>
      </c>
      <c r="FG25" s="273"/>
      <c r="FH25" s="273"/>
      <c r="FI25" s="273"/>
      <c r="FJ25" s="273"/>
      <c r="FK25" s="273"/>
      <c r="FL25" s="273"/>
      <c r="FM25" s="273"/>
      <c r="FN25" s="52">
        <f>volume!FN25</f>
        <v>0</v>
      </c>
      <c r="FO25" s="53">
        <f>volume!FO25</f>
        <v>0</v>
      </c>
      <c r="FP25" s="53">
        <f>volume!FP25</f>
        <v>0</v>
      </c>
      <c r="FQ25" s="53">
        <f>volume!FQ25</f>
        <v>0</v>
      </c>
      <c r="FR25" s="53">
        <f>volume!FR25</f>
        <v>0</v>
      </c>
      <c r="FS25" s="54">
        <f>volume!FS25</f>
        <v>0</v>
      </c>
      <c r="FT25" s="50">
        <f t="shared" si="22"/>
        <v>0</v>
      </c>
      <c r="FU25" s="52">
        <f>volume!FU25</f>
        <v>0</v>
      </c>
      <c r="FV25" s="53">
        <f>volume!FV25</f>
        <v>0</v>
      </c>
      <c r="FW25" s="53">
        <f>volume!FW25</f>
        <v>0</v>
      </c>
      <c r="FX25" s="53">
        <f>volume!FX25</f>
        <v>0</v>
      </c>
      <c r="FY25" s="53">
        <f>volume!FY25</f>
        <v>0</v>
      </c>
      <c r="FZ25" s="54">
        <f>volume!FZ25</f>
        <v>0</v>
      </c>
      <c r="GA25" s="50">
        <f t="shared" si="23"/>
        <v>0</v>
      </c>
      <c r="GB25" s="52">
        <f>volume!GB25</f>
        <v>0</v>
      </c>
      <c r="GC25" s="53">
        <f>volume!GC25</f>
        <v>0</v>
      </c>
      <c r="GD25" s="53">
        <f>volume!GD25</f>
        <v>0</v>
      </c>
      <c r="GE25" s="53">
        <f>volume!GE25</f>
        <v>0</v>
      </c>
      <c r="GF25" s="53">
        <f>volume!GF25</f>
        <v>0</v>
      </c>
      <c r="GG25" s="54">
        <f>volume!GG25</f>
        <v>0</v>
      </c>
      <c r="GH25" s="50">
        <f t="shared" si="24"/>
        <v>0</v>
      </c>
      <c r="GI25" s="273"/>
      <c r="GJ25" s="273"/>
      <c r="GK25" s="273"/>
      <c r="GL25" s="273"/>
      <c r="GM25" s="273"/>
      <c r="GN25" s="273"/>
      <c r="GO25" s="273"/>
      <c r="GP25" s="52">
        <f>volume!GP25</f>
        <v>0</v>
      </c>
      <c r="GQ25" s="53">
        <f>volume!GQ25</f>
        <v>0</v>
      </c>
      <c r="GR25" s="53">
        <f>volume!GR25</f>
        <v>0</v>
      </c>
      <c r="GS25" s="53">
        <f>volume!GS25</f>
        <v>0</v>
      </c>
      <c r="GT25" s="53">
        <f>volume!GT25</f>
        <v>0</v>
      </c>
      <c r="GU25" s="54">
        <f>volume!GU25</f>
        <v>0</v>
      </c>
      <c r="GV25" s="50">
        <f t="shared" si="25"/>
        <v>0</v>
      </c>
      <c r="GW25" s="52">
        <f>volume!GW25</f>
        <v>0</v>
      </c>
      <c r="GX25" s="53">
        <f>volume!GX25</f>
        <v>0</v>
      </c>
      <c r="GY25" s="53">
        <f>volume!GY25</f>
        <v>0</v>
      </c>
      <c r="GZ25" s="53">
        <f>volume!GZ25</f>
        <v>0</v>
      </c>
      <c r="HA25" s="53">
        <f>volume!HA25</f>
        <v>0</v>
      </c>
      <c r="HB25" s="54">
        <f>volume!HB25</f>
        <v>0</v>
      </c>
      <c r="HC25" s="50">
        <f t="shared" si="26"/>
        <v>0</v>
      </c>
      <c r="HD25" s="52">
        <f>volume!HD25</f>
        <v>0</v>
      </c>
      <c r="HE25" s="53">
        <f>volume!HE25</f>
        <v>0</v>
      </c>
      <c r="HF25" s="53">
        <f>volume!HF25</f>
        <v>0</v>
      </c>
      <c r="HG25" s="53">
        <f>volume!HG25</f>
        <v>0</v>
      </c>
      <c r="HH25" s="53">
        <f>volume!HH25</f>
        <v>0</v>
      </c>
      <c r="HI25" s="54">
        <f>volume!HI25</f>
        <v>0</v>
      </c>
      <c r="HJ25" s="50">
        <f t="shared" si="27"/>
        <v>0</v>
      </c>
    </row>
    <row r="26" spans="1:218" ht="21.75" customHeight="1" x14ac:dyDescent="0.6">
      <c r="A26" s="55" t="s">
        <v>81</v>
      </c>
      <c r="B26" s="52">
        <f>volume!B26</f>
        <v>24</v>
      </c>
      <c r="C26" s="53">
        <f>volume!C26</f>
        <v>8</v>
      </c>
      <c r="D26" s="53">
        <f>volume!D26</f>
        <v>0</v>
      </c>
      <c r="E26" s="53">
        <f>volume!E26</f>
        <v>0</v>
      </c>
      <c r="F26" s="53">
        <f>volume!F26</f>
        <v>0</v>
      </c>
      <c r="G26" s="54">
        <f>volume!G26</f>
        <v>0</v>
      </c>
      <c r="H26" s="48">
        <f t="shared" si="0"/>
        <v>32</v>
      </c>
      <c r="I26" s="52">
        <f>volume!I26</f>
        <v>62</v>
      </c>
      <c r="J26" s="53">
        <f>volume!J26</f>
        <v>14</v>
      </c>
      <c r="K26" s="53">
        <f>volume!K26</f>
        <v>0</v>
      </c>
      <c r="L26" s="53">
        <f>volume!L26</f>
        <v>0</v>
      </c>
      <c r="M26" s="53">
        <f>volume!M26</f>
        <v>0</v>
      </c>
      <c r="N26" s="54">
        <f>volume!N26</f>
        <v>0</v>
      </c>
      <c r="O26" s="49">
        <f t="shared" si="1"/>
        <v>76</v>
      </c>
      <c r="P26" s="52">
        <f>volume!P26</f>
        <v>23</v>
      </c>
      <c r="Q26" s="53">
        <f>volume!Q26</f>
        <v>6</v>
      </c>
      <c r="R26" s="53">
        <f>volume!R26</f>
        <v>0</v>
      </c>
      <c r="S26" s="53">
        <f>volume!S26</f>
        <v>0</v>
      </c>
      <c r="T26" s="53">
        <f>volume!T26</f>
        <v>0</v>
      </c>
      <c r="U26" s="54">
        <f>volume!U26</f>
        <v>0</v>
      </c>
      <c r="V26" s="49">
        <f t="shared" si="2"/>
        <v>29</v>
      </c>
      <c r="W26" s="52">
        <f>volume!W26</f>
        <v>0</v>
      </c>
      <c r="X26" s="53">
        <f>volume!X26</f>
        <v>0</v>
      </c>
      <c r="Y26" s="53">
        <f>volume!Y26</f>
        <v>0</v>
      </c>
      <c r="Z26" s="53">
        <f>volume!Z26</f>
        <v>0</v>
      </c>
      <c r="AA26" s="53">
        <f>volume!AA26</f>
        <v>0</v>
      </c>
      <c r="AB26" s="54">
        <f>volume!AB26</f>
        <v>0</v>
      </c>
      <c r="AC26" s="49">
        <f t="shared" si="3"/>
        <v>0</v>
      </c>
      <c r="AD26" s="52">
        <f>volume!AD26</f>
        <v>66</v>
      </c>
      <c r="AE26" s="53">
        <f>volume!AE26</f>
        <v>24</v>
      </c>
      <c r="AF26" s="53">
        <f>volume!AF26</f>
        <v>0</v>
      </c>
      <c r="AG26" s="53">
        <f>volume!AG26</f>
        <v>0</v>
      </c>
      <c r="AH26" s="53">
        <f>volume!AH26</f>
        <v>0</v>
      </c>
      <c r="AI26" s="54">
        <f>volume!AI26</f>
        <v>0</v>
      </c>
      <c r="AJ26" s="49">
        <f t="shared" si="4"/>
        <v>90</v>
      </c>
      <c r="AK26" s="52">
        <f>volume!AK26</f>
        <v>125</v>
      </c>
      <c r="AL26" s="53">
        <f>volume!AL26</f>
        <v>51</v>
      </c>
      <c r="AM26" s="53">
        <f>volume!AM26</f>
        <v>0</v>
      </c>
      <c r="AN26" s="53">
        <f>volume!AN26</f>
        <v>0</v>
      </c>
      <c r="AO26" s="53">
        <f>volume!AO26</f>
        <v>8</v>
      </c>
      <c r="AP26" s="54">
        <f>volume!AP26</f>
        <v>0</v>
      </c>
      <c r="AQ26" s="49">
        <f t="shared" si="5"/>
        <v>184</v>
      </c>
      <c r="AR26" s="52">
        <f>volume!AR26</f>
        <v>17</v>
      </c>
      <c r="AS26" s="53">
        <f>volume!AS26</f>
        <v>4</v>
      </c>
      <c r="AT26" s="53">
        <f>volume!AT26</f>
        <v>0</v>
      </c>
      <c r="AU26" s="53">
        <f>volume!AU26</f>
        <v>0</v>
      </c>
      <c r="AV26" s="53">
        <f>volume!AV26</f>
        <v>0</v>
      </c>
      <c r="AW26" s="54">
        <f>volume!AW26</f>
        <v>0</v>
      </c>
      <c r="AX26" s="49">
        <f t="shared" si="6"/>
        <v>21</v>
      </c>
      <c r="AY26" s="52">
        <f>volume!AY26</f>
        <v>41</v>
      </c>
      <c r="AZ26" s="53">
        <f>volume!AZ26</f>
        <v>19</v>
      </c>
      <c r="BA26" s="53">
        <f>volume!BA26</f>
        <v>0</v>
      </c>
      <c r="BB26" s="53">
        <f>volume!BB26</f>
        <v>0</v>
      </c>
      <c r="BC26" s="53">
        <f>volume!BC26</f>
        <v>1</v>
      </c>
      <c r="BD26" s="54">
        <f>volume!BD26</f>
        <v>0</v>
      </c>
      <c r="BE26" s="49">
        <f t="shared" si="7"/>
        <v>61</v>
      </c>
      <c r="BF26" s="52">
        <f>volume!BF26</f>
        <v>4</v>
      </c>
      <c r="BG26" s="53">
        <f>volume!BG26</f>
        <v>0</v>
      </c>
      <c r="BH26" s="53">
        <f>volume!BH26</f>
        <v>0</v>
      </c>
      <c r="BI26" s="53">
        <f>volume!BI26</f>
        <v>0</v>
      </c>
      <c r="BJ26" s="53">
        <f>volume!BJ26</f>
        <v>0</v>
      </c>
      <c r="BK26" s="54">
        <f>volume!BK26</f>
        <v>0</v>
      </c>
      <c r="BL26" s="49">
        <f t="shared" si="8"/>
        <v>4</v>
      </c>
      <c r="BM26" s="52">
        <f>volume!BM26</f>
        <v>61</v>
      </c>
      <c r="BN26" s="53">
        <f>volume!BN26</f>
        <v>16</v>
      </c>
      <c r="BO26" s="53">
        <f>volume!BO26</f>
        <v>0</v>
      </c>
      <c r="BP26" s="53">
        <f>volume!BP26</f>
        <v>0</v>
      </c>
      <c r="BQ26" s="53">
        <f>volume!BQ26</f>
        <v>0</v>
      </c>
      <c r="BR26" s="54">
        <f>volume!BR26</f>
        <v>0</v>
      </c>
      <c r="BS26" s="49">
        <f t="shared" si="9"/>
        <v>77</v>
      </c>
      <c r="BT26" s="52">
        <f>volume!BT26</f>
        <v>66</v>
      </c>
      <c r="BU26" s="53">
        <f>volume!BU26</f>
        <v>13</v>
      </c>
      <c r="BV26" s="53">
        <f>volume!BV26</f>
        <v>0</v>
      </c>
      <c r="BW26" s="53">
        <f>volume!BW26</f>
        <v>0</v>
      </c>
      <c r="BX26" s="53">
        <f>volume!BX26</f>
        <v>0</v>
      </c>
      <c r="BY26" s="54">
        <f>volume!BY26</f>
        <v>0</v>
      </c>
      <c r="BZ26" s="49">
        <f t="shared" si="10"/>
        <v>79</v>
      </c>
      <c r="CA26" s="52">
        <f>volume!CA26</f>
        <v>0</v>
      </c>
      <c r="CB26" s="53">
        <f>volume!CB26</f>
        <v>0</v>
      </c>
      <c r="CC26" s="53">
        <f>volume!CC26</f>
        <v>0</v>
      </c>
      <c r="CD26" s="53">
        <f>volume!CD26</f>
        <v>0</v>
      </c>
      <c r="CE26" s="53">
        <f>volume!CE26</f>
        <v>0</v>
      </c>
      <c r="CF26" s="54">
        <f>volume!CF26</f>
        <v>0</v>
      </c>
      <c r="CG26" s="49">
        <f t="shared" si="11"/>
        <v>0</v>
      </c>
      <c r="CH26" s="52">
        <f>volume!CH26</f>
        <v>21</v>
      </c>
      <c r="CI26" s="53">
        <f>volume!CI26</f>
        <v>6</v>
      </c>
      <c r="CJ26" s="53">
        <f>volume!CJ26</f>
        <v>0</v>
      </c>
      <c r="CK26" s="53">
        <f>volume!CK26</f>
        <v>0</v>
      </c>
      <c r="CL26" s="53">
        <f>volume!CL26</f>
        <v>0</v>
      </c>
      <c r="CM26" s="54">
        <f>volume!CM26</f>
        <v>0</v>
      </c>
      <c r="CN26" s="49">
        <f t="shared" si="12"/>
        <v>27</v>
      </c>
      <c r="CO26" s="52">
        <f>volume!CO26</f>
        <v>91</v>
      </c>
      <c r="CP26" s="53">
        <f>volume!CP26</f>
        <v>22</v>
      </c>
      <c r="CQ26" s="53">
        <f>volume!CQ26</f>
        <v>0</v>
      </c>
      <c r="CR26" s="53">
        <f>volume!CR26</f>
        <v>0</v>
      </c>
      <c r="CS26" s="53">
        <f>volume!CS26</f>
        <v>1</v>
      </c>
      <c r="CT26" s="54">
        <f>volume!CT26</f>
        <v>0</v>
      </c>
      <c r="CU26" s="49">
        <f t="shared" si="13"/>
        <v>114</v>
      </c>
      <c r="CV26" s="52">
        <f>volume!CV26</f>
        <v>0</v>
      </c>
      <c r="CW26" s="53">
        <f>volume!CW26</f>
        <v>0</v>
      </c>
      <c r="CX26" s="53">
        <f>volume!CX26</f>
        <v>0</v>
      </c>
      <c r="CY26" s="53">
        <f>volume!CY26</f>
        <v>0</v>
      </c>
      <c r="CZ26" s="53">
        <f>volume!CZ26</f>
        <v>0</v>
      </c>
      <c r="DA26" s="54">
        <f>volume!DA26</f>
        <v>0</v>
      </c>
      <c r="DB26" s="49">
        <f t="shared" si="14"/>
        <v>0</v>
      </c>
      <c r="DC26" s="52">
        <f>volume!DC26</f>
        <v>0</v>
      </c>
      <c r="DD26" s="53">
        <f>volume!DD26</f>
        <v>0</v>
      </c>
      <c r="DE26" s="53">
        <f>volume!DE26</f>
        <v>0</v>
      </c>
      <c r="DF26" s="53">
        <f>volume!DF26</f>
        <v>0</v>
      </c>
      <c r="DG26" s="53">
        <f>volume!DG26</f>
        <v>0</v>
      </c>
      <c r="DH26" s="54">
        <f>volume!DH26</f>
        <v>0</v>
      </c>
      <c r="DI26" s="49">
        <f t="shared" si="15"/>
        <v>0</v>
      </c>
      <c r="DJ26" s="52">
        <f>volume!DJ26</f>
        <v>0</v>
      </c>
      <c r="DK26" s="53">
        <f>volume!DK26</f>
        <v>0</v>
      </c>
      <c r="DL26" s="53">
        <f>volume!DL26</f>
        <v>0</v>
      </c>
      <c r="DM26" s="53">
        <f>volume!DM26</f>
        <v>0</v>
      </c>
      <c r="DN26" s="53">
        <f>volume!DN26</f>
        <v>0</v>
      </c>
      <c r="DO26" s="54">
        <f>volume!DO26</f>
        <v>0</v>
      </c>
      <c r="DP26" s="50">
        <f t="shared" si="16"/>
        <v>0</v>
      </c>
      <c r="DQ26" s="52">
        <f>volume!DQ26</f>
        <v>0</v>
      </c>
      <c r="DR26" s="53">
        <f>volume!DR26</f>
        <v>0</v>
      </c>
      <c r="DS26" s="53">
        <f>volume!DS26</f>
        <v>0</v>
      </c>
      <c r="DT26" s="53">
        <f>volume!DT26</f>
        <v>0</v>
      </c>
      <c r="DU26" s="53">
        <f>volume!DU26</f>
        <v>0</v>
      </c>
      <c r="DV26" s="54">
        <f>volume!DV26</f>
        <v>0</v>
      </c>
      <c r="DW26" s="50">
        <f t="shared" si="17"/>
        <v>0</v>
      </c>
      <c r="DX26" s="52">
        <f>volume!DX26</f>
        <v>0</v>
      </c>
      <c r="DY26" s="53">
        <f>volume!DY26</f>
        <v>0</v>
      </c>
      <c r="DZ26" s="53">
        <f>volume!DZ26</f>
        <v>0</v>
      </c>
      <c r="EA26" s="53">
        <f>volume!EA26</f>
        <v>0</v>
      </c>
      <c r="EB26" s="53">
        <f>volume!EB26</f>
        <v>0</v>
      </c>
      <c r="EC26" s="54">
        <f>volume!EC26</f>
        <v>0</v>
      </c>
      <c r="ED26" s="50">
        <f t="shared" si="18"/>
        <v>0</v>
      </c>
      <c r="EE26" s="273"/>
      <c r="EF26" s="273"/>
      <c r="EG26" s="273"/>
      <c r="EH26" s="273"/>
      <c r="EI26" s="273"/>
      <c r="EJ26" s="273"/>
      <c r="EK26" s="273"/>
      <c r="EL26" s="52">
        <f>volume!EL26</f>
        <v>0</v>
      </c>
      <c r="EM26" s="53">
        <f>volume!EM26</f>
        <v>0</v>
      </c>
      <c r="EN26" s="53">
        <f>volume!EN26</f>
        <v>0</v>
      </c>
      <c r="EO26" s="53">
        <f>volume!EO26</f>
        <v>0</v>
      </c>
      <c r="EP26" s="53">
        <f>volume!EP26</f>
        <v>0</v>
      </c>
      <c r="EQ26" s="54">
        <f>volume!EQ26</f>
        <v>0</v>
      </c>
      <c r="ER26" s="50">
        <f t="shared" si="19"/>
        <v>0</v>
      </c>
      <c r="ES26" s="52">
        <f>volume!ES26</f>
        <v>0</v>
      </c>
      <c r="ET26" s="53">
        <f>volume!ET26</f>
        <v>0</v>
      </c>
      <c r="EU26" s="53">
        <f>volume!EU26</f>
        <v>0</v>
      </c>
      <c r="EV26" s="53">
        <f>volume!EV26</f>
        <v>0</v>
      </c>
      <c r="EW26" s="53">
        <f>volume!EW26</f>
        <v>0</v>
      </c>
      <c r="EX26" s="54">
        <f>volume!EX26</f>
        <v>0</v>
      </c>
      <c r="EY26" s="50">
        <f t="shared" si="20"/>
        <v>0</v>
      </c>
      <c r="EZ26" s="52">
        <f>volume!EZ26</f>
        <v>0</v>
      </c>
      <c r="FA26" s="53">
        <f>volume!FA26</f>
        <v>0</v>
      </c>
      <c r="FB26" s="53">
        <f>volume!FB26</f>
        <v>0</v>
      </c>
      <c r="FC26" s="53">
        <f>volume!FC26</f>
        <v>0</v>
      </c>
      <c r="FD26" s="53">
        <f>volume!FD26</f>
        <v>0</v>
      </c>
      <c r="FE26" s="54">
        <f>volume!FE26</f>
        <v>0</v>
      </c>
      <c r="FF26" s="50">
        <f t="shared" si="21"/>
        <v>0</v>
      </c>
      <c r="FG26" s="273"/>
      <c r="FH26" s="273"/>
      <c r="FI26" s="273"/>
      <c r="FJ26" s="273"/>
      <c r="FK26" s="273"/>
      <c r="FL26" s="273"/>
      <c r="FM26" s="273"/>
      <c r="FN26" s="52">
        <f>volume!FN26</f>
        <v>0</v>
      </c>
      <c r="FO26" s="53">
        <f>volume!FO26</f>
        <v>0</v>
      </c>
      <c r="FP26" s="53">
        <f>volume!FP26</f>
        <v>0</v>
      </c>
      <c r="FQ26" s="53">
        <f>volume!FQ26</f>
        <v>0</v>
      </c>
      <c r="FR26" s="53">
        <f>volume!FR26</f>
        <v>0</v>
      </c>
      <c r="FS26" s="54">
        <f>volume!FS26</f>
        <v>0</v>
      </c>
      <c r="FT26" s="50">
        <f t="shared" si="22"/>
        <v>0</v>
      </c>
      <c r="FU26" s="52">
        <f>volume!FU26</f>
        <v>0</v>
      </c>
      <c r="FV26" s="53">
        <f>volume!FV26</f>
        <v>0</v>
      </c>
      <c r="FW26" s="53">
        <f>volume!FW26</f>
        <v>0</v>
      </c>
      <c r="FX26" s="53">
        <f>volume!FX26</f>
        <v>0</v>
      </c>
      <c r="FY26" s="53">
        <f>volume!FY26</f>
        <v>0</v>
      </c>
      <c r="FZ26" s="54">
        <f>volume!FZ26</f>
        <v>0</v>
      </c>
      <c r="GA26" s="50">
        <f t="shared" si="23"/>
        <v>0</v>
      </c>
      <c r="GB26" s="52">
        <f>volume!GB26</f>
        <v>0</v>
      </c>
      <c r="GC26" s="53">
        <f>volume!GC26</f>
        <v>0</v>
      </c>
      <c r="GD26" s="53">
        <f>volume!GD26</f>
        <v>0</v>
      </c>
      <c r="GE26" s="53">
        <f>volume!GE26</f>
        <v>0</v>
      </c>
      <c r="GF26" s="53">
        <f>volume!GF26</f>
        <v>0</v>
      </c>
      <c r="GG26" s="54">
        <f>volume!GG26</f>
        <v>0</v>
      </c>
      <c r="GH26" s="50">
        <f t="shared" si="24"/>
        <v>0</v>
      </c>
      <c r="GI26" s="273"/>
      <c r="GJ26" s="273"/>
      <c r="GK26" s="273"/>
      <c r="GL26" s="273"/>
      <c r="GM26" s="273"/>
      <c r="GN26" s="273"/>
      <c r="GO26" s="273"/>
      <c r="GP26" s="52">
        <f>volume!GP26</f>
        <v>0</v>
      </c>
      <c r="GQ26" s="53">
        <f>volume!GQ26</f>
        <v>0</v>
      </c>
      <c r="GR26" s="53">
        <f>volume!GR26</f>
        <v>0</v>
      </c>
      <c r="GS26" s="53">
        <f>volume!GS26</f>
        <v>0</v>
      </c>
      <c r="GT26" s="53">
        <f>volume!GT26</f>
        <v>0</v>
      </c>
      <c r="GU26" s="54">
        <f>volume!GU26</f>
        <v>0</v>
      </c>
      <c r="GV26" s="50">
        <f t="shared" si="25"/>
        <v>0</v>
      </c>
      <c r="GW26" s="52">
        <f>volume!GW26</f>
        <v>0</v>
      </c>
      <c r="GX26" s="53">
        <f>volume!GX26</f>
        <v>0</v>
      </c>
      <c r="GY26" s="53">
        <f>volume!GY26</f>
        <v>0</v>
      </c>
      <c r="GZ26" s="53">
        <f>volume!GZ26</f>
        <v>0</v>
      </c>
      <c r="HA26" s="53">
        <f>volume!HA26</f>
        <v>0</v>
      </c>
      <c r="HB26" s="54">
        <f>volume!HB26</f>
        <v>0</v>
      </c>
      <c r="HC26" s="50">
        <f t="shared" si="26"/>
        <v>0</v>
      </c>
      <c r="HD26" s="52">
        <f>volume!HD26</f>
        <v>0</v>
      </c>
      <c r="HE26" s="53">
        <f>volume!HE26</f>
        <v>0</v>
      </c>
      <c r="HF26" s="53">
        <f>volume!HF26</f>
        <v>0</v>
      </c>
      <c r="HG26" s="53">
        <f>volume!HG26</f>
        <v>0</v>
      </c>
      <c r="HH26" s="53">
        <f>volume!HH26</f>
        <v>0</v>
      </c>
      <c r="HI26" s="54">
        <f>volume!HI26</f>
        <v>0</v>
      </c>
      <c r="HJ26" s="50">
        <f t="shared" si="27"/>
        <v>0</v>
      </c>
    </row>
    <row r="27" spans="1:218" ht="21.75" customHeight="1" x14ac:dyDescent="0.6">
      <c r="A27" s="44" t="s">
        <v>82</v>
      </c>
      <c r="B27" s="45">
        <f>volume!B27</f>
        <v>29</v>
      </c>
      <c r="C27" s="46">
        <f>volume!C27</f>
        <v>4</v>
      </c>
      <c r="D27" s="46">
        <f>volume!D27</f>
        <v>0</v>
      </c>
      <c r="E27" s="46">
        <f>volume!E27</f>
        <v>0</v>
      </c>
      <c r="F27" s="46">
        <f>volume!F27</f>
        <v>0</v>
      </c>
      <c r="G27" s="47">
        <f>volume!G27</f>
        <v>0</v>
      </c>
      <c r="H27" s="48">
        <f t="shared" si="0"/>
        <v>33</v>
      </c>
      <c r="I27" s="45">
        <f>volume!I27</f>
        <v>49</v>
      </c>
      <c r="J27" s="46">
        <f>volume!J27</f>
        <v>18</v>
      </c>
      <c r="K27" s="46">
        <f>volume!K27</f>
        <v>0</v>
      </c>
      <c r="L27" s="46">
        <f>volume!L27</f>
        <v>0</v>
      </c>
      <c r="M27" s="46">
        <f>volume!M27</f>
        <v>1</v>
      </c>
      <c r="N27" s="47">
        <f>volume!N27</f>
        <v>1</v>
      </c>
      <c r="O27" s="49">
        <f t="shared" si="1"/>
        <v>69</v>
      </c>
      <c r="P27" s="45">
        <f>volume!P27</f>
        <v>20</v>
      </c>
      <c r="Q27" s="46">
        <f>volume!Q27</f>
        <v>11</v>
      </c>
      <c r="R27" s="46">
        <f>volume!R27</f>
        <v>0</v>
      </c>
      <c r="S27" s="46">
        <f>volume!S27</f>
        <v>0</v>
      </c>
      <c r="T27" s="46">
        <f>volume!T27</f>
        <v>0</v>
      </c>
      <c r="U27" s="47">
        <f>volume!U27</f>
        <v>0</v>
      </c>
      <c r="V27" s="49">
        <f t="shared" si="2"/>
        <v>31</v>
      </c>
      <c r="W27" s="45">
        <f>volume!W27</f>
        <v>0</v>
      </c>
      <c r="X27" s="46">
        <f>volume!X27</f>
        <v>0</v>
      </c>
      <c r="Y27" s="46">
        <f>volume!Y27</f>
        <v>0</v>
      </c>
      <c r="Z27" s="46">
        <f>volume!Z27</f>
        <v>0</v>
      </c>
      <c r="AA27" s="46">
        <f>volume!AA27</f>
        <v>0</v>
      </c>
      <c r="AB27" s="47">
        <f>volume!AB27</f>
        <v>0</v>
      </c>
      <c r="AC27" s="49">
        <f t="shared" si="3"/>
        <v>0</v>
      </c>
      <c r="AD27" s="45">
        <f>volume!AD27</f>
        <v>53</v>
      </c>
      <c r="AE27" s="46">
        <f>volume!AE27</f>
        <v>22</v>
      </c>
      <c r="AF27" s="46">
        <f>volume!AF27</f>
        <v>0</v>
      </c>
      <c r="AG27" s="46">
        <f>volume!AG27</f>
        <v>0</v>
      </c>
      <c r="AH27" s="46">
        <f>volume!AH27</f>
        <v>0</v>
      </c>
      <c r="AI27" s="47">
        <f>volume!AI27</f>
        <v>0</v>
      </c>
      <c r="AJ27" s="49">
        <f t="shared" si="4"/>
        <v>75</v>
      </c>
      <c r="AK27" s="45">
        <f>volume!AK27</f>
        <v>138</v>
      </c>
      <c r="AL27" s="46">
        <f>volume!AL27</f>
        <v>48</v>
      </c>
      <c r="AM27" s="46">
        <f>volume!AM27</f>
        <v>1</v>
      </c>
      <c r="AN27" s="46">
        <f>volume!AN27</f>
        <v>0</v>
      </c>
      <c r="AO27" s="46">
        <f>volume!AO27</f>
        <v>9</v>
      </c>
      <c r="AP27" s="47">
        <f>volume!AP27</f>
        <v>0</v>
      </c>
      <c r="AQ27" s="49">
        <f t="shared" si="5"/>
        <v>196</v>
      </c>
      <c r="AR27" s="45">
        <f>volume!AR27</f>
        <v>21</v>
      </c>
      <c r="AS27" s="46">
        <f>volume!AS27</f>
        <v>4</v>
      </c>
      <c r="AT27" s="46">
        <f>volume!AT27</f>
        <v>0</v>
      </c>
      <c r="AU27" s="46">
        <f>volume!AU27</f>
        <v>0</v>
      </c>
      <c r="AV27" s="46">
        <f>volume!AV27</f>
        <v>0</v>
      </c>
      <c r="AW27" s="47">
        <f>volume!AW27</f>
        <v>0</v>
      </c>
      <c r="AX27" s="49">
        <f t="shared" si="6"/>
        <v>25</v>
      </c>
      <c r="AY27" s="45">
        <f>volume!AY27</f>
        <v>35</v>
      </c>
      <c r="AZ27" s="46">
        <f>volume!AZ27</f>
        <v>18</v>
      </c>
      <c r="BA27" s="46">
        <f>volume!BA27</f>
        <v>0</v>
      </c>
      <c r="BB27" s="46">
        <f>volume!BB27</f>
        <v>0</v>
      </c>
      <c r="BC27" s="46">
        <f>volume!BC27</f>
        <v>1</v>
      </c>
      <c r="BD27" s="47">
        <f>volume!BD27</f>
        <v>0</v>
      </c>
      <c r="BE27" s="49">
        <f t="shared" si="7"/>
        <v>54</v>
      </c>
      <c r="BF27" s="45">
        <f>volume!BF27</f>
        <v>7</v>
      </c>
      <c r="BG27" s="46">
        <f>volume!BG27</f>
        <v>0</v>
      </c>
      <c r="BH27" s="46">
        <f>volume!BH27</f>
        <v>0</v>
      </c>
      <c r="BI27" s="46">
        <f>volume!BI27</f>
        <v>0</v>
      </c>
      <c r="BJ27" s="46">
        <f>volume!BJ27</f>
        <v>0</v>
      </c>
      <c r="BK27" s="47">
        <f>volume!BK27</f>
        <v>0</v>
      </c>
      <c r="BL27" s="49">
        <f t="shared" si="8"/>
        <v>7</v>
      </c>
      <c r="BM27" s="45">
        <f>volume!BM27</f>
        <v>53</v>
      </c>
      <c r="BN27" s="46">
        <f>volume!BN27</f>
        <v>14</v>
      </c>
      <c r="BO27" s="46">
        <f>volume!BO27</f>
        <v>0</v>
      </c>
      <c r="BP27" s="46">
        <f>volume!BP27</f>
        <v>0</v>
      </c>
      <c r="BQ27" s="46">
        <f>volume!BQ27</f>
        <v>2</v>
      </c>
      <c r="BR27" s="47">
        <f>volume!BR27</f>
        <v>0</v>
      </c>
      <c r="BS27" s="49">
        <f t="shared" si="9"/>
        <v>69</v>
      </c>
      <c r="BT27" s="45">
        <f>volume!BT27</f>
        <v>73</v>
      </c>
      <c r="BU27" s="46">
        <f>volume!BU27</f>
        <v>13</v>
      </c>
      <c r="BV27" s="46">
        <f>volume!BV27</f>
        <v>0</v>
      </c>
      <c r="BW27" s="46">
        <f>volume!BW27</f>
        <v>0</v>
      </c>
      <c r="BX27" s="46">
        <f>volume!BX27</f>
        <v>0</v>
      </c>
      <c r="BY27" s="47">
        <f>volume!BY27</f>
        <v>0</v>
      </c>
      <c r="BZ27" s="49">
        <f t="shared" si="10"/>
        <v>86</v>
      </c>
      <c r="CA27" s="45">
        <f>volume!CA27</f>
        <v>0</v>
      </c>
      <c r="CB27" s="46">
        <f>volume!CB27</f>
        <v>0</v>
      </c>
      <c r="CC27" s="46">
        <f>volume!CC27</f>
        <v>0</v>
      </c>
      <c r="CD27" s="46">
        <f>volume!CD27</f>
        <v>0</v>
      </c>
      <c r="CE27" s="46">
        <f>volume!CE27</f>
        <v>0</v>
      </c>
      <c r="CF27" s="47">
        <f>volume!CF27</f>
        <v>0</v>
      </c>
      <c r="CG27" s="49">
        <f t="shared" si="11"/>
        <v>0</v>
      </c>
      <c r="CH27" s="45">
        <f>volume!CH27</f>
        <v>25</v>
      </c>
      <c r="CI27" s="46">
        <f>volume!CI27</f>
        <v>6</v>
      </c>
      <c r="CJ27" s="46">
        <f>volume!CJ27</f>
        <v>0</v>
      </c>
      <c r="CK27" s="46">
        <f>volume!CK27</f>
        <v>0</v>
      </c>
      <c r="CL27" s="46">
        <f>volume!CL27</f>
        <v>0</v>
      </c>
      <c r="CM27" s="47">
        <f>volume!CM27</f>
        <v>0</v>
      </c>
      <c r="CN27" s="49">
        <f t="shared" si="12"/>
        <v>31</v>
      </c>
      <c r="CO27" s="45">
        <f>volume!CO27</f>
        <v>104</v>
      </c>
      <c r="CP27" s="46">
        <f>volume!CP27</f>
        <v>25</v>
      </c>
      <c r="CQ27" s="46">
        <f>volume!CQ27</f>
        <v>0</v>
      </c>
      <c r="CR27" s="46">
        <f>volume!CR27</f>
        <v>0</v>
      </c>
      <c r="CS27" s="46">
        <f>volume!CS27</f>
        <v>3</v>
      </c>
      <c r="CT27" s="47">
        <f>volume!CT27</f>
        <v>1</v>
      </c>
      <c r="CU27" s="49">
        <f t="shared" si="13"/>
        <v>133</v>
      </c>
      <c r="CV27" s="45">
        <f>volume!CV27</f>
        <v>0</v>
      </c>
      <c r="CW27" s="46">
        <f>volume!CW27</f>
        <v>0</v>
      </c>
      <c r="CX27" s="46">
        <f>volume!CX27</f>
        <v>0</v>
      </c>
      <c r="CY27" s="46">
        <f>volume!CY27</f>
        <v>0</v>
      </c>
      <c r="CZ27" s="46">
        <f>volume!CZ27</f>
        <v>0</v>
      </c>
      <c r="DA27" s="47">
        <f>volume!DA27</f>
        <v>0</v>
      </c>
      <c r="DB27" s="49">
        <f t="shared" si="14"/>
        <v>0</v>
      </c>
      <c r="DC27" s="45">
        <f>volume!DC27</f>
        <v>0</v>
      </c>
      <c r="DD27" s="46">
        <f>volume!DD27</f>
        <v>0</v>
      </c>
      <c r="DE27" s="46">
        <f>volume!DE27</f>
        <v>0</v>
      </c>
      <c r="DF27" s="46">
        <f>volume!DF27</f>
        <v>0</v>
      </c>
      <c r="DG27" s="46">
        <f>volume!DG27</f>
        <v>0</v>
      </c>
      <c r="DH27" s="47">
        <f>volume!DH27</f>
        <v>0</v>
      </c>
      <c r="DI27" s="49">
        <f t="shared" si="15"/>
        <v>0</v>
      </c>
      <c r="DJ27" s="45">
        <f>volume!DJ27</f>
        <v>0</v>
      </c>
      <c r="DK27" s="46">
        <f>volume!DK27</f>
        <v>0</v>
      </c>
      <c r="DL27" s="46">
        <f>volume!DL27</f>
        <v>0</v>
      </c>
      <c r="DM27" s="46">
        <f>volume!DM27</f>
        <v>0</v>
      </c>
      <c r="DN27" s="46">
        <f>volume!DN27</f>
        <v>0</v>
      </c>
      <c r="DO27" s="47">
        <f>volume!DO27</f>
        <v>0</v>
      </c>
      <c r="DP27" s="50">
        <f t="shared" si="16"/>
        <v>0</v>
      </c>
      <c r="DQ27" s="45">
        <f>volume!DQ27</f>
        <v>0</v>
      </c>
      <c r="DR27" s="46">
        <f>volume!DR27</f>
        <v>0</v>
      </c>
      <c r="DS27" s="46">
        <f>volume!DS27</f>
        <v>0</v>
      </c>
      <c r="DT27" s="46">
        <f>volume!DT27</f>
        <v>0</v>
      </c>
      <c r="DU27" s="46">
        <f>volume!DU27</f>
        <v>0</v>
      </c>
      <c r="DV27" s="47">
        <f>volume!DV27</f>
        <v>0</v>
      </c>
      <c r="DW27" s="50">
        <f t="shared" si="17"/>
        <v>0</v>
      </c>
      <c r="DX27" s="45">
        <f>volume!DX27</f>
        <v>0</v>
      </c>
      <c r="DY27" s="46">
        <f>volume!DY27</f>
        <v>0</v>
      </c>
      <c r="DZ27" s="46">
        <f>volume!DZ27</f>
        <v>0</v>
      </c>
      <c r="EA27" s="46">
        <f>volume!EA27</f>
        <v>0</v>
      </c>
      <c r="EB27" s="46">
        <f>volume!EB27</f>
        <v>0</v>
      </c>
      <c r="EC27" s="47">
        <f>volume!EC27</f>
        <v>0</v>
      </c>
      <c r="ED27" s="50">
        <f t="shared" si="18"/>
        <v>0</v>
      </c>
      <c r="EE27" s="272"/>
      <c r="EF27" s="272"/>
      <c r="EG27" s="272"/>
      <c r="EH27" s="272"/>
      <c r="EI27" s="272"/>
      <c r="EJ27" s="272"/>
      <c r="EK27" s="272"/>
      <c r="EL27" s="45">
        <f>volume!EL27</f>
        <v>0</v>
      </c>
      <c r="EM27" s="46">
        <f>volume!EM27</f>
        <v>0</v>
      </c>
      <c r="EN27" s="46">
        <f>volume!EN27</f>
        <v>0</v>
      </c>
      <c r="EO27" s="46">
        <f>volume!EO27</f>
        <v>0</v>
      </c>
      <c r="EP27" s="46">
        <f>volume!EP27</f>
        <v>0</v>
      </c>
      <c r="EQ27" s="47">
        <f>volume!EQ27</f>
        <v>0</v>
      </c>
      <c r="ER27" s="50">
        <f t="shared" si="19"/>
        <v>0</v>
      </c>
      <c r="ES27" s="45">
        <f>volume!ES27</f>
        <v>0</v>
      </c>
      <c r="ET27" s="46">
        <f>volume!ET27</f>
        <v>0</v>
      </c>
      <c r="EU27" s="46">
        <f>volume!EU27</f>
        <v>0</v>
      </c>
      <c r="EV27" s="46">
        <f>volume!EV27</f>
        <v>0</v>
      </c>
      <c r="EW27" s="46">
        <f>volume!EW27</f>
        <v>0</v>
      </c>
      <c r="EX27" s="47">
        <f>volume!EX27</f>
        <v>0</v>
      </c>
      <c r="EY27" s="50">
        <f t="shared" si="20"/>
        <v>0</v>
      </c>
      <c r="EZ27" s="45">
        <f>volume!EZ27</f>
        <v>0</v>
      </c>
      <c r="FA27" s="46">
        <f>volume!FA27</f>
        <v>0</v>
      </c>
      <c r="FB27" s="46">
        <f>volume!FB27</f>
        <v>0</v>
      </c>
      <c r="FC27" s="46">
        <f>volume!FC27</f>
        <v>0</v>
      </c>
      <c r="FD27" s="46">
        <f>volume!FD27</f>
        <v>0</v>
      </c>
      <c r="FE27" s="47">
        <f>volume!FE27</f>
        <v>0</v>
      </c>
      <c r="FF27" s="50">
        <f t="shared" si="21"/>
        <v>0</v>
      </c>
      <c r="FG27" s="272"/>
      <c r="FH27" s="272"/>
      <c r="FI27" s="272"/>
      <c r="FJ27" s="272"/>
      <c r="FK27" s="272"/>
      <c r="FL27" s="272"/>
      <c r="FM27" s="272"/>
      <c r="FN27" s="45">
        <f>volume!FN27</f>
        <v>0</v>
      </c>
      <c r="FO27" s="46">
        <f>volume!FO27</f>
        <v>0</v>
      </c>
      <c r="FP27" s="46">
        <f>volume!FP27</f>
        <v>0</v>
      </c>
      <c r="FQ27" s="46">
        <f>volume!FQ27</f>
        <v>0</v>
      </c>
      <c r="FR27" s="46">
        <f>volume!FR27</f>
        <v>0</v>
      </c>
      <c r="FS27" s="47">
        <f>volume!FS27</f>
        <v>0</v>
      </c>
      <c r="FT27" s="50">
        <f t="shared" si="22"/>
        <v>0</v>
      </c>
      <c r="FU27" s="45">
        <f>volume!FU27</f>
        <v>0</v>
      </c>
      <c r="FV27" s="46">
        <f>volume!FV27</f>
        <v>0</v>
      </c>
      <c r="FW27" s="46">
        <f>volume!FW27</f>
        <v>0</v>
      </c>
      <c r="FX27" s="46">
        <f>volume!FX27</f>
        <v>0</v>
      </c>
      <c r="FY27" s="46">
        <f>volume!FY27</f>
        <v>0</v>
      </c>
      <c r="FZ27" s="47">
        <f>volume!FZ27</f>
        <v>0</v>
      </c>
      <c r="GA27" s="50">
        <f t="shared" si="23"/>
        <v>0</v>
      </c>
      <c r="GB27" s="45">
        <f>volume!GB27</f>
        <v>0</v>
      </c>
      <c r="GC27" s="46">
        <f>volume!GC27</f>
        <v>0</v>
      </c>
      <c r="GD27" s="46">
        <f>volume!GD27</f>
        <v>0</v>
      </c>
      <c r="GE27" s="46">
        <f>volume!GE27</f>
        <v>0</v>
      </c>
      <c r="GF27" s="46">
        <f>volume!GF27</f>
        <v>0</v>
      </c>
      <c r="GG27" s="47">
        <f>volume!GG27</f>
        <v>0</v>
      </c>
      <c r="GH27" s="50">
        <f t="shared" si="24"/>
        <v>0</v>
      </c>
      <c r="GI27" s="272"/>
      <c r="GJ27" s="272"/>
      <c r="GK27" s="272"/>
      <c r="GL27" s="272"/>
      <c r="GM27" s="272"/>
      <c r="GN27" s="272"/>
      <c r="GO27" s="272"/>
      <c r="GP27" s="45">
        <f>volume!GP27</f>
        <v>0</v>
      </c>
      <c r="GQ27" s="46">
        <f>volume!GQ27</f>
        <v>0</v>
      </c>
      <c r="GR27" s="46">
        <f>volume!GR27</f>
        <v>0</v>
      </c>
      <c r="GS27" s="46">
        <f>volume!GS27</f>
        <v>0</v>
      </c>
      <c r="GT27" s="46">
        <f>volume!GT27</f>
        <v>0</v>
      </c>
      <c r="GU27" s="47">
        <f>volume!GU27</f>
        <v>0</v>
      </c>
      <c r="GV27" s="50">
        <f t="shared" si="25"/>
        <v>0</v>
      </c>
      <c r="GW27" s="45">
        <f>volume!GW27</f>
        <v>0</v>
      </c>
      <c r="GX27" s="46">
        <f>volume!GX27</f>
        <v>0</v>
      </c>
      <c r="GY27" s="46">
        <f>volume!GY27</f>
        <v>0</v>
      </c>
      <c r="GZ27" s="46">
        <f>volume!GZ27</f>
        <v>0</v>
      </c>
      <c r="HA27" s="46">
        <f>volume!HA27</f>
        <v>0</v>
      </c>
      <c r="HB27" s="47">
        <f>volume!HB27</f>
        <v>0</v>
      </c>
      <c r="HC27" s="50">
        <f t="shared" si="26"/>
        <v>0</v>
      </c>
      <c r="HD27" s="45">
        <f>volume!HD27</f>
        <v>0</v>
      </c>
      <c r="HE27" s="46">
        <f>volume!HE27</f>
        <v>0</v>
      </c>
      <c r="HF27" s="46">
        <f>volume!HF27</f>
        <v>0</v>
      </c>
      <c r="HG27" s="46">
        <f>volume!HG27</f>
        <v>0</v>
      </c>
      <c r="HH27" s="46">
        <f>volume!HH27</f>
        <v>0</v>
      </c>
      <c r="HI27" s="47">
        <f>volume!HI27</f>
        <v>0</v>
      </c>
      <c r="HJ27" s="50">
        <f t="shared" si="27"/>
        <v>0</v>
      </c>
    </row>
    <row r="28" spans="1:218" ht="21.75" customHeight="1" x14ac:dyDescent="0.6">
      <c r="A28" s="51" t="s">
        <v>83</v>
      </c>
      <c r="B28" s="52">
        <f>volume!B28</f>
        <v>22</v>
      </c>
      <c r="C28" s="53">
        <f>volume!C28</f>
        <v>7</v>
      </c>
      <c r="D28" s="53">
        <f>volume!D28</f>
        <v>0</v>
      </c>
      <c r="E28" s="53">
        <f>volume!E28</f>
        <v>0</v>
      </c>
      <c r="F28" s="53">
        <f>volume!F28</f>
        <v>1</v>
      </c>
      <c r="G28" s="54">
        <f>volume!G28</f>
        <v>0</v>
      </c>
      <c r="H28" s="48">
        <f t="shared" si="0"/>
        <v>30</v>
      </c>
      <c r="I28" s="52">
        <f>volume!I28</f>
        <v>52</v>
      </c>
      <c r="J28" s="53">
        <f>volume!J28</f>
        <v>14</v>
      </c>
      <c r="K28" s="53">
        <f>volume!K28</f>
        <v>0</v>
      </c>
      <c r="L28" s="53">
        <f>volume!L28</f>
        <v>0</v>
      </c>
      <c r="M28" s="53">
        <f>volume!M28</f>
        <v>0</v>
      </c>
      <c r="N28" s="54">
        <f>volume!N28</f>
        <v>0</v>
      </c>
      <c r="O28" s="49">
        <f t="shared" si="1"/>
        <v>66</v>
      </c>
      <c r="P28" s="52">
        <f>volume!P28</f>
        <v>24</v>
      </c>
      <c r="Q28" s="53">
        <f>volume!Q28</f>
        <v>8</v>
      </c>
      <c r="R28" s="53">
        <f>volume!R28</f>
        <v>0</v>
      </c>
      <c r="S28" s="53">
        <f>volume!S28</f>
        <v>0</v>
      </c>
      <c r="T28" s="53">
        <f>volume!T28</f>
        <v>0</v>
      </c>
      <c r="U28" s="54">
        <f>volume!U28</f>
        <v>0</v>
      </c>
      <c r="V28" s="49">
        <f t="shared" si="2"/>
        <v>32</v>
      </c>
      <c r="W28" s="52">
        <f>volume!W28</f>
        <v>0</v>
      </c>
      <c r="X28" s="53">
        <f>volume!X28</f>
        <v>0</v>
      </c>
      <c r="Y28" s="53">
        <f>volume!Y28</f>
        <v>0</v>
      </c>
      <c r="Z28" s="53">
        <f>volume!Z28</f>
        <v>0</v>
      </c>
      <c r="AA28" s="53">
        <f>volume!AA28</f>
        <v>0</v>
      </c>
      <c r="AB28" s="54">
        <f>volume!AB28</f>
        <v>0</v>
      </c>
      <c r="AC28" s="49">
        <f t="shared" si="3"/>
        <v>0</v>
      </c>
      <c r="AD28" s="52">
        <f>volume!AD28</f>
        <v>57</v>
      </c>
      <c r="AE28" s="53">
        <f>volume!AE28</f>
        <v>16</v>
      </c>
      <c r="AF28" s="53">
        <f>volume!AF28</f>
        <v>1</v>
      </c>
      <c r="AG28" s="53">
        <f>volume!AG28</f>
        <v>0</v>
      </c>
      <c r="AH28" s="53">
        <f>volume!AH28</f>
        <v>0</v>
      </c>
      <c r="AI28" s="54">
        <f>volume!AI28</f>
        <v>0</v>
      </c>
      <c r="AJ28" s="49">
        <f t="shared" si="4"/>
        <v>74</v>
      </c>
      <c r="AK28" s="52">
        <f>volume!AK28</f>
        <v>150</v>
      </c>
      <c r="AL28" s="53">
        <f>volume!AL28</f>
        <v>57</v>
      </c>
      <c r="AM28" s="53">
        <f>volume!AM28</f>
        <v>0</v>
      </c>
      <c r="AN28" s="53">
        <f>volume!AN28</f>
        <v>1</v>
      </c>
      <c r="AO28" s="53">
        <f>volume!AO28</f>
        <v>5</v>
      </c>
      <c r="AP28" s="54">
        <f>volume!AP28</f>
        <v>0</v>
      </c>
      <c r="AQ28" s="49">
        <f t="shared" si="5"/>
        <v>213</v>
      </c>
      <c r="AR28" s="52">
        <f>volume!AR28</f>
        <v>18</v>
      </c>
      <c r="AS28" s="53">
        <f>volume!AS28</f>
        <v>6</v>
      </c>
      <c r="AT28" s="53">
        <f>volume!AT28</f>
        <v>0</v>
      </c>
      <c r="AU28" s="53">
        <f>volume!AU28</f>
        <v>0</v>
      </c>
      <c r="AV28" s="53">
        <f>volume!AV28</f>
        <v>0</v>
      </c>
      <c r="AW28" s="54">
        <f>volume!AW28</f>
        <v>0</v>
      </c>
      <c r="AX28" s="49">
        <f t="shared" si="6"/>
        <v>24</v>
      </c>
      <c r="AY28" s="52">
        <f>volume!AY28</f>
        <v>47</v>
      </c>
      <c r="AZ28" s="53">
        <f>volume!AZ28</f>
        <v>26</v>
      </c>
      <c r="BA28" s="53">
        <f>volume!BA28</f>
        <v>0</v>
      </c>
      <c r="BB28" s="53">
        <f>volume!BB28</f>
        <v>0</v>
      </c>
      <c r="BC28" s="53">
        <f>volume!BC28</f>
        <v>3</v>
      </c>
      <c r="BD28" s="54">
        <f>volume!BD28</f>
        <v>0</v>
      </c>
      <c r="BE28" s="49">
        <f t="shared" si="7"/>
        <v>76</v>
      </c>
      <c r="BF28" s="52">
        <f>volume!BF28</f>
        <v>3</v>
      </c>
      <c r="BG28" s="53">
        <f>volume!BG28</f>
        <v>0</v>
      </c>
      <c r="BH28" s="53">
        <f>volume!BH28</f>
        <v>0</v>
      </c>
      <c r="BI28" s="53">
        <f>volume!BI28</f>
        <v>0</v>
      </c>
      <c r="BJ28" s="53">
        <f>volume!BJ28</f>
        <v>0</v>
      </c>
      <c r="BK28" s="54">
        <f>volume!BK28</f>
        <v>0</v>
      </c>
      <c r="BL28" s="49">
        <f t="shared" si="8"/>
        <v>3</v>
      </c>
      <c r="BM28" s="52">
        <f>volume!BM28</f>
        <v>61</v>
      </c>
      <c r="BN28" s="53">
        <f>volume!BN28</f>
        <v>12</v>
      </c>
      <c r="BO28" s="53">
        <f>volume!BO28</f>
        <v>0</v>
      </c>
      <c r="BP28" s="53">
        <f>volume!BP28</f>
        <v>0</v>
      </c>
      <c r="BQ28" s="53">
        <f>volume!BQ28</f>
        <v>0</v>
      </c>
      <c r="BR28" s="54">
        <f>volume!BR28</f>
        <v>0</v>
      </c>
      <c r="BS28" s="49">
        <f t="shared" si="9"/>
        <v>73</v>
      </c>
      <c r="BT28" s="52">
        <f>volume!BT28</f>
        <v>78</v>
      </c>
      <c r="BU28" s="53">
        <f>volume!BU28</f>
        <v>10</v>
      </c>
      <c r="BV28" s="53">
        <f>volume!BV28</f>
        <v>0</v>
      </c>
      <c r="BW28" s="53">
        <f>volume!BW28</f>
        <v>0</v>
      </c>
      <c r="BX28" s="53">
        <f>volume!BX28</f>
        <v>0</v>
      </c>
      <c r="BY28" s="54">
        <f>volume!BY28</f>
        <v>0</v>
      </c>
      <c r="BZ28" s="49">
        <f t="shared" si="10"/>
        <v>88</v>
      </c>
      <c r="CA28" s="52">
        <f>volume!CA28</f>
        <v>0</v>
      </c>
      <c r="CB28" s="53">
        <f>volume!CB28</f>
        <v>0</v>
      </c>
      <c r="CC28" s="53">
        <f>volume!CC28</f>
        <v>0</v>
      </c>
      <c r="CD28" s="53">
        <f>volume!CD28</f>
        <v>0</v>
      </c>
      <c r="CE28" s="53">
        <f>volume!CE28</f>
        <v>0</v>
      </c>
      <c r="CF28" s="54">
        <f>volume!CF28</f>
        <v>0</v>
      </c>
      <c r="CG28" s="49">
        <f t="shared" si="11"/>
        <v>0</v>
      </c>
      <c r="CH28" s="52">
        <f>volume!CH28</f>
        <v>17</v>
      </c>
      <c r="CI28" s="53">
        <f>volume!CI28</f>
        <v>7</v>
      </c>
      <c r="CJ28" s="53">
        <f>volume!CJ28</f>
        <v>0</v>
      </c>
      <c r="CK28" s="53">
        <f>volume!CK28</f>
        <v>0</v>
      </c>
      <c r="CL28" s="53">
        <f>volume!CL28</f>
        <v>1</v>
      </c>
      <c r="CM28" s="54">
        <f>volume!CM28</f>
        <v>0</v>
      </c>
      <c r="CN28" s="49">
        <f t="shared" si="12"/>
        <v>25</v>
      </c>
      <c r="CO28" s="52">
        <f>volume!CO28</f>
        <v>119</v>
      </c>
      <c r="CP28" s="53">
        <f>volume!CP28</f>
        <v>19</v>
      </c>
      <c r="CQ28" s="53">
        <f>volume!CQ28</f>
        <v>1</v>
      </c>
      <c r="CR28" s="53">
        <f>volume!CR28</f>
        <v>0</v>
      </c>
      <c r="CS28" s="53">
        <f>volume!CS28</f>
        <v>1</v>
      </c>
      <c r="CT28" s="54">
        <f>volume!CT28</f>
        <v>0</v>
      </c>
      <c r="CU28" s="49">
        <f t="shared" si="13"/>
        <v>140</v>
      </c>
      <c r="CV28" s="52">
        <f>volume!CV28</f>
        <v>0</v>
      </c>
      <c r="CW28" s="53">
        <f>volume!CW28</f>
        <v>0</v>
      </c>
      <c r="CX28" s="53">
        <f>volume!CX28</f>
        <v>0</v>
      </c>
      <c r="CY28" s="53">
        <f>volume!CY28</f>
        <v>0</v>
      </c>
      <c r="CZ28" s="53">
        <f>volume!CZ28</f>
        <v>0</v>
      </c>
      <c r="DA28" s="54">
        <f>volume!DA28</f>
        <v>0</v>
      </c>
      <c r="DB28" s="49">
        <f t="shared" si="14"/>
        <v>0</v>
      </c>
      <c r="DC28" s="52">
        <f>volume!DC28</f>
        <v>0</v>
      </c>
      <c r="DD28" s="53">
        <f>volume!DD28</f>
        <v>0</v>
      </c>
      <c r="DE28" s="53">
        <f>volume!DE28</f>
        <v>0</v>
      </c>
      <c r="DF28" s="53">
        <f>volume!DF28</f>
        <v>0</v>
      </c>
      <c r="DG28" s="53">
        <f>volume!DG28</f>
        <v>0</v>
      </c>
      <c r="DH28" s="54">
        <f>volume!DH28</f>
        <v>0</v>
      </c>
      <c r="DI28" s="49">
        <f t="shared" si="15"/>
        <v>0</v>
      </c>
      <c r="DJ28" s="52">
        <f>volume!DJ28</f>
        <v>0</v>
      </c>
      <c r="DK28" s="53">
        <f>volume!DK28</f>
        <v>0</v>
      </c>
      <c r="DL28" s="53">
        <f>volume!DL28</f>
        <v>0</v>
      </c>
      <c r="DM28" s="53">
        <f>volume!DM28</f>
        <v>0</v>
      </c>
      <c r="DN28" s="53">
        <f>volume!DN28</f>
        <v>0</v>
      </c>
      <c r="DO28" s="54">
        <f>volume!DO28</f>
        <v>0</v>
      </c>
      <c r="DP28" s="50">
        <f t="shared" si="16"/>
        <v>0</v>
      </c>
      <c r="DQ28" s="52">
        <f>volume!DQ28</f>
        <v>0</v>
      </c>
      <c r="DR28" s="53">
        <f>volume!DR28</f>
        <v>0</v>
      </c>
      <c r="DS28" s="53">
        <f>volume!DS28</f>
        <v>0</v>
      </c>
      <c r="DT28" s="53">
        <f>volume!DT28</f>
        <v>0</v>
      </c>
      <c r="DU28" s="53">
        <f>volume!DU28</f>
        <v>0</v>
      </c>
      <c r="DV28" s="54">
        <f>volume!DV28</f>
        <v>0</v>
      </c>
      <c r="DW28" s="50">
        <f t="shared" si="17"/>
        <v>0</v>
      </c>
      <c r="DX28" s="52">
        <f>volume!DX28</f>
        <v>0</v>
      </c>
      <c r="DY28" s="53">
        <f>volume!DY28</f>
        <v>0</v>
      </c>
      <c r="DZ28" s="53">
        <f>volume!DZ28</f>
        <v>0</v>
      </c>
      <c r="EA28" s="53">
        <f>volume!EA28</f>
        <v>0</v>
      </c>
      <c r="EB28" s="53">
        <f>volume!EB28</f>
        <v>0</v>
      </c>
      <c r="EC28" s="54">
        <f>volume!EC28</f>
        <v>0</v>
      </c>
      <c r="ED28" s="50">
        <f t="shared" si="18"/>
        <v>0</v>
      </c>
      <c r="EE28" s="273"/>
      <c r="EF28" s="273"/>
      <c r="EG28" s="273"/>
      <c r="EH28" s="273"/>
      <c r="EI28" s="273"/>
      <c r="EJ28" s="273"/>
      <c r="EK28" s="273"/>
      <c r="EL28" s="52">
        <f>volume!EL28</f>
        <v>0</v>
      </c>
      <c r="EM28" s="53">
        <f>volume!EM28</f>
        <v>0</v>
      </c>
      <c r="EN28" s="53">
        <f>volume!EN28</f>
        <v>0</v>
      </c>
      <c r="EO28" s="53">
        <f>volume!EO28</f>
        <v>0</v>
      </c>
      <c r="EP28" s="53">
        <f>volume!EP28</f>
        <v>0</v>
      </c>
      <c r="EQ28" s="54">
        <f>volume!EQ28</f>
        <v>0</v>
      </c>
      <c r="ER28" s="50">
        <f t="shared" si="19"/>
        <v>0</v>
      </c>
      <c r="ES28" s="52">
        <f>volume!ES28</f>
        <v>0</v>
      </c>
      <c r="ET28" s="53">
        <f>volume!ET28</f>
        <v>0</v>
      </c>
      <c r="EU28" s="53">
        <f>volume!EU28</f>
        <v>0</v>
      </c>
      <c r="EV28" s="53">
        <f>volume!EV28</f>
        <v>0</v>
      </c>
      <c r="EW28" s="53">
        <f>volume!EW28</f>
        <v>0</v>
      </c>
      <c r="EX28" s="54">
        <f>volume!EX28</f>
        <v>0</v>
      </c>
      <c r="EY28" s="50">
        <f t="shared" si="20"/>
        <v>0</v>
      </c>
      <c r="EZ28" s="52">
        <f>volume!EZ28</f>
        <v>0</v>
      </c>
      <c r="FA28" s="53">
        <f>volume!FA28</f>
        <v>0</v>
      </c>
      <c r="FB28" s="53">
        <f>volume!FB28</f>
        <v>0</v>
      </c>
      <c r="FC28" s="53">
        <f>volume!FC28</f>
        <v>0</v>
      </c>
      <c r="FD28" s="53">
        <f>volume!FD28</f>
        <v>0</v>
      </c>
      <c r="FE28" s="54">
        <f>volume!FE28</f>
        <v>0</v>
      </c>
      <c r="FF28" s="50">
        <f t="shared" si="21"/>
        <v>0</v>
      </c>
      <c r="FG28" s="273"/>
      <c r="FH28" s="273"/>
      <c r="FI28" s="273"/>
      <c r="FJ28" s="273"/>
      <c r="FK28" s="273"/>
      <c r="FL28" s="273"/>
      <c r="FM28" s="273"/>
      <c r="FN28" s="52">
        <f>volume!FN28</f>
        <v>0</v>
      </c>
      <c r="FO28" s="53">
        <f>volume!FO28</f>
        <v>0</v>
      </c>
      <c r="FP28" s="53">
        <f>volume!FP28</f>
        <v>0</v>
      </c>
      <c r="FQ28" s="53">
        <f>volume!FQ28</f>
        <v>0</v>
      </c>
      <c r="FR28" s="53">
        <f>volume!FR28</f>
        <v>0</v>
      </c>
      <c r="FS28" s="54">
        <f>volume!FS28</f>
        <v>0</v>
      </c>
      <c r="FT28" s="50">
        <f t="shared" si="22"/>
        <v>0</v>
      </c>
      <c r="FU28" s="52">
        <f>volume!FU28</f>
        <v>0</v>
      </c>
      <c r="FV28" s="53">
        <f>volume!FV28</f>
        <v>0</v>
      </c>
      <c r="FW28" s="53">
        <f>volume!FW28</f>
        <v>0</v>
      </c>
      <c r="FX28" s="53">
        <f>volume!FX28</f>
        <v>0</v>
      </c>
      <c r="FY28" s="53">
        <f>volume!FY28</f>
        <v>0</v>
      </c>
      <c r="FZ28" s="54">
        <f>volume!FZ28</f>
        <v>0</v>
      </c>
      <c r="GA28" s="50">
        <f t="shared" si="23"/>
        <v>0</v>
      </c>
      <c r="GB28" s="52">
        <f>volume!GB28</f>
        <v>0</v>
      </c>
      <c r="GC28" s="53">
        <f>volume!GC28</f>
        <v>0</v>
      </c>
      <c r="GD28" s="53">
        <f>volume!GD28</f>
        <v>0</v>
      </c>
      <c r="GE28" s="53">
        <f>volume!GE28</f>
        <v>0</v>
      </c>
      <c r="GF28" s="53">
        <f>volume!GF28</f>
        <v>0</v>
      </c>
      <c r="GG28" s="54">
        <f>volume!GG28</f>
        <v>0</v>
      </c>
      <c r="GH28" s="50">
        <f t="shared" si="24"/>
        <v>0</v>
      </c>
      <c r="GI28" s="273"/>
      <c r="GJ28" s="273"/>
      <c r="GK28" s="273"/>
      <c r="GL28" s="273"/>
      <c r="GM28" s="273"/>
      <c r="GN28" s="273"/>
      <c r="GO28" s="273"/>
      <c r="GP28" s="52">
        <f>volume!GP28</f>
        <v>0</v>
      </c>
      <c r="GQ28" s="53">
        <f>volume!GQ28</f>
        <v>0</v>
      </c>
      <c r="GR28" s="53">
        <f>volume!GR28</f>
        <v>0</v>
      </c>
      <c r="GS28" s="53">
        <f>volume!GS28</f>
        <v>0</v>
      </c>
      <c r="GT28" s="53">
        <f>volume!GT28</f>
        <v>0</v>
      </c>
      <c r="GU28" s="54">
        <f>volume!GU28</f>
        <v>0</v>
      </c>
      <c r="GV28" s="50">
        <f t="shared" si="25"/>
        <v>0</v>
      </c>
      <c r="GW28" s="52">
        <f>volume!GW28</f>
        <v>0</v>
      </c>
      <c r="GX28" s="53">
        <f>volume!GX28</f>
        <v>0</v>
      </c>
      <c r="GY28" s="53">
        <f>volume!GY28</f>
        <v>0</v>
      </c>
      <c r="GZ28" s="53">
        <f>volume!GZ28</f>
        <v>0</v>
      </c>
      <c r="HA28" s="53">
        <f>volume!HA28</f>
        <v>0</v>
      </c>
      <c r="HB28" s="54">
        <f>volume!HB28</f>
        <v>0</v>
      </c>
      <c r="HC28" s="50">
        <f t="shared" si="26"/>
        <v>0</v>
      </c>
      <c r="HD28" s="52">
        <f>volume!HD28</f>
        <v>0</v>
      </c>
      <c r="HE28" s="53">
        <f>volume!HE28</f>
        <v>0</v>
      </c>
      <c r="HF28" s="53">
        <f>volume!HF28</f>
        <v>0</v>
      </c>
      <c r="HG28" s="53">
        <f>volume!HG28</f>
        <v>0</v>
      </c>
      <c r="HH28" s="53">
        <f>volume!HH28</f>
        <v>0</v>
      </c>
      <c r="HI28" s="54">
        <f>volume!HI28</f>
        <v>0</v>
      </c>
      <c r="HJ28" s="50">
        <f t="shared" si="27"/>
        <v>0</v>
      </c>
    </row>
    <row r="29" spans="1:218" ht="21.75" customHeight="1" x14ac:dyDescent="0.6">
      <c r="A29" s="51" t="s">
        <v>84</v>
      </c>
      <c r="B29" s="52">
        <f>volume!B29</f>
        <v>31</v>
      </c>
      <c r="C29" s="53">
        <f>volume!C29</f>
        <v>5</v>
      </c>
      <c r="D29" s="53">
        <f>volume!D29</f>
        <v>0</v>
      </c>
      <c r="E29" s="53">
        <f>volume!E29</f>
        <v>0</v>
      </c>
      <c r="F29" s="53">
        <f>volume!F29</f>
        <v>0</v>
      </c>
      <c r="G29" s="54">
        <f>volume!G29</f>
        <v>0</v>
      </c>
      <c r="H29" s="48">
        <f t="shared" si="0"/>
        <v>36</v>
      </c>
      <c r="I29" s="52">
        <f>volume!I29</f>
        <v>41</v>
      </c>
      <c r="J29" s="53">
        <f>volume!J29</f>
        <v>15</v>
      </c>
      <c r="K29" s="53">
        <f>volume!K29</f>
        <v>0</v>
      </c>
      <c r="L29" s="53">
        <f>volume!L29</f>
        <v>0</v>
      </c>
      <c r="M29" s="53">
        <f>volume!M29</f>
        <v>0</v>
      </c>
      <c r="N29" s="54">
        <f>volume!N29</f>
        <v>0</v>
      </c>
      <c r="O29" s="49">
        <f t="shared" si="1"/>
        <v>56</v>
      </c>
      <c r="P29" s="52">
        <f>volume!P29</f>
        <v>19</v>
      </c>
      <c r="Q29" s="53">
        <f>volume!Q29</f>
        <v>13</v>
      </c>
      <c r="R29" s="53">
        <f>volume!R29</f>
        <v>0</v>
      </c>
      <c r="S29" s="53">
        <f>volume!S29</f>
        <v>0</v>
      </c>
      <c r="T29" s="53">
        <f>volume!T29</f>
        <v>2</v>
      </c>
      <c r="U29" s="54">
        <f>volume!U29</f>
        <v>0</v>
      </c>
      <c r="V29" s="49">
        <f t="shared" si="2"/>
        <v>34</v>
      </c>
      <c r="W29" s="52">
        <f>volume!W29</f>
        <v>0</v>
      </c>
      <c r="X29" s="53">
        <f>volume!X29</f>
        <v>0</v>
      </c>
      <c r="Y29" s="53">
        <f>volume!Y29</f>
        <v>0</v>
      </c>
      <c r="Z29" s="53">
        <f>volume!Z29</f>
        <v>0</v>
      </c>
      <c r="AA29" s="53">
        <f>volume!AA29</f>
        <v>0</v>
      </c>
      <c r="AB29" s="54">
        <f>volume!AB29</f>
        <v>0</v>
      </c>
      <c r="AC29" s="49">
        <f t="shared" si="3"/>
        <v>0</v>
      </c>
      <c r="AD29" s="52">
        <f>volume!AD29</f>
        <v>49</v>
      </c>
      <c r="AE29" s="53">
        <f>volume!AE29</f>
        <v>13</v>
      </c>
      <c r="AF29" s="53">
        <f>volume!AF29</f>
        <v>0</v>
      </c>
      <c r="AG29" s="53">
        <f>volume!AG29</f>
        <v>0</v>
      </c>
      <c r="AH29" s="53">
        <f>volume!AH29</f>
        <v>0</v>
      </c>
      <c r="AI29" s="54">
        <f>volume!AI29</f>
        <v>0</v>
      </c>
      <c r="AJ29" s="49">
        <f t="shared" si="4"/>
        <v>62</v>
      </c>
      <c r="AK29" s="52">
        <f>volume!AK29</f>
        <v>136</v>
      </c>
      <c r="AL29" s="53">
        <f>volume!AL29</f>
        <v>60</v>
      </c>
      <c r="AM29" s="53">
        <f>volume!AM29</f>
        <v>0</v>
      </c>
      <c r="AN29" s="53">
        <f>volume!AN29</f>
        <v>0</v>
      </c>
      <c r="AO29" s="53">
        <f>volume!AO29</f>
        <v>5</v>
      </c>
      <c r="AP29" s="54">
        <f>volume!AP29</f>
        <v>1</v>
      </c>
      <c r="AQ29" s="49">
        <f t="shared" si="5"/>
        <v>202</v>
      </c>
      <c r="AR29" s="52">
        <f>volume!AR29</f>
        <v>20</v>
      </c>
      <c r="AS29" s="53">
        <f>volume!AS29</f>
        <v>6</v>
      </c>
      <c r="AT29" s="53">
        <f>volume!AT29</f>
        <v>0</v>
      </c>
      <c r="AU29" s="53">
        <f>volume!AU29</f>
        <v>0</v>
      </c>
      <c r="AV29" s="53">
        <f>volume!AV29</f>
        <v>1</v>
      </c>
      <c r="AW29" s="54">
        <f>volume!AW29</f>
        <v>0</v>
      </c>
      <c r="AX29" s="49">
        <f t="shared" si="6"/>
        <v>27</v>
      </c>
      <c r="AY29" s="52">
        <f>volume!AY29</f>
        <v>42</v>
      </c>
      <c r="AZ29" s="53">
        <f>volume!AZ29</f>
        <v>15</v>
      </c>
      <c r="BA29" s="53">
        <f>volume!BA29</f>
        <v>0</v>
      </c>
      <c r="BB29" s="53">
        <f>volume!BB29</f>
        <v>0</v>
      </c>
      <c r="BC29" s="53">
        <f>volume!BC29</f>
        <v>0</v>
      </c>
      <c r="BD29" s="54">
        <f>volume!BD29</f>
        <v>0</v>
      </c>
      <c r="BE29" s="49">
        <f t="shared" si="7"/>
        <v>57</v>
      </c>
      <c r="BF29" s="52">
        <f>volume!BF29</f>
        <v>2</v>
      </c>
      <c r="BG29" s="53">
        <f>volume!BG29</f>
        <v>1</v>
      </c>
      <c r="BH29" s="53">
        <f>volume!BH29</f>
        <v>0</v>
      </c>
      <c r="BI29" s="53">
        <f>volume!BI29</f>
        <v>0</v>
      </c>
      <c r="BJ29" s="53">
        <f>volume!BJ29</f>
        <v>1</v>
      </c>
      <c r="BK29" s="54">
        <f>volume!BK29</f>
        <v>0</v>
      </c>
      <c r="BL29" s="49">
        <f t="shared" si="8"/>
        <v>4</v>
      </c>
      <c r="BM29" s="52">
        <f>volume!BM29</f>
        <v>54</v>
      </c>
      <c r="BN29" s="53">
        <f>volume!BN29</f>
        <v>11</v>
      </c>
      <c r="BO29" s="53">
        <f>volume!BO29</f>
        <v>0</v>
      </c>
      <c r="BP29" s="53">
        <f>volume!BP29</f>
        <v>0</v>
      </c>
      <c r="BQ29" s="53">
        <f>volume!BQ29</f>
        <v>0</v>
      </c>
      <c r="BR29" s="54">
        <f>volume!BR29</f>
        <v>0</v>
      </c>
      <c r="BS29" s="49">
        <f t="shared" si="9"/>
        <v>65</v>
      </c>
      <c r="BT29" s="52">
        <f>volume!BT29</f>
        <v>52</v>
      </c>
      <c r="BU29" s="53">
        <f>volume!BU29</f>
        <v>5</v>
      </c>
      <c r="BV29" s="53">
        <f>volume!BV29</f>
        <v>0</v>
      </c>
      <c r="BW29" s="53">
        <f>volume!BW29</f>
        <v>0</v>
      </c>
      <c r="BX29" s="53">
        <f>volume!BX29</f>
        <v>0</v>
      </c>
      <c r="BY29" s="54">
        <f>volume!BY29</f>
        <v>0</v>
      </c>
      <c r="BZ29" s="49">
        <f t="shared" si="10"/>
        <v>57</v>
      </c>
      <c r="CA29" s="52">
        <f>volume!CA29</f>
        <v>0</v>
      </c>
      <c r="CB29" s="53">
        <f>volume!CB29</f>
        <v>0</v>
      </c>
      <c r="CC29" s="53">
        <f>volume!CC29</f>
        <v>0</v>
      </c>
      <c r="CD29" s="53">
        <f>volume!CD29</f>
        <v>0</v>
      </c>
      <c r="CE29" s="53">
        <f>volume!CE29</f>
        <v>0</v>
      </c>
      <c r="CF29" s="54">
        <f>volume!CF29</f>
        <v>0</v>
      </c>
      <c r="CG29" s="49">
        <f t="shared" si="11"/>
        <v>0</v>
      </c>
      <c r="CH29" s="52">
        <f>volume!CH29</f>
        <v>23</v>
      </c>
      <c r="CI29" s="53">
        <f>volume!CI29</f>
        <v>7</v>
      </c>
      <c r="CJ29" s="53">
        <f>volume!CJ29</f>
        <v>0</v>
      </c>
      <c r="CK29" s="53">
        <f>volume!CK29</f>
        <v>0</v>
      </c>
      <c r="CL29" s="53">
        <f>volume!CL29</f>
        <v>0</v>
      </c>
      <c r="CM29" s="54">
        <f>volume!CM29</f>
        <v>1</v>
      </c>
      <c r="CN29" s="49">
        <f t="shared" si="12"/>
        <v>31</v>
      </c>
      <c r="CO29" s="52">
        <f>volume!CO29</f>
        <v>88</v>
      </c>
      <c r="CP29" s="53">
        <f>volume!CP29</f>
        <v>26</v>
      </c>
      <c r="CQ29" s="53">
        <f>volume!CQ29</f>
        <v>1</v>
      </c>
      <c r="CR29" s="53">
        <f>volume!CR29</f>
        <v>0</v>
      </c>
      <c r="CS29" s="53">
        <f>volume!CS29</f>
        <v>1</v>
      </c>
      <c r="CT29" s="54">
        <f>volume!CT29</f>
        <v>0</v>
      </c>
      <c r="CU29" s="49">
        <f t="shared" si="13"/>
        <v>116</v>
      </c>
      <c r="CV29" s="52">
        <f>volume!CV29</f>
        <v>0</v>
      </c>
      <c r="CW29" s="53">
        <f>volume!CW29</f>
        <v>0</v>
      </c>
      <c r="CX29" s="53">
        <f>volume!CX29</f>
        <v>0</v>
      </c>
      <c r="CY29" s="53">
        <f>volume!CY29</f>
        <v>0</v>
      </c>
      <c r="CZ29" s="53">
        <f>volume!CZ29</f>
        <v>0</v>
      </c>
      <c r="DA29" s="54">
        <f>volume!DA29</f>
        <v>0</v>
      </c>
      <c r="DB29" s="49">
        <f t="shared" si="14"/>
        <v>0</v>
      </c>
      <c r="DC29" s="52">
        <f>volume!DC29</f>
        <v>0</v>
      </c>
      <c r="DD29" s="53">
        <f>volume!DD29</f>
        <v>0</v>
      </c>
      <c r="DE29" s="53">
        <f>volume!DE29</f>
        <v>0</v>
      </c>
      <c r="DF29" s="53">
        <f>volume!DF29</f>
        <v>0</v>
      </c>
      <c r="DG29" s="53">
        <f>volume!DG29</f>
        <v>0</v>
      </c>
      <c r="DH29" s="54">
        <f>volume!DH29</f>
        <v>0</v>
      </c>
      <c r="DI29" s="49">
        <f t="shared" si="15"/>
        <v>0</v>
      </c>
      <c r="DJ29" s="52">
        <f>volume!DJ29</f>
        <v>0</v>
      </c>
      <c r="DK29" s="53">
        <f>volume!DK29</f>
        <v>0</v>
      </c>
      <c r="DL29" s="53">
        <f>volume!DL29</f>
        <v>0</v>
      </c>
      <c r="DM29" s="53">
        <f>volume!DM29</f>
        <v>0</v>
      </c>
      <c r="DN29" s="53">
        <f>volume!DN29</f>
        <v>0</v>
      </c>
      <c r="DO29" s="54">
        <f>volume!DO29</f>
        <v>0</v>
      </c>
      <c r="DP29" s="50">
        <f t="shared" si="16"/>
        <v>0</v>
      </c>
      <c r="DQ29" s="52">
        <f>volume!DQ29</f>
        <v>0</v>
      </c>
      <c r="DR29" s="53">
        <f>volume!DR29</f>
        <v>0</v>
      </c>
      <c r="DS29" s="53">
        <f>volume!DS29</f>
        <v>0</v>
      </c>
      <c r="DT29" s="53">
        <f>volume!DT29</f>
        <v>0</v>
      </c>
      <c r="DU29" s="53">
        <f>volume!DU29</f>
        <v>0</v>
      </c>
      <c r="DV29" s="54">
        <f>volume!DV29</f>
        <v>0</v>
      </c>
      <c r="DW29" s="50">
        <f t="shared" si="17"/>
        <v>0</v>
      </c>
      <c r="DX29" s="52">
        <f>volume!DX29</f>
        <v>0</v>
      </c>
      <c r="DY29" s="53">
        <f>volume!DY29</f>
        <v>0</v>
      </c>
      <c r="DZ29" s="53">
        <f>volume!DZ29</f>
        <v>0</v>
      </c>
      <c r="EA29" s="53">
        <f>volume!EA29</f>
        <v>0</v>
      </c>
      <c r="EB29" s="53">
        <f>volume!EB29</f>
        <v>0</v>
      </c>
      <c r="EC29" s="54">
        <f>volume!EC29</f>
        <v>0</v>
      </c>
      <c r="ED29" s="50">
        <f t="shared" si="18"/>
        <v>0</v>
      </c>
      <c r="EE29" s="273"/>
      <c r="EF29" s="273"/>
      <c r="EG29" s="273"/>
      <c r="EH29" s="273"/>
      <c r="EI29" s="273"/>
      <c r="EJ29" s="273"/>
      <c r="EK29" s="273"/>
      <c r="EL29" s="52">
        <f>volume!EL29</f>
        <v>0</v>
      </c>
      <c r="EM29" s="53">
        <f>volume!EM29</f>
        <v>0</v>
      </c>
      <c r="EN29" s="53">
        <f>volume!EN29</f>
        <v>0</v>
      </c>
      <c r="EO29" s="53">
        <f>volume!EO29</f>
        <v>0</v>
      </c>
      <c r="EP29" s="53">
        <f>volume!EP29</f>
        <v>0</v>
      </c>
      <c r="EQ29" s="54">
        <f>volume!EQ29</f>
        <v>0</v>
      </c>
      <c r="ER29" s="50">
        <f t="shared" si="19"/>
        <v>0</v>
      </c>
      <c r="ES29" s="52">
        <f>volume!ES29</f>
        <v>0</v>
      </c>
      <c r="ET29" s="53">
        <f>volume!ET29</f>
        <v>0</v>
      </c>
      <c r="EU29" s="53">
        <f>volume!EU29</f>
        <v>0</v>
      </c>
      <c r="EV29" s="53">
        <f>volume!EV29</f>
        <v>0</v>
      </c>
      <c r="EW29" s="53">
        <f>volume!EW29</f>
        <v>0</v>
      </c>
      <c r="EX29" s="54">
        <f>volume!EX29</f>
        <v>0</v>
      </c>
      <c r="EY29" s="50">
        <f t="shared" si="20"/>
        <v>0</v>
      </c>
      <c r="EZ29" s="52">
        <f>volume!EZ29</f>
        <v>0</v>
      </c>
      <c r="FA29" s="53">
        <f>volume!FA29</f>
        <v>0</v>
      </c>
      <c r="FB29" s="53">
        <f>volume!FB29</f>
        <v>0</v>
      </c>
      <c r="FC29" s="53">
        <f>volume!FC29</f>
        <v>0</v>
      </c>
      <c r="FD29" s="53">
        <f>volume!FD29</f>
        <v>0</v>
      </c>
      <c r="FE29" s="54">
        <f>volume!FE29</f>
        <v>0</v>
      </c>
      <c r="FF29" s="50">
        <f t="shared" si="21"/>
        <v>0</v>
      </c>
      <c r="FG29" s="273"/>
      <c r="FH29" s="273"/>
      <c r="FI29" s="273"/>
      <c r="FJ29" s="273"/>
      <c r="FK29" s="273"/>
      <c r="FL29" s="273"/>
      <c r="FM29" s="273"/>
      <c r="FN29" s="52">
        <f>volume!FN29</f>
        <v>0</v>
      </c>
      <c r="FO29" s="53">
        <f>volume!FO29</f>
        <v>0</v>
      </c>
      <c r="FP29" s="53">
        <f>volume!FP29</f>
        <v>0</v>
      </c>
      <c r="FQ29" s="53">
        <f>volume!FQ29</f>
        <v>0</v>
      </c>
      <c r="FR29" s="53">
        <f>volume!FR29</f>
        <v>0</v>
      </c>
      <c r="FS29" s="54">
        <f>volume!FS29</f>
        <v>0</v>
      </c>
      <c r="FT29" s="50">
        <f t="shared" si="22"/>
        <v>0</v>
      </c>
      <c r="FU29" s="52">
        <f>volume!FU29</f>
        <v>0</v>
      </c>
      <c r="FV29" s="53">
        <f>volume!FV29</f>
        <v>0</v>
      </c>
      <c r="FW29" s="53">
        <f>volume!FW29</f>
        <v>0</v>
      </c>
      <c r="FX29" s="53">
        <f>volume!FX29</f>
        <v>0</v>
      </c>
      <c r="FY29" s="53">
        <f>volume!FY29</f>
        <v>0</v>
      </c>
      <c r="FZ29" s="54">
        <f>volume!FZ29</f>
        <v>0</v>
      </c>
      <c r="GA29" s="50">
        <f t="shared" si="23"/>
        <v>0</v>
      </c>
      <c r="GB29" s="52">
        <f>volume!GB29</f>
        <v>0</v>
      </c>
      <c r="GC29" s="53">
        <f>volume!GC29</f>
        <v>0</v>
      </c>
      <c r="GD29" s="53">
        <f>volume!GD29</f>
        <v>0</v>
      </c>
      <c r="GE29" s="53">
        <f>volume!GE29</f>
        <v>0</v>
      </c>
      <c r="GF29" s="53">
        <f>volume!GF29</f>
        <v>0</v>
      </c>
      <c r="GG29" s="54">
        <f>volume!GG29</f>
        <v>0</v>
      </c>
      <c r="GH29" s="50">
        <f t="shared" si="24"/>
        <v>0</v>
      </c>
      <c r="GI29" s="273"/>
      <c r="GJ29" s="273"/>
      <c r="GK29" s="273"/>
      <c r="GL29" s="273"/>
      <c r="GM29" s="273"/>
      <c r="GN29" s="273"/>
      <c r="GO29" s="273"/>
      <c r="GP29" s="52">
        <f>volume!GP29</f>
        <v>0</v>
      </c>
      <c r="GQ29" s="53">
        <f>volume!GQ29</f>
        <v>0</v>
      </c>
      <c r="GR29" s="53">
        <f>volume!GR29</f>
        <v>0</v>
      </c>
      <c r="GS29" s="53">
        <f>volume!GS29</f>
        <v>0</v>
      </c>
      <c r="GT29" s="53">
        <f>volume!GT29</f>
        <v>0</v>
      </c>
      <c r="GU29" s="54">
        <f>volume!GU29</f>
        <v>0</v>
      </c>
      <c r="GV29" s="50">
        <f t="shared" si="25"/>
        <v>0</v>
      </c>
      <c r="GW29" s="52">
        <f>volume!GW29</f>
        <v>0</v>
      </c>
      <c r="GX29" s="53">
        <f>volume!GX29</f>
        <v>0</v>
      </c>
      <c r="GY29" s="53">
        <f>volume!GY29</f>
        <v>0</v>
      </c>
      <c r="GZ29" s="53">
        <f>volume!GZ29</f>
        <v>0</v>
      </c>
      <c r="HA29" s="53">
        <f>volume!HA29</f>
        <v>0</v>
      </c>
      <c r="HB29" s="54">
        <f>volume!HB29</f>
        <v>0</v>
      </c>
      <c r="HC29" s="50">
        <f t="shared" si="26"/>
        <v>0</v>
      </c>
      <c r="HD29" s="52">
        <f>volume!HD29</f>
        <v>0</v>
      </c>
      <c r="HE29" s="53">
        <f>volume!HE29</f>
        <v>0</v>
      </c>
      <c r="HF29" s="53">
        <f>volume!HF29</f>
        <v>0</v>
      </c>
      <c r="HG29" s="53">
        <f>volume!HG29</f>
        <v>0</v>
      </c>
      <c r="HH29" s="53">
        <f>volume!HH29</f>
        <v>0</v>
      </c>
      <c r="HI29" s="54">
        <f>volume!HI29</f>
        <v>0</v>
      </c>
      <c r="HJ29" s="50">
        <f t="shared" si="27"/>
        <v>0</v>
      </c>
    </row>
    <row r="30" spans="1:218" ht="21.75" customHeight="1" x14ac:dyDescent="0.6">
      <c r="A30" s="55" t="s">
        <v>85</v>
      </c>
      <c r="B30" s="52">
        <f>volume!B30</f>
        <v>26</v>
      </c>
      <c r="C30" s="53">
        <f>volume!C30</f>
        <v>5</v>
      </c>
      <c r="D30" s="53">
        <f>volume!D30</f>
        <v>0</v>
      </c>
      <c r="E30" s="53">
        <f>volume!E30</f>
        <v>0</v>
      </c>
      <c r="F30" s="53">
        <f>volume!F30</f>
        <v>0</v>
      </c>
      <c r="G30" s="54">
        <f>volume!G30</f>
        <v>1</v>
      </c>
      <c r="H30" s="48">
        <f t="shared" si="0"/>
        <v>32</v>
      </c>
      <c r="I30" s="52">
        <f>volume!I30</f>
        <v>37</v>
      </c>
      <c r="J30" s="53">
        <f>volume!J30</f>
        <v>10</v>
      </c>
      <c r="K30" s="53">
        <f>volume!K30</f>
        <v>0</v>
      </c>
      <c r="L30" s="53">
        <f>volume!L30</f>
        <v>0</v>
      </c>
      <c r="M30" s="53">
        <f>volume!M30</f>
        <v>0</v>
      </c>
      <c r="N30" s="54">
        <f>volume!N30</f>
        <v>0</v>
      </c>
      <c r="O30" s="49">
        <f t="shared" si="1"/>
        <v>47</v>
      </c>
      <c r="P30" s="52">
        <f>volume!P30</f>
        <v>23</v>
      </c>
      <c r="Q30" s="53">
        <f>volume!Q30</f>
        <v>5</v>
      </c>
      <c r="R30" s="53">
        <f>volume!R30</f>
        <v>0</v>
      </c>
      <c r="S30" s="53">
        <f>volume!S30</f>
        <v>0</v>
      </c>
      <c r="T30" s="53">
        <f>volume!T30</f>
        <v>0</v>
      </c>
      <c r="U30" s="54">
        <f>volume!U30</f>
        <v>0</v>
      </c>
      <c r="V30" s="49">
        <f t="shared" si="2"/>
        <v>28</v>
      </c>
      <c r="W30" s="52">
        <f>volume!W30</f>
        <v>0</v>
      </c>
      <c r="X30" s="53">
        <f>volume!X30</f>
        <v>0</v>
      </c>
      <c r="Y30" s="53">
        <f>volume!Y30</f>
        <v>0</v>
      </c>
      <c r="Z30" s="53">
        <f>volume!Z30</f>
        <v>0</v>
      </c>
      <c r="AA30" s="53">
        <f>volume!AA30</f>
        <v>0</v>
      </c>
      <c r="AB30" s="54">
        <f>volume!AB30</f>
        <v>0</v>
      </c>
      <c r="AC30" s="49">
        <f t="shared" si="3"/>
        <v>0</v>
      </c>
      <c r="AD30" s="52">
        <f>volume!AD30</f>
        <v>41</v>
      </c>
      <c r="AE30" s="53">
        <f>volume!AE30</f>
        <v>18</v>
      </c>
      <c r="AF30" s="53">
        <f>volume!AF30</f>
        <v>0</v>
      </c>
      <c r="AG30" s="53">
        <f>volume!AG30</f>
        <v>0</v>
      </c>
      <c r="AH30" s="53">
        <f>volume!AH30</f>
        <v>0</v>
      </c>
      <c r="AI30" s="54">
        <f>volume!AI30</f>
        <v>0</v>
      </c>
      <c r="AJ30" s="49">
        <f t="shared" si="4"/>
        <v>59</v>
      </c>
      <c r="AK30" s="52">
        <f>volume!AK30</f>
        <v>162</v>
      </c>
      <c r="AL30" s="53">
        <f>volume!AL30</f>
        <v>42</v>
      </c>
      <c r="AM30" s="53">
        <f>volume!AM30</f>
        <v>1</v>
      </c>
      <c r="AN30" s="53">
        <f>volume!AN30</f>
        <v>0</v>
      </c>
      <c r="AO30" s="53">
        <f>volume!AO30</f>
        <v>6</v>
      </c>
      <c r="AP30" s="54">
        <f>volume!AP30</f>
        <v>0</v>
      </c>
      <c r="AQ30" s="49">
        <f t="shared" si="5"/>
        <v>211</v>
      </c>
      <c r="AR30" s="52">
        <f>volume!AR30</f>
        <v>15</v>
      </c>
      <c r="AS30" s="53">
        <f>volume!AS30</f>
        <v>5</v>
      </c>
      <c r="AT30" s="53">
        <f>volume!AT30</f>
        <v>0</v>
      </c>
      <c r="AU30" s="53">
        <f>volume!AU30</f>
        <v>0</v>
      </c>
      <c r="AV30" s="53">
        <f>volume!AV30</f>
        <v>0</v>
      </c>
      <c r="AW30" s="54">
        <f>volume!AW30</f>
        <v>0</v>
      </c>
      <c r="AX30" s="49">
        <f t="shared" si="6"/>
        <v>20</v>
      </c>
      <c r="AY30" s="52">
        <f>volume!AY30</f>
        <v>63</v>
      </c>
      <c r="AZ30" s="53">
        <f>volume!AZ30</f>
        <v>17</v>
      </c>
      <c r="BA30" s="53">
        <f>volume!BA30</f>
        <v>0</v>
      </c>
      <c r="BB30" s="53">
        <f>volume!BB30</f>
        <v>0</v>
      </c>
      <c r="BC30" s="53">
        <f>volume!BC30</f>
        <v>2</v>
      </c>
      <c r="BD30" s="54">
        <f>volume!BD30</f>
        <v>1</v>
      </c>
      <c r="BE30" s="49">
        <f t="shared" si="7"/>
        <v>83</v>
      </c>
      <c r="BF30" s="52">
        <f>volume!BF30</f>
        <v>6</v>
      </c>
      <c r="BG30" s="53">
        <f>volume!BG30</f>
        <v>0</v>
      </c>
      <c r="BH30" s="53">
        <f>volume!BH30</f>
        <v>0</v>
      </c>
      <c r="BI30" s="53">
        <f>volume!BI30</f>
        <v>0</v>
      </c>
      <c r="BJ30" s="53">
        <f>volume!BJ30</f>
        <v>0</v>
      </c>
      <c r="BK30" s="54">
        <f>volume!BK30</f>
        <v>0</v>
      </c>
      <c r="BL30" s="49">
        <f t="shared" si="8"/>
        <v>6</v>
      </c>
      <c r="BM30" s="52">
        <f>volume!BM30</f>
        <v>50</v>
      </c>
      <c r="BN30" s="53">
        <f>volume!BN30</f>
        <v>15</v>
      </c>
      <c r="BO30" s="53">
        <f>volume!BO30</f>
        <v>0</v>
      </c>
      <c r="BP30" s="53">
        <f>volume!BP30</f>
        <v>0</v>
      </c>
      <c r="BQ30" s="53">
        <f>volume!BQ30</f>
        <v>1</v>
      </c>
      <c r="BR30" s="54">
        <f>volume!BR30</f>
        <v>0</v>
      </c>
      <c r="BS30" s="49">
        <f t="shared" si="9"/>
        <v>66</v>
      </c>
      <c r="BT30" s="52">
        <f>volume!BT30</f>
        <v>65</v>
      </c>
      <c r="BU30" s="53">
        <f>volume!BU30</f>
        <v>15</v>
      </c>
      <c r="BV30" s="53">
        <f>volume!BV30</f>
        <v>0</v>
      </c>
      <c r="BW30" s="53">
        <f>volume!BW30</f>
        <v>0</v>
      </c>
      <c r="BX30" s="53">
        <f>volume!BX30</f>
        <v>0</v>
      </c>
      <c r="BY30" s="54">
        <f>volume!BY30</f>
        <v>0</v>
      </c>
      <c r="BZ30" s="49">
        <f t="shared" si="10"/>
        <v>80</v>
      </c>
      <c r="CA30" s="52">
        <f>volume!CA30</f>
        <v>0</v>
      </c>
      <c r="CB30" s="53">
        <f>volume!CB30</f>
        <v>0</v>
      </c>
      <c r="CC30" s="53">
        <f>volume!CC30</f>
        <v>0</v>
      </c>
      <c r="CD30" s="53">
        <f>volume!CD30</f>
        <v>0</v>
      </c>
      <c r="CE30" s="53">
        <f>volume!CE30</f>
        <v>0</v>
      </c>
      <c r="CF30" s="54">
        <f>volume!CF30</f>
        <v>0</v>
      </c>
      <c r="CG30" s="49">
        <f t="shared" si="11"/>
        <v>0</v>
      </c>
      <c r="CH30" s="52">
        <f>volume!CH30</f>
        <v>20</v>
      </c>
      <c r="CI30" s="53">
        <f>volume!CI30</f>
        <v>6</v>
      </c>
      <c r="CJ30" s="53">
        <f>volume!CJ30</f>
        <v>0</v>
      </c>
      <c r="CK30" s="53">
        <f>volume!CK30</f>
        <v>0</v>
      </c>
      <c r="CL30" s="53">
        <f>volume!CL30</f>
        <v>0</v>
      </c>
      <c r="CM30" s="54">
        <f>volume!CM30</f>
        <v>0</v>
      </c>
      <c r="CN30" s="49">
        <f t="shared" si="12"/>
        <v>26</v>
      </c>
      <c r="CO30" s="52">
        <f>volume!CO30</f>
        <v>94</v>
      </c>
      <c r="CP30" s="53">
        <f>volume!CP30</f>
        <v>24</v>
      </c>
      <c r="CQ30" s="53">
        <f>volume!CQ30</f>
        <v>0</v>
      </c>
      <c r="CR30" s="53">
        <f>volume!CR30</f>
        <v>0</v>
      </c>
      <c r="CS30" s="53">
        <f>volume!CS30</f>
        <v>2</v>
      </c>
      <c r="CT30" s="54">
        <f>volume!CT30</f>
        <v>2</v>
      </c>
      <c r="CU30" s="49">
        <f t="shared" si="13"/>
        <v>122</v>
      </c>
      <c r="CV30" s="52">
        <f>volume!CV30</f>
        <v>0</v>
      </c>
      <c r="CW30" s="53">
        <f>volume!CW30</f>
        <v>0</v>
      </c>
      <c r="CX30" s="53">
        <f>volume!CX30</f>
        <v>0</v>
      </c>
      <c r="CY30" s="53">
        <f>volume!CY30</f>
        <v>0</v>
      </c>
      <c r="CZ30" s="53">
        <f>volume!CZ30</f>
        <v>0</v>
      </c>
      <c r="DA30" s="54">
        <f>volume!DA30</f>
        <v>0</v>
      </c>
      <c r="DB30" s="49">
        <f t="shared" si="14"/>
        <v>0</v>
      </c>
      <c r="DC30" s="52">
        <f>volume!DC30</f>
        <v>0</v>
      </c>
      <c r="DD30" s="53">
        <f>volume!DD30</f>
        <v>0</v>
      </c>
      <c r="DE30" s="53">
        <f>volume!DE30</f>
        <v>0</v>
      </c>
      <c r="DF30" s="53">
        <f>volume!DF30</f>
        <v>0</v>
      </c>
      <c r="DG30" s="53">
        <f>volume!DG30</f>
        <v>0</v>
      </c>
      <c r="DH30" s="54">
        <f>volume!DH30</f>
        <v>0</v>
      </c>
      <c r="DI30" s="49">
        <f t="shared" si="15"/>
        <v>0</v>
      </c>
      <c r="DJ30" s="52">
        <f>volume!DJ30</f>
        <v>0</v>
      </c>
      <c r="DK30" s="53">
        <f>volume!DK30</f>
        <v>0</v>
      </c>
      <c r="DL30" s="53">
        <f>volume!DL30</f>
        <v>0</v>
      </c>
      <c r="DM30" s="53">
        <f>volume!DM30</f>
        <v>0</v>
      </c>
      <c r="DN30" s="53">
        <f>volume!DN30</f>
        <v>0</v>
      </c>
      <c r="DO30" s="54">
        <f>volume!DO30</f>
        <v>0</v>
      </c>
      <c r="DP30" s="50">
        <f t="shared" si="16"/>
        <v>0</v>
      </c>
      <c r="DQ30" s="52">
        <f>volume!DQ30</f>
        <v>0</v>
      </c>
      <c r="DR30" s="53">
        <f>volume!DR30</f>
        <v>0</v>
      </c>
      <c r="DS30" s="53">
        <f>volume!DS30</f>
        <v>0</v>
      </c>
      <c r="DT30" s="53">
        <f>volume!DT30</f>
        <v>0</v>
      </c>
      <c r="DU30" s="53">
        <f>volume!DU30</f>
        <v>0</v>
      </c>
      <c r="DV30" s="54">
        <f>volume!DV30</f>
        <v>0</v>
      </c>
      <c r="DW30" s="50">
        <f t="shared" si="17"/>
        <v>0</v>
      </c>
      <c r="DX30" s="52">
        <f>volume!DX30</f>
        <v>0</v>
      </c>
      <c r="DY30" s="53">
        <f>volume!DY30</f>
        <v>0</v>
      </c>
      <c r="DZ30" s="53">
        <f>volume!DZ30</f>
        <v>0</v>
      </c>
      <c r="EA30" s="53">
        <f>volume!EA30</f>
        <v>0</v>
      </c>
      <c r="EB30" s="53">
        <f>volume!EB30</f>
        <v>0</v>
      </c>
      <c r="EC30" s="54">
        <f>volume!EC30</f>
        <v>0</v>
      </c>
      <c r="ED30" s="50">
        <f t="shared" si="18"/>
        <v>0</v>
      </c>
      <c r="EE30" s="273"/>
      <c r="EF30" s="273"/>
      <c r="EG30" s="273"/>
      <c r="EH30" s="273"/>
      <c r="EI30" s="273"/>
      <c r="EJ30" s="273"/>
      <c r="EK30" s="273"/>
      <c r="EL30" s="52">
        <f>volume!EL30</f>
        <v>0</v>
      </c>
      <c r="EM30" s="53">
        <f>volume!EM30</f>
        <v>0</v>
      </c>
      <c r="EN30" s="53">
        <f>volume!EN30</f>
        <v>0</v>
      </c>
      <c r="EO30" s="53">
        <f>volume!EO30</f>
        <v>0</v>
      </c>
      <c r="EP30" s="53">
        <f>volume!EP30</f>
        <v>0</v>
      </c>
      <c r="EQ30" s="54">
        <f>volume!EQ30</f>
        <v>0</v>
      </c>
      <c r="ER30" s="50">
        <f t="shared" si="19"/>
        <v>0</v>
      </c>
      <c r="ES30" s="52">
        <f>volume!ES30</f>
        <v>0</v>
      </c>
      <c r="ET30" s="53">
        <f>volume!ET30</f>
        <v>0</v>
      </c>
      <c r="EU30" s="53">
        <f>volume!EU30</f>
        <v>0</v>
      </c>
      <c r="EV30" s="53">
        <f>volume!EV30</f>
        <v>0</v>
      </c>
      <c r="EW30" s="53">
        <f>volume!EW30</f>
        <v>0</v>
      </c>
      <c r="EX30" s="54">
        <f>volume!EX30</f>
        <v>0</v>
      </c>
      <c r="EY30" s="50">
        <f t="shared" si="20"/>
        <v>0</v>
      </c>
      <c r="EZ30" s="52">
        <f>volume!EZ30</f>
        <v>0</v>
      </c>
      <c r="FA30" s="53">
        <f>volume!FA30</f>
        <v>0</v>
      </c>
      <c r="FB30" s="53">
        <f>volume!FB30</f>
        <v>0</v>
      </c>
      <c r="FC30" s="53">
        <f>volume!FC30</f>
        <v>0</v>
      </c>
      <c r="FD30" s="53">
        <f>volume!FD30</f>
        <v>0</v>
      </c>
      <c r="FE30" s="54">
        <f>volume!FE30</f>
        <v>0</v>
      </c>
      <c r="FF30" s="50">
        <f t="shared" si="21"/>
        <v>0</v>
      </c>
      <c r="FG30" s="273"/>
      <c r="FH30" s="273"/>
      <c r="FI30" s="273"/>
      <c r="FJ30" s="273"/>
      <c r="FK30" s="273"/>
      <c r="FL30" s="273"/>
      <c r="FM30" s="273"/>
      <c r="FN30" s="52">
        <f>volume!FN30</f>
        <v>0</v>
      </c>
      <c r="FO30" s="53">
        <f>volume!FO30</f>
        <v>0</v>
      </c>
      <c r="FP30" s="53">
        <f>volume!FP30</f>
        <v>0</v>
      </c>
      <c r="FQ30" s="53">
        <f>volume!FQ30</f>
        <v>0</v>
      </c>
      <c r="FR30" s="53">
        <f>volume!FR30</f>
        <v>0</v>
      </c>
      <c r="FS30" s="54">
        <f>volume!FS30</f>
        <v>0</v>
      </c>
      <c r="FT30" s="50">
        <f t="shared" si="22"/>
        <v>0</v>
      </c>
      <c r="FU30" s="52">
        <f>volume!FU30</f>
        <v>0</v>
      </c>
      <c r="FV30" s="53">
        <f>volume!FV30</f>
        <v>0</v>
      </c>
      <c r="FW30" s="53">
        <f>volume!FW30</f>
        <v>0</v>
      </c>
      <c r="FX30" s="53">
        <f>volume!FX30</f>
        <v>0</v>
      </c>
      <c r="FY30" s="53">
        <f>volume!FY30</f>
        <v>0</v>
      </c>
      <c r="FZ30" s="54">
        <f>volume!FZ30</f>
        <v>0</v>
      </c>
      <c r="GA30" s="50">
        <f t="shared" si="23"/>
        <v>0</v>
      </c>
      <c r="GB30" s="52">
        <f>volume!GB30</f>
        <v>0</v>
      </c>
      <c r="GC30" s="53">
        <f>volume!GC30</f>
        <v>0</v>
      </c>
      <c r="GD30" s="53">
        <f>volume!GD30</f>
        <v>0</v>
      </c>
      <c r="GE30" s="53">
        <f>volume!GE30</f>
        <v>0</v>
      </c>
      <c r="GF30" s="53">
        <f>volume!GF30</f>
        <v>0</v>
      </c>
      <c r="GG30" s="54">
        <f>volume!GG30</f>
        <v>0</v>
      </c>
      <c r="GH30" s="50">
        <f t="shared" si="24"/>
        <v>0</v>
      </c>
      <c r="GI30" s="273"/>
      <c r="GJ30" s="273"/>
      <c r="GK30" s="273"/>
      <c r="GL30" s="273"/>
      <c r="GM30" s="273"/>
      <c r="GN30" s="273"/>
      <c r="GO30" s="273"/>
      <c r="GP30" s="52">
        <f>volume!GP30</f>
        <v>0</v>
      </c>
      <c r="GQ30" s="53">
        <f>volume!GQ30</f>
        <v>0</v>
      </c>
      <c r="GR30" s="53">
        <f>volume!GR30</f>
        <v>0</v>
      </c>
      <c r="GS30" s="53">
        <f>volume!GS30</f>
        <v>0</v>
      </c>
      <c r="GT30" s="53">
        <f>volume!GT30</f>
        <v>0</v>
      </c>
      <c r="GU30" s="54">
        <f>volume!GU30</f>
        <v>0</v>
      </c>
      <c r="GV30" s="50">
        <f t="shared" si="25"/>
        <v>0</v>
      </c>
      <c r="GW30" s="52">
        <f>volume!GW30</f>
        <v>0</v>
      </c>
      <c r="GX30" s="53">
        <f>volume!GX30</f>
        <v>0</v>
      </c>
      <c r="GY30" s="53">
        <f>volume!GY30</f>
        <v>0</v>
      </c>
      <c r="GZ30" s="53">
        <f>volume!GZ30</f>
        <v>0</v>
      </c>
      <c r="HA30" s="53">
        <f>volume!HA30</f>
        <v>0</v>
      </c>
      <c r="HB30" s="54">
        <f>volume!HB30</f>
        <v>0</v>
      </c>
      <c r="HC30" s="50">
        <f t="shared" si="26"/>
        <v>0</v>
      </c>
      <c r="HD30" s="52">
        <f>volume!HD30</f>
        <v>0</v>
      </c>
      <c r="HE30" s="53">
        <f>volume!HE30</f>
        <v>0</v>
      </c>
      <c r="HF30" s="53">
        <f>volume!HF30</f>
        <v>0</v>
      </c>
      <c r="HG30" s="53">
        <f>volume!HG30</f>
        <v>0</v>
      </c>
      <c r="HH30" s="53">
        <f>volume!HH30</f>
        <v>0</v>
      </c>
      <c r="HI30" s="54">
        <f>volume!HI30</f>
        <v>0</v>
      </c>
      <c r="HJ30" s="50">
        <f t="shared" si="27"/>
        <v>0</v>
      </c>
    </row>
    <row r="31" spans="1:218" ht="21.75" customHeight="1" x14ac:dyDescent="0.6">
      <c r="A31" s="44" t="s">
        <v>86</v>
      </c>
      <c r="B31" s="45">
        <f>volume!B31</f>
        <v>37</v>
      </c>
      <c r="C31" s="46">
        <f>volume!C31</f>
        <v>9</v>
      </c>
      <c r="D31" s="46">
        <f>volume!D31</f>
        <v>0</v>
      </c>
      <c r="E31" s="46">
        <f>volume!E31</f>
        <v>0</v>
      </c>
      <c r="F31" s="46">
        <f>volume!F31</f>
        <v>1</v>
      </c>
      <c r="G31" s="47">
        <f>volume!G31</f>
        <v>0</v>
      </c>
      <c r="H31" s="48">
        <f t="shared" si="0"/>
        <v>47</v>
      </c>
      <c r="I31" s="45">
        <f>volume!I31</f>
        <v>38</v>
      </c>
      <c r="J31" s="46">
        <f>volume!J31</f>
        <v>8</v>
      </c>
      <c r="K31" s="46">
        <f>volume!K31</f>
        <v>0</v>
      </c>
      <c r="L31" s="46">
        <f>volume!L31</f>
        <v>0</v>
      </c>
      <c r="M31" s="46">
        <f>volume!M31</f>
        <v>0</v>
      </c>
      <c r="N31" s="47">
        <f>volume!N31</f>
        <v>0</v>
      </c>
      <c r="O31" s="49">
        <f t="shared" si="1"/>
        <v>46</v>
      </c>
      <c r="P31" s="45">
        <f>volume!P31</f>
        <v>21</v>
      </c>
      <c r="Q31" s="46">
        <f>volume!Q31</f>
        <v>10</v>
      </c>
      <c r="R31" s="46">
        <f>volume!R31</f>
        <v>0</v>
      </c>
      <c r="S31" s="46">
        <f>volume!S31</f>
        <v>0</v>
      </c>
      <c r="T31" s="46">
        <f>volume!T31</f>
        <v>0</v>
      </c>
      <c r="U31" s="47">
        <f>volume!U31</f>
        <v>0</v>
      </c>
      <c r="V31" s="49">
        <f t="shared" si="2"/>
        <v>31</v>
      </c>
      <c r="W31" s="45">
        <f>volume!W31</f>
        <v>0</v>
      </c>
      <c r="X31" s="46">
        <f>volume!X31</f>
        <v>0</v>
      </c>
      <c r="Y31" s="46">
        <f>volume!Y31</f>
        <v>0</v>
      </c>
      <c r="Z31" s="46">
        <f>volume!Z31</f>
        <v>0</v>
      </c>
      <c r="AA31" s="46">
        <f>volume!AA31</f>
        <v>0</v>
      </c>
      <c r="AB31" s="47">
        <f>volume!AB31</f>
        <v>0</v>
      </c>
      <c r="AC31" s="49">
        <f t="shared" si="3"/>
        <v>0</v>
      </c>
      <c r="AD31" s="45">
        <f>volume!AD31</f>
        <v>52</v>
      </c>
      <c r="AE31" s="46">
        <f>volume!AE31</f>
        <v>12</v>
      </c>
      <c r="AF31" s="46">
        <f>volume!AF31</f>
        <v>0</v>
      </c>
      <c r="AG31" s="46">
        <f>volume!AG31</f>
        <v>0</v>
      </c>
      <c r="AH31" s="46">
        <f>volume!AH31</f>
        <v>0</v>
      </c>
      <c r="AI31" s="47">
        <f>volume!AI31</f>
        <v>0</v>
      </c>
      <c r="AJ31" s="49">
        <f t="shared" si="4"/>
        <v>64</v>
      </c>
      <c r="AK31" s="45">
        <f>volume!AK31</f>
        <v>145</v>
      </c>
      <c r="AL31" s="46">
        <f>volume!AL31</f>
        <v>50</v>
      </c>
      <c r="AM31" s="46">
        <f>volume!AM31</f>
        <v>0</v>
      </c>
      <c r="AN31" s="46">
        <f>volume!AN31</f>
        <v>1</v>
      </c>
      <c r="AO31" s="46">
        <f>volume!AO31</f>
        <v>4</v>
      </c>
      <c r="AP31" s="47">
        <f>volume!AP31</f>
        <v>0</v>
      </c>
      <c r="AQ31" s="49">
        <f t="shared" si="5"/>
        <v>200</v>
      </c>
      <c r="AR31" s="45">
        <f>volume!AR31</f>
        <v>19</v>
      </c>
      <c r="AS31" s="46">
        <f>volume!AS31</f>
        <v>9</v>
      </c>
      <c r="AT31" s="46">
        <f>volume!AT31</f>
        <v>0</v>
      </c>
      <c r="AU31" s="46">
        <f>volume!AU31</f>
        <v>0</v>
      </c>
      <c r="AV31" s="46">
        <f>volume!AV31</f>
        <v>0</v>
      </c>
      <c r="AW31" s="47">
        <f>volume!AW31</f>
        <v>0</v>
      </c>
      <c r="AX31" s="49">
        <f t="shared" si="6"/>
        <v>28</v>
      </c>
      <c r="AY31" s="45">
        <f>volume!AY31</f>
        <v>52</v>
      </c>
      <c r="AZ31" s="46">
        <f>volume!AZ31</f>
        <v>13</v>
      </c>
      <c r="BA31" s="46">
        <f>volume!BA31</f>
        <v>0</v>
      </c>
      <c r="BB31" s="46">
        <f>volume!BB31</f>
        <v>0</v>
      </c>
      <c r="BC31" s="46">
        <f>volume!BC31</f>
        <v>0</v>
      </c>
      <c r="BD31" s="47">
        <f>volume!BD31</f>
        <v>1</v>
      </c>
      <c r="BE31" s="49">
        <f t="shared" si="7"/>
        <v>66</v>
      </c>
      <c r="BF31" s="45">
        <f>volume!BF31</f>
        <v>2</v>
      </c>
      <c r="BG31" s="46">
        <f>volume!BG31</f>
        <v>0</v>
      </c>
      <c r="BH31" s="46">
        <f>volume!BH31</f>
        <v>0</v>
      </c>
      <c r="BI31" s="46">
        <f>volume!BI31</f>
        <v>0</v>
      </c>
      <c r="BJ31" s="46">
        <f>volume!BJ31</f>
        <v>0</v>
      </c>
      <c r="BK31" s="47">
        <f>volume!BK31</f>
        <v>0</v>
      </c>
      <c r="BL31" s="49">
        <f t="shared" si="8"/>
        <v>2</v>
      </c>
      <c r="BM31" s="45">
        <f>volume!BM31</f>
        <v>61</v>
      </c>
      <c r="BN31" s="46">
        <f>volume!BN31</f>
        <v>14</v>
      </c>
      <c r="BO31" s="46">
        <f>volume!BO31</f>
        <v>0</v>
      </c>
      <c r="BP31" s="46">
        <f>volume!BP31</f>
        <v>0</v>
      </c>
      <c r="BQ31" s="46">
        <f>volume!BQ31</f>
        <v>0</v>
      </c>
      <c r="BR31" s="47">
        <f>volume!BR31</f>
        <v>0</v>
      </c>
      <c r="BS31" s="49">
        <f t="shared" si="9"/>
        <v>75</v>
      </c>
      <c r="BT31" s="45">
        <f>volume!BT31</f>
        <v>63</v>
      </c>
      <c r="BU31" s="46">
        <f>volume!BU31</f>
        <v>12</v>
      </c>
      <c r="BV31" s="46">
        <f>volume!BV31</f>
        <v>0</v>
      </c>
      <c r="BW31" s="46">
        <f>volume!BW31</f>
        <v>0</v>
      </c>
      <c r="BX31" s="46">
        <f>volume!BX31</f>
        <v>0</v>
      </c>
      <c r="BY31" s="47">
        <f>volume!BY31</f>
        <v>0</v>
      </c>
      <c r="BZ31" s="49">
        <f t="shared" si="10"/>
        <v>75</v>
      </c>
      <c r="CA31" s="45">
        <f>volume!CA31</f>
        <v>0</v>
      </c>
      <c r="CB31" s="46">
        <f>volume!CB31</f>
        <v>0</v>
      </c>
      <c r="CC31" s="46">
        <f>volume!CC31</f>
        <v>0</v>
      </c>
      <c r="CD31" s="46">
        <f>volume!CD31</f>
        <v>0</v>
      </c>
      <c r="CE31" s="46">
        <f>volume!CE31</f>
        <v>0</v>
      </c>
      <c r="CF31" s="47">
        <f>volume!CF31</f>
        <v>0</v>
      </c>
      <c r="CG31" s="49">
        <f t="shared" si="11"/>
        <v>0</v>
      </c>
      <c r="CH31" s="45">
        <f>volume!CH31</f>
        <v>18</v>
      </c>
      <c r="CI31" s="46">
        <f>volume!CI31</f>
        <v>8</v>
      </c>
      <c r="CJ31" s="46">
        <f>volume!CJ31</f>
        <v>0</v>
      </c>
      <c r="CK31" s="46">
        <f>volume!CK31</f>
        <v>0</v>
      </c>
      <c r="CL31" s="46">
        <f>volume!CL31</f>
        <v>1</v>
      </c>
      <c r="CM31" s="47">
        <f>volume!CM31</f>
        <v>0</v>
      </c>
      <c r="CN31" s="49">
        <f t="shared" si="12"/>
        <v>27</v>
      </c>
      <c r="CO31" s="45">
        <f>volume!CO31</f>
        <v>103</v>
      </c>
      <c r="CP31" s="46">
        <f>volume!CP31</f>
        <v>22</v>
      </c>
      <c r="CQ31" s="46">
        <f>volume!CQ31</f>
        <v>0</v>
      </c>
      <c r="CR31" s="46">
        <f>volume!CR31</f>
        <v>0</v>
      </c>
      <c r="CS31" s="46">
        <f>volume!CS31</f>
        <v>0</v>
      </c>
      <c r="CT31" s="47">
        <f>volume!CT31</f>
        <v>0</v>
      </c>
      <c r="CU31" s="49">
        <f t="shared" si="13"/>
        <v>125</v>
      </c>
      <c r="CV31" s="45">
        <f>volume!CV31</f>
        <v>0</v>
      </c>
      <c r="CW31" s="46">
        <f>volume!CW31</f>
        <v>0</v>
      </c>
      <c r="CX31" s="46">
        <f>volume!CX31</f>
        <v>0</v>
      </c>
      <c r="CY31" s="46">
        <f>volume!CY31</f>
        <v>0</v>
      </c>
      <c r="CZ31" s="46">
        <f>volume!CZ31</f>
        <v>0</v>
      </c>
      <c r="DA31" s="47">
        <f>volume!DA31</f>
        <v>0</v>
      </c>
      <c r="DB31" s="49">
        <f t="shared" si="14"/>
        <v>0</v>
      </c>
      <c r="DC31" s="45">
        <f>volume!DC31</f>
        <v>0</v>
      </c>
      <c r="DD31" s="46">
        <f>volume!DD31</f>
        <v>0</v>
      </c>
      <c r="DE31" s="46">
        <f>volume!DE31</f>
        <v>0</v>
      </c>
      <c r="DF31" s="46">
        <f>volume!DF31</f>
        <v>0</v>
      </c>
      <c r="DG31" s="46">
        <f>volume!DG31</f>
        <v>0</v>
      </c>
      <c r="DH31" s="47">
        <f>volume!DH31</f>
        <v>0</v>
      </c>
      <c r="DI31" s="49">
        <f t="shared" si="15"/>
        <v>0</v>
      </c>
      <c r="DJ31" s="45">
        <f>volume!DJ31</f>
        <v>0</v>
      </c>
      <c r="DK31" s="46">
        <f>volume!DK31</f>
        <v>0</v>
      </c>
      <c r="DL31" s="46">
        <f>volume!DL31</f>
        <v>0</v>
      </c>
      <c r="DM31" s="46">
        <f>volume!DM31</f>
        <v>0</v>
      </c>
      <c r="DN31" s="46">
        <f>volume!DN31</f>
        <v>0</v>
      </c>
      <c r="DO31" s="47">
        <f>volume!DO31</f>
        <v>0</v>
      </c>
      <c r="DP31" s="50">
        <f t="shared" si="16"/>
        <v>0</v>
      </c>
      <c r="DQ31" s="45">
        <f>volume!DQ31</f>
        <v>0</v>
      </c>
      <c r="DR31" s="46">
        <f>volume!DR31</f>
        <v>0</v>
      </c>
      <c r="DS31" s="46">
        <f>volume!DS31</f>
        <v>0</v>
      </c>
      <c r="DT31" s="46">
        <f>volume!DT31</f>
        <v>0</v>
      </c>
      <c r="DU31" s="46">
        <f>volume!DU31</f>
        <v>0</v>
      </c>
      <c r="DV31" s="47">
        <f>volume!DV31</f>
        <v>0</v>
      </c>
      <c r="DW31" s="50">
        <f t="shared" si="17"/>
        <v>0</v>
      </c>
      <c r="DX31" s="45">
        <f>volume!DX31</f>
        <v>0</v>
      </c>
      <c r="DY31" s="46">
        <f>volume!DY31</f>
        <v>0</v>
      </c>
      <c r="DZ31" s="46">
        <f>volume!DZ31</f>
        <v>0</v>
      </c>
      <c r="EA31" s="46">
        <f>volume!EA31</f>
        <v>0</v>
      </c>
      <c r="EB31" s="46">
        <f>volume!EB31</f>
        <v>0</v>
      </c>
      <c r="EC31" s="47">
        <f>volume!EC31</f>
        <v>0</v>
      </c>
      <c r="ED31" s="50">
        <f t="shared" si="18"/>
        <v>0</v>
      </c>
      <c r="EE31" s="272"/>
      <c r="EF31" s="272"/>
      <c r="EG31" s="272"/>
      <c r="EH31" s="272"/>
      <c r="EI31" s="272"/>
      <c r="EJ31" s="272"/>
      <c r="EK31" s="272"/>
      <c r="EL31" s="45">
        <f>volume!EL31</f>
        <v>0</v>
      </c>
      <c r="EM31" s="46">
        <f>volume!EM31</f>
        <v>0</v>
      </c>
      <c r="EN31" s="46">
        <f>volume!EN31</f>
        <v>0</v>
      </c>
      <c r="EO31" s="46">
        <f>volume!EO31</f>
        <v>0</v>
      </c>
      <c r="EP31" s="46">
        <f>volume!EP31</f>
        <v>0</v>
      </c>
      <c r="EQ31" s="47">
        <f>volume!EQ31</f>
        <v>0</v>
      </c>
      <c r="ER31" s="50">
        <f t="shared" si="19"/>
        <v>0</v>
      </c>
      <c r="ES31" s="45">
        <f>volume!ES31</f>
        <v>0</v>
      </c>
      <c r="ET31" s="46">
        <f>volume!ET31</f>
        <v>0</v>
      </c>
      <c r="EU31" s="46">
        <f>volume!EU31</f>
        <v>0</v>
      </c>
      <c r="EV31" s="46">
        <f>volume!EV31</f>
        <v>0</v>
      </c>
      <c r="EW31" s="46">
        <f>volume!EW31</f>
        <v>0</v>
      </c>
      <c r="EX31" s="47">
        <f>volume!EX31</f>
        <v>0</v>
      </c>
      <c r="EY31" s="50">
        <f t="shared" si="20"/>
        <v>0</v>
      </c>
      <c r="EZ31" s="45">
        <f>volume!EZ31</f>
        <v>0</v>
      </c>
      <c r="FA31" s="46">
        <f>volume!FA31</f>
        <v>0</v>
      </c>
      <c r="FB31" s="46">
        <f>volume!FB31</f>
        <v>0</v>
      </c>
      <c r="FC31" s="46">
        <f>volume!FC31</f>
        <v>0</v>
      </c>
      <c r="FD31" s="46">
        <f>volume!FD31</f>
        <v>0</v>
      </c>
      <c r="FE31" s="47">
        <f>volume!FE31</f>
        <v>0</v>
      </c>
      <c r="FF31" s="50">
        <f t="shared" si="21"/>
        <v>0</v>
      </c>
      <c r="FG31" s="272"/>
      <c r="FH31" s="272"/>
      <c r="FI31" s="272"/>
      <c r="FJ31" s="272"/>
      <c r="FK31" s="272"/>
      <c r="FL31" s="272"/>
      <c r="FM31" s="272"/>
      <c r="FN31" s="45">
        <f>volume!FN31</f>
        <v>0</v>
      </c>
      <c r="FO31" s="46">
        <f>volume!FO31</f>
        <v>0</v>
      </c>
      <c r="FP31" s="46">
        <f>volume!FP31</f>
        <v>0</v>
      </c>
      <c r="FQ31" s="46">
        <f>volume!FQ31</f>
        <v>0</v>
      </c>
      <c r="FR31" s="46">
        <f>volume!FR31</f>
        <v>0</v>
      </c>
      <c r="FS31" s="47">
        <f>volume!FS31</f>
        <v>0</v>
      </c>
      <c r="FT31" s="50">
        <f t="shared" si="22"/>
        <v>0</v>
      </c>
      <c r="FU31" s="45">
        <f>volume!FU31</f>
        <v>0</v>
      </c>
      <c r="FV31" s="46">
        <f>volume!FV31</f>
        <v>0</v>
      </c>
      <c r="FW31" s="46">
        <f>volume!FW31</f>
        <v>0</v>
      </c>
      <c r="FX31" s="46">
        <f>volume!FX31</f>
        <v>0</v>
      </c>
      <c r="FY31" s="46">
        <f>volume!FY31</f>
        <v>0</v>
      </c>
      <c r="FZ31" s="47">
        <f>volume!FZ31</f>
        <v>0</v>
      </c>
      <c r="GA31" s="50">
        <f t="shared" si="23"/>
        <v>0</v>
      </c>
      <c r="GB31" s="45">
        <f>volume!GB31</f>
        <v>0</v>
      </c>
      <c r="GC31" s="46">
        <f>volume!GC31</f>
        <v>0</v>
      </c>
      <c r="GD31" s="46">
        <f>volume!GD31</f>
        <v>0</v>
      </c>
      <c r="GE31" s="46">
        <f>volume!GE31</f>
        <v>0</v>
      </c>
      <c r="GF31" s="46">
        <f>volume!GF31</f>
        <v>0</v>
      </c>
      <c r="GG31" s="47">
        <f>volume!GG31</f>
        <v>0</v>
      </c>
      <c r="GH31" s="50">
        <f t="shared" si="24"/>
        <v>0</v>
      </c>
      <c r="GI31" s="272"/>
      <c r="GJ31" s="272"/>
      <c r="GK31" s="272"/>
      <c r="GL31" s="272"/>
      <c r="GM31" s="272"/>
      <c r="GN31" s="272"/>
      <c r="GO31" s="272"/>
      <c r="GP31" s="45">
        <f>volume!GP31</f>
        <v>0</v>
      </c>
      <c r="GQ31" s="46">
        <f>volume!GQ31</f>
        <v>0</v>
      </c>
      <c r="GR31" s="46">
        <f>volume!GR31</f>
        <v>0</v>
      </c>
      <c r="GS31" s="46">
        <f>volume!GS31</f>
        <v>0</v>
      </c>
      <c r="GT31" s="46">
        <f>volume!GT31</f>
        <v>0</v>
      </c>
      <c r="GU31" s="47">
        <f>volume!GU31</f>
        <v>0</v>
      </c>
      <c r="GV31" s="50">
        <f t="shared" si="25"/>
        <v>0</v>
      </c>
      <c r="GW31" s="45">
        <f>volume!GW31</f>
        <v>0</v>
      </c>
      <c r="GX31" s="46">
        <f>volume!GX31</f>
        <v>0</v>
      </c>
      <c r="GY31" s="46">
        <f>volume!GY31</f>
        <v>0</v>
      </c>
      <c r="GZ31" s="46">
        <f>volume!GZ31</f>
        <v>0</v>
      </c>
      <c r="HA31" s="46">
        <f>volume!HA31</f>
        <v>0</v>
      </c>
      <c r="HB31" s="47">
        <f>volume!HB31</f>
        <v>0</v>
      </c>
      <c r="HC31" s="50">
        <f t="shared" si="26"/>
        <v>0</v>
      </c>
      <c r="HD31" s="45">
        <f>volume!HD31</f>
        <v>0</v>
      </c>
      <c r="HE31" s="46">
        <f>volume!HE31</f>
        <v>0</v>
      </c>
      <c r="HF31" s="46">
        <f>volume!HF31</f>
        <v>0</v>
      </c>
      <c r="HG31" s="46">
        <f>volume!HG31</f>
        <v>0</v>
      </c>
      <c r="HH31" s="46">
        <f>volume!HH31</f>
        <v>0</v>
      </c>
      <c r="HI31" s="47">
        <f>volume!HI31</f>
        <v>0</v>
      </c>
      <c r="HJ31" s="50">
        <f t="shared" si="27"/>
        <v>0</v>
      </c>
    </row>
    <row r="32" spans="1:218" ht="21.75" customHeight="1" x14ac:dyDescent="0.6">
      <c r="A32" s="51" t="s">
        <v>87</v>
      </c>
      <c r="B32" s="52">
        <f>volume!B32</f>
        <v>41</v>
      </c>
      <c r="C32" s="53">
        <f>volume!C32</f>
        <v>6</v>
      </c>
      <c r="D32" s="53">
        <f>volume!D32</f>
        <v>0</v>
      </c>
      <c r="E32" s="53">
        <f>volume!E32</f>
        <v>0</v>
      </c>
      <c r="F32" s="53">
        <f>volume!F32</f>
        <v>0</v>
      </c>
      <c r="G32" s="54">
        <f>volume!G32</f>
        <v>0</v>
      </c>
      <c r="H32" s="48">
        <f t="shared" si="0"/>
        <v>47</v>
      </c>
      <c r="I32" s="52">
        <f>volume!I32</f>
        <v>42</v>
      </c>
      <c r="J32" s="53">
        <f>volume!J32</f>
        <v>9</v>
      </c>
      <c r="K32" s="53">
        <f>volume!K32</f>
        <v>0</v>
      </c>
      <c r="L32" s="53">
        <f>volume!L32</f>
        <v>0</v>
      </c>
      <c r="M32" s="53">
        <f>volume!M32</f>
        <v>1</v>
      </c>
      <c r="N32" s="54">
        <f>volume!N32</f>
        <v>0</v>
      </c>
      <c r="O32" s="49">
        <f t="shared" si="1"/>
        <v>52</v>
      </c>
      <c r="P32" s="52">
        <f>volume!P32</f>
        <v>17</v>
      </c>
      <c r="Q32" s="53">
        <f>volume!Q32</f>
        <v>6</v>
      </c>
      <c r="R32" s="53">
        <f>volume!R32</f>
        <v>0</v>
      </c>
      <c r="S32" s="53">
        <f>volume!S32</f>
        <v>0</v>
      </c>
      <c r="T32" s="53">
        <f>volume!T32</f>
        <v>0</v>
      </c>
      <c r="U32" s="54">
        <f>volume!U32</f>
        <v>0</v>
      </c>
      <c r="V32" s="49">
        <f t="shared" si="2"/>
        <v>23</v>
      </c>
      <c r="W32" s="52">
        <f>volume!W32</f>
        <v>0</v>
      </c>
      <c r="X32" s="53">
        <f>volume!X32</f>
        <v>0</v>
      </c>
      <c r="Y32" s="53">
        <f>volume!Y32</f>
        <v>0</v>
      </c>
      <c r="Z32" s="53">
        <f>volume!Z32</f>
        <v>0</v>
      </c>
      <c r="AA32" s="53">
        <f>volume!AA32</f>
        <v>0</v>
      </c>
      <c r="AB32" s="54">
        <f>volume!AB32</f>
        <v>0</v>
      </c>
      <c r="AC32" s="49">
        <f t="shared" si="3"/>
        <v>0</v>
      </c>
      <c r="AD32" s="52">
        <f>volume!AD32</f>
        <v>39</v>
      </c>
      <c r="AE32" s="53">
        <f>volume!AE32</f>
        <v>17</v>
      </c>
      <c r="AF32" s="53">
        <f>volume!AF32</f>
        <v>0</v>
      </c>
      <c r="AG32" s="53">
        <f>volume!AG32</f>
        <v>0</v>
      </c>
      <c r="AH32" s="53">
        <f>volume!AH32</f>
        <v>0</v>
      </c>
      <c r="AI32" s="54">
        <f>volume!AI32</f>
        <v>0</v>
      </c>
      <c r="AJ32" s="49">
        <f t="shared" si="4"/>
        <v>56</v>
      </c>
      <c r="AK32" s="52">
        <f>volume!AK32</f>
        <v>163</v>
      </c>
      <c r="AL32" s="53">
        <f>volume!AL32</f>
        <v>48</v>
      </c>
      <c r="AM32" s="53">
        <f>volume!AM32</f>
        <v>0</v>
      </c>
      <c r="AN32" s="53">
        <f>volume!AN32</f>
        <v>0</v>
      </c>
      <c r="AO32" s="53">
        <f>volume!AO32</f>
        <v>7</v>
      </c>
      <c r="AP32" s="54">
        <f>volume!AP32</f>
        <v>0</v>
      </c>
      <c r="AQ32" s="49">
        <f t="shared" si="5"/>
        <v>218</v>
      </c>
      <c r="AR32" s="52">
        <f>volume!AR32</f>
        <v>22</v>
      </c>
      <c r="AS32" s="53">
        <f>volume!AS32</f>
        <v>10</v>
      </c>
      <c r="AT32" s="53">
        <f>volume!AT32</f>
        <v>0</v>
      </c>
      <c r="AU32" s="53">
        <f>volume!AU32</f>
        <v>0</v>
      </c>
      <c r="AV32" s="53">
        <f>volume!AV32</f>
        <v>0</v>
      </c>
      <c r="AW32" s="54">
        <f>volume!AW32</f>
        <v>0</v>
      </c>
      <c r="AX32" s="49">
        <f t="shared" si="6"/>
        <v>32</v>
      </c>
      <c r="AY32" s="52">
        <f>volume!AY32</f>
        <v>39</v>
      </c>
      <c r="AZ32" s="53">
        <f>volume!AZ32</f>
        <v>10</v>
      </c>
      <c r="BA32" s="53">
        <f>volume!BA32</f>
        <v>0</v>
      </c>
      <c r="BB32" s="53">
        <f>volume!BB32</f>
        <v>0</v>
      </c>
      <c r="BC32" s="53">
        <f>volume!BC32</f>
        <v>1</v>
      </c>
      <c r="BD32" s="54">
        <f>volume!BD32</f>
        <v>0</v>
      </c>
      <c r="BE32" s="49">
        <f t="shared" si="7"/>
        <v>50</v>
      </c>
      <c r="BF32" s="52">
        <f>volume!BF32</f>
        <v>4</v>
      </c>
      <c r="BG32" s="53">
        <f>volume!BG32</f>
        <v>2</v>
      </c>
      <c r="BH32" s="53">
        <f>volume!BH32</f>
        <v>0</v>
      </c>
      <c r="BI32" s="53">
        <f>volume!BI32</f>
        <v>0</v>
      </c>
      <c r="BJ32" s="53">
        <f>volume!BJ32</f>
        <v>0</v>
      </c>
      <c r="BK32" s="54">
        <f>volume!BK32</f>
        <v>0</v>
      </c>
      <c r="BL32" s="49">
        <f t="shared" si="8"/>
        <v>6</v>
      </c>
      <c r="BM32" s="52">
        <f>volume!BM32</f>
        <v>54</v>
      </c>
      <c r="BN32" s="53">
        <f>volume!BN32</f>
        <v>16</v>
      </c>
      <c r="BO32" s="53">
        <f>volume!BO32</f>
        <v>0</v>
      </c>
      <c r="BP32" s="53">
        <f>volume!BP32</f>
        <v>0</v>
      </c>
      <c r="BQ32" s="53">
        <f>volume!BQ32</f>
        <v>2</v>
      </c>
      <c r="BR32" s="54">
        <f>volume!BR32</f>
        <v>0</v>
      </c>
      <c r="BS32" s="49">
        <f t="shared" si="9"/>
        <v>72</v>
      </c>
      <c r="BT32" s="52">
        <f>volume!BT32</f>
        <v>79</v>
      </c>
      <c r="BU32" s="53">
        <f>volume!BU32</f>
        <v>6</v>
      </c>
      <c r="BV32" s="53">
        <f>volume!BV32</f>
        <v>0</v>
      </c>
      <c r="BW32" s="53">
        <f>volume!BW32</f>
        <v>0</v>
      </c>
      <c r="BX32" s="53">
        <f>volume!BX32</f>
        <v>0</v>
      </c>
      <c r="BY32" s="54">
        <f>volume!BY32</f>
        <v>0</v>
      </c>
      <c r="BZ32" s="49">
        <f t="shared" si="10"/>
        <v>85</v>
      </c>
      <c r="CA32" s="52">
        <f>volume!CA32</f>
        <v>0</v>
      </c>
      <c r="CB32" s="53">
        <f>volume!CB32</f>
        <v>0</v>
      </c>
      <c r="CC32" s="53">
        <f>volume!CC32</f>
        <v>0</v>
      </c>
      <c r="CD32" s="53">
        <f>volume!CD32</f>
        <v>0</v>
      </c>
      <c r="CE32" s="53">
        <f>volume!CE32</f>
        <v>0</v>
      </c>
      <c r="CF32" s="54">
        <f>volume!CF32</f>
        <v>0</v>
      </c>
      <c r="CG32" s="49">
        <f t="shared" si="11"/>
        <v>0</v>
      </c>
      <c r="CH32" s="52">
        <f>volume!CH32</f>
        <v>22</v>
      </c>
      <c r="CI32" s="53">
        <f>volume!CI32</f>
        <v>5</v>
      </c>
      <c r="CJ32" s="53">
        <f>volume!CJ32</f>
        <v>0</v>
      </c>
      <c r="CK32" s="53">
        <f>volume!CK32</f>
        <v>0</v>
      </c>
      <c r="CL32" s="53">
        <f>volume!CL32</f>
        <v>0</v>
      </c>
      <c r="CM32" s="54">
        <f>volume!CM32</f>
        <v>0</v>
      </c>
      <c r="CN32" s="49">
        <f t="shared" si="12"/>
        <v>27</v>
      </c>
      <c r="CO32" s="52">
        <f>volume!CO32</f>
        <v>110</v>
      </c>
      <c r="CP32" s="53">
        <f>volume!CP32</f>
        <v>20</v>
      </c>
      <c r="CQ32" s="53">
        <f>volume!CQ32</f>
        <v>0</v>
      </c>
      <c r="CR32" s="53">
        <f>volume!CR32</f>
        <v>0</v>
      </c>
      <c r="CS32" s="53">
        <f>volume!CS32</f>
        <v>1</v>
      </c>
      <c r="CT32" s="54">
        <f>volume!CT32</f>
        <v>1</v>
      </c>
      <c r="CU32" s="49">
        <f t="shared" si="13"/>
        <v>132</v>
      </c>
      <c r="CV32" s="52">
        <f>volume!CV32</f>
        <v>0</v>
      </c>
      <c r="CW32" s="53">
        <f>volume!CW32</f>
        <v>0</v>
      </c>
      <c r="CX32" s="53">
        <f>volume!CX32</f>
        <v>0</v>
      </c>
      <c r="CY32" s="53">
        <f>volume!CY32</f>
        <v>0</v>
      </c>
      <c r="CZ32" s="53">
        <f>volume!CZ32</f>
        <v>0</v>
      </c>
      <c r="DA32" s="54">
        <f>volume!DA32</f>
        <v>0</v>
      </c>
      <c r="DB32" s="49">
        <f t="shared" si="14"/>
        <v>0</v>
      </c>
      <c r="DC32" s="52">
        <f>volume!DC32</f>
        <v>0</v>
      </c>
      <c r="DD32" s="53">
        <f>volume!DD32</f>
        <v>0</v>
      </c>
      <c r="DE32" s="53">
        <f>volume!DE32</f>
        <v>0</v>
      </c>
      <c r="DF32" s="53">
        <f>volume!DF32</f>
        <v>0</v>
      </c>
      <c r="DG32" s="53">
        <f>volume!DG32</f>
        <v>0</v>
      </c>
      <c r="DH32" s="54">
        <f>volume!DH32</f>
        <v>0</v>
      </c>
      <c r="DI32" s="49">
        <f t="shared" si="15"/>
        <v>0</v>
      </c>
      <c r="DJ32" s="52">
        <f>volume!DJ32</f>
        <v>0</v>
      </c>
      <c r="DK32" s="53">
        <f>volume!DK32</f>
        <v>0</v>
      </c>
      <c r="DL32" s="53">
        <f>volume!DL32</f>
        <v>0</v>
      </c>
      <c r="DM32" s="53">
        <f>volume!DM32</f>
        <v>0</v>
      </c>
      <c r="DN32" s="53">
        <f>volume!DN32</f>
        <v>0</v>
      </c>
      <c r="DO32" s="54">
        <f>volume!DO32</f>
        <v>0</v>
      </c>
      <c r="DP32" s="50">
        <f t="shared" si="16"/>
        <v>0</v>
      </c>
      <c r="DQ32" s="52">
        <f>volume!DQ32</f>
        <v>0</v>
      </c>
      <c r="DR32" s="53">
        <f>volume!DR32</f>
        <v>0</v>
      </c>
      <c r="DS32" s="53">
        <f>volume!DS32</f>
        <v>0</v>
      </c>
      <c r="DT32" s="53">
        <f>volume!DT32</f>
        <v>0</v>
      </c>
      <c r="DU32" s="53">
        <f>volume!DU32</f>
        <v>0</v>
      </c>
      <c r="DV32" s="54">
        <f>volume!DV32</f>
        <v>0</v>
      </c>
      <c r="DW32" s="50">
        <f t="shared" si="17"/>
        <v>0</v>
      </c>
      <c r="DX32" s="52">
        <f>volume!DX32</f>
        <v>0</v>
      </c>
      <c r="DY32" s="53">
        <f>volume!DY32</f>
        <v>0</v>
      </c>
      <c r="DZ32" s="53">
        <f>volume!DZ32</f>
        <v>0</v>
      </c>
      <c r="EA32" s="53">
        <f>volume!EA32</f>
        <v>0</v>
      </c>
      <c r="EB32" s="53">
        <f>volume!EB32</f>
        <v>0</v>
      </c>
      <c r="EC32" s="54">
        <f>volume!EC32</f>
        <v>0</v>
      </c>
      <c r="ED32" s="50">
        <f t="shared" si="18"/>
        <v>0</v>
      </c>
      <c r="EE32" s="273"/>
      <c r="EF32" s="273"/>
      <c r="EG32" s="273"/>
      <c r="EH32" s="273"/>
      <c r="EI32" s="273"/>
      <c r="EJ32" s="273"/>
      <c r="EK32" s="273"/>
      <c r="EL32" s="52">
        <f>volume!EL32</f>
        <v>0</v>
      </c>
      <c r="EM32" s="53">
        <f>volume!EM32</f>
        <v>0</v>
      </c>
      <c r="EN32" s="53">
        <f>volume!EN32</f>
        <v>0</v>
      </c>
      <c r="EO32" s="53">
        <f>volume!EO32</f>
        <v>0</v>
      </c>
      <c r="EP32" s="53">
        <f>volume!EP32</f>
        <v>0</v>
      </c>
      <c r="EQ32" s="54">
        <f>volume!EQ32</f>
        <v>0</v>
      </c>
      <c r="ER32" s="50">
        <f t="shared" si="19"/>
        <v>0</v>
      </c>
      <c r="ES32" s="52">
        <f>volume!ES32</f>
        <v>0</v>
      </c>
      <c r="ET32" s="53">
        <f>volume!ET32</f>
        <v>0</v>
      </c>
      <c r="EU32" s="53">
        <f>volume!EU32</f>
        <v>0</v>
      </c>
      <c r="EV32" s="53">
        <f>volume!EV32</f>
        <v>0</v>
      </c>
      <c r="EW32" s="53">
        <f>volume!EW32</f>
        <v>0</v>
      </c>
      <c r="EX32" s="54">
        <f>volume!EX32</f>
        <v>0</v>
      </c>
      <c r="EY32" s="50">
        <f t="shared" si="20"/>
        <v>0</v>
      </c>
      <c r="EZ32" s="52">
        <f>volume!EZ32</f>
        <v>0</v>
      </c>
      <c r="FA32" s="53">
        <f>volume!FA32</f>
        <v>0</v>
      </c>
      <c r="FB32" s="53">
        <f>volume!FB32</f>
        <v>0</v>
      </c>
      <c r="FC32" s="53">
        <f>volume!FC32</f>
        <v>0</v>
      </c>
      <c r="FD32" s="53">
        <f>volume!FD32</f>
        <v>0</v>
      </c>
      <c r="FE32" s="54">
        <f>volume!FE32</f>
        <v>0</v>
      </c>
      <c r="FF32" s="50">
        <f t="shared" si="21"/>
        <v>0</v>
      </c>
      <c r="FG32" s="273"/>
      <c r="FH32" s="273"/>
      <c r="FI32" s="273"/>
      <c r="FJ32" s="273"/>
      <c r="FK32" s="273"/>
      <c r="FL32" s="273"/>
      <c r="FM32" s="273"/>
      <c r="FN32" s="52">
        <f>volume!FN32</f>
        <v>0</v>
      </c>
      <c r="FO32" s="53">
        <f>volume!FO32</f>
        <v>0</v>
      </c>
      <c r="FP32" s="53">
        <f>volume!FP32</f>
        <v>0</v>
      </c>
      <c r="FQ32" s="53">
        <f>volume!FQ32</f>
        <v>0</v>
      </c>
      <c r="FR32" s="53">
        <f>volume!FR32</f>
        <v>0</v>
      </c>
      <c r="FS32" s="54">
        <f>volume!FS32</f>
        <v>0</v>
      </c>
      <c r="FT32" s="50">
        <f t="shared" si="22"/>
        <v>0</v>
      </c>
      <c r="FU32" s="52">
        <f>volume!FU32</f>
        <v>0</v>
      </c>
      <c r="FV32" s="53">
        <f>volume!FV32</f>
        <v>0</v>
      </c>
      <c r="FW32" s="53">
        <f>volume!FW32</f>
        <v>0</v>
      </c>
      <c r="FX32" s="53">
        <f>volume!FX32</f>
        <v>0</v>
      </c>
      <c r="FY32" s="53">
        <f>volume!FY32</f>
        <v>0</v>
      </c>
      <c r="FZ32" s="54">
        <f>volume!FZ32</f>
        <v>0</v>
      </c>
      <c r="GA32" s="50">
        <f t="shared" si="23"/>
        <v>0</v>
      </c>
      <c r="GB32" s="52">
        <f>volume!GB32</f>
        <v>0</v>
      </c>
      <c r="GC32" s="53">
        <f>volume!GC32</f>
        <v>0</v>
      </c>
      <c r="GD32" s="53">
        <f>volume!GD32</f>
        <v>0</v>
      </c>
      <c r="GE32" s="53">
        <f>volume!GE32</f>
        <v>0</v>
      </c>
      <c r="GF32" s="53">
        <f>volume!GF32</f>
        <v>0</v>
      </c>
      <c r="GG32" s="54">
        <f>volume!GG32</f>
        <v>0</v>
      </c>
      <c r="GH32" s="50">
        <f t="shared" si="24"/>
        <v>0</v>
      </c>
      <c r="GI32" s="273"/>
      <c r="GJ32" s="273"/>
      <c r="GK32" s="273"/>
      <c r="GL32" s="273"/>
      <c r="GM32" s="273"/>
      <c r="GN32" s="273"/>
      <c r="GO32" s="273"/>
      <c r="GP32" s="52">
        <f>volume!GP32</f>
        <v>0</v>
      </c>
      <c r="GQ32" s="53">
        <f>volume!GQ32</f>
        <v>0</v>
      </c>
      <c r="GR32" s="53">
        <f>volume!GR32</f>
        <v>0</v>
      </c>
      <c r="GS32" s="53">
        <f>volume!GS32</f>
        <v>0</v>
      </c>
      <c r="GT32" s="53">
        <f>volume!GT32</f>
        <v>0</v>
      </c>
      <c r="GU32" s="54">
        <f>volume!GU32</f>
        <v>0</v>
      </c>
      <c r="GV32" s="50">
        <f t="shared" si="25"/>
        <v>0</v>
      </c>
      <c r="GW32" s="52">
        <f>volume!GW32</f>
        <v>0</v>
      </c>
      <c r="GX32" s="53">
        <f>volume!GX32</f>
        <v>0</v>
      </c>
      <c r="GY32" s="53">
        <f>volume!GY32</f>
        <v>0</v>
      </c>
      <c r="GZ32" s="53">
        <f>volume!GZ32</f>
        <v>0</v>
      </c>
      <c r="HA32" s="53">
        <f>volume!HA32</f>
        <v>0</v>
      </c>
      <c r="HB32" s="54">
        <f>volume!HB32</f>
        <v>0</v>
      </c>
      <c r="HC32" s="50">
        <f t="shared" si="26"/>
        <v>0</v>
      </c>
      <c r="HD32" s="52">
        <f>volume!HD32</f>
        <v>0</v>
      </c>
      <c r="HE32" s="53">
        <f>volume!HE32</f>
        <v>0</v>
      </c>
      <c r="HF32" s="53">
        <f>volume!HF32</f>
        <v>0</v>
      </c>
      <c r="HG32" s="53">
        <f>volume!HG32</f>
        <v>0</v>
      </c>
      <c r="HH32" s="53">
        <f>volume!HH32</f>
        <v>0</v>
      </c>
      <c r="HI32" s="54">
        <f>volume!HI32</f>
        <v>0</v>
      </c>
      <c r="HJ32" s="50">
        <f t="shared" si="27"/>
        <v>0</v>
      </c>
    </row>
    <row r="33" spans="1:218" ht="21.75" customHeight="1" x14ac:dyDescent="0.6">
      <c r="A33" s="51" t="s">
        <v>88</v>
      </c>
      <c r="B33" s="52">
        <f>volume!B33</f>
        <v>35</v>
      </c>
      <c r="C33" s="53">
        <f>volume!C33</f>
        <v>12</v>
      </c>
      <c r="D33" s="53">
        <f>volume!D33</f>
        <v>0</v>
      </c>
      <c r="E33" s="53">
        <f>volume!E33</f>
        <v>0</v>
      </c>
      <c r="F33" s="53">
        <f>volume!F33</f>
        <v>0</v>
      </c>
      <c r="G33" s="54">
        <f>volume!G33</f>
        <v>0</v>
      </c>
      <c r="H33" s="48">
        <f t="shared" si="0"/>
        <v>47</v>
      </c>
      <c r="I33" s="52">
        <f>volume!I33</f>
        <v>44</v>
      </c>
      <c r="J33" s="53">
        <f>volume!J33</f>
        <v>10</v>
      </c>
      <c r="K33" s="53">
        <f>volume!K33</f>
        <v>0</v>
      </c>
      <c r="L33" s="53">
        <f>volume!L33</f>
        <v>0</v>
      </c>
      <c r="M33" s="53">
        <f>volume!M33</f>
        <v>0</v>
      </c>
      <c r="N33" s="54">
        <f>volume!N33</f>
        <v>0</v>
      </c>
      <c r="O33" s="49">
        <f t="shared" si="1"/>
        <v>54</v>
      </c>
      <c r="P33" s="52">
        <f>volume!P33</f>
        <v>23</v>
      </c>
      <c r="Q33" s="53">
        <f>volume!Q33</f>
        <v>6</v>
      </c>
      <c r="R33" s="53">
        <f>volume!R33</f>
        <v>0</v>
      </c>
      <c r="S33" s="53">
        <f>volume!S33</f>
        <v>0</v>
      </c>
      <c r="T33" s="53">
        <f>volume!T33</f>
        <v>1</v>
      </c>
      <c r="U33" s="54">
        <f>volume!U33</f>
        <v>0</v>
      </c>
      <c r="V33" s="49">
        <f t="shared" si="2"/>
        <v>30</v>
      </c>
      <c r="W33" s="52">
        <f>volume!W33</f>
        <v>0</v>
      </c>
      <c r="X33" s="53">
        <f>volume!X33</f>
        <v>0</v>
      </c>
      <c r="Y33" s="53">
        <f>volume!Y33</f>
        <v>0</v>
      </c>
      <c r="Z33" s="53">
        <f>volume!Z33</f>
        <v>0</v>
      </c>
      <c r="AA33" s="53">
        <f>volume!AA33</f>
        <v>0</v>
      </c>
      <c r="AB33" s="54">
        <f>volume!AB33</f>
        <v>0</v>
      </c>
      <c r="AC33" s="49">
        <f t="shared" si="3"/>
        <v>0</v>
      </c>
      <c r="AD33" s="52">
        <f>volume!AD33</f>
        <v>44</v>
      </c>
      <c r="AE33" s="53">
        <f>volume!AE33</f>
        <v>14</v>
      </c>
      <c r="AF33" s="53">
        <f>volume!AF33</f>
        <v>0</v>
      </c>
      <c r="AG33" s="53">
        <f>volume!AG33</f>
        <v>0</v>
      </c>
      <c r="AH33" s="53">
        <f>volume!AH33</f>
        <v>0</v>
      </c>
      <c r="AI33" s="54">
        <f>volume!AI33</f>
        <v>0</v>
      </c>
      <c r="AJ33" s="49">
        <f t="shared" si="4"/>
        <v>58</v>
      </c>
      <c r="AK33" s="52">
        <f>volume!AK33</f>
        <v>158</v>
      </c>
      <c r="AL33" s="53">
        <f>volume!AL33</f>
        <v>42</v>
      </c>
      <c r="AM33" s="53">
        <f>volume!AM33</f>
        <v>1</v>
      </c>
      <c r="AN33" s="53">
        <f>volume!AN33</f>
        <v>0</v>
      </c>
      <c r="AO33" s="53">
        <f>volume!AO33</f>
        <v>6</v>
      </c>
      <c r="AP33" s="54">
        <f>volume!AP33</f>
        <v>1</v>
      </c>
      <c r="AQ33" s="49">
        <f t="shared" si="5"/>
        <v>208</v>
      </c>
      <c r="AR33" s="52">
        <f>volume!AR33</f>
        <v>21</v>
      </c>
      <c r="AS33" s="53">
        <f>volume!AS33</f>
        <v>6</v>
      </c>
      <c r="AT33" s="53">
        <f>volume!AT33</f>
        <v>0</v>
      </c>
      <c r="AU33" s="53">
        <f>volume!AU33</f>
        <v>0</v>
      </c>
      <c r="AV33" s="53">
        <f>volume!AV33</f>
        <v>0</v>
      </c>
      <c r="AW33" s="54">
        <f>volume!AW33</f>
        <v>0</v>
      </c>
      <c r="AX33" s="49">
        <f t="shared" si="6"/>
        <v>27</v>
      </c>
      <c r="AY33" s="52">
        <f>volume!AY33</f>
        <v>42</v>
      </c>
      <c r="AZ33" s="53">
        <f>volume!AZ33</f>
        <v>12</v>
      </c>
      <c r="BA33" s="53">
        <f>volume!BA33</f>
        <v>1</v>
      </c>
      <c r="BB33" s="53">
        <f>volume!BB33</f>
        <v>0</v>
      </c>
      <c r="BC33" s="53">
        <f>volume!BC33</f>
        <v>3</v>
      </c>
      <c r="BD33" s="54">
        <f>volume!BD33</f>
        <v>0</v>
      </c>
      <c r="BE33" s="49">
        <f t="shared" si="7"/>
        <v>58</v>
      </c>
      <c r="BF33" s="52">
        <f>volume!BF33</f>
        <v>3</v>
      </c>
      <c r="BG33" s="53">
        <f>volume!BG33</f>
        <v>1</v>
      </c>
      <c r="BH33" s="53">
        <f>volume!BH33</f>
        <v>0</v>
      </c>
      <c r="BI33" s="53">
        <f>volume!BI33</f>
        <v>0</v>
      </c>
      <c r="BJ33" s="53">
        <f>volume!BJ33</f>
        <v>2</v>
      </c>
      <c r="BK33" s="54">
        <f>volume!BK33</f>
        <v>0</v>
      </c>
      <c r="BL33" s="49">
        <f t="shared" si="8"/>
        <v>6</v>
      </c>
      <c r="BM33" s="52">
        <f>volume!BM33</f>
        <v>63</v>
      </c>
      <c r="BN33" s="53">
        <f>volume!BN33</f>
        <v>14</v>
      </c>
      <c r="BO33" s="53">
        <f>volume!BO33</f>
        <v>0</v>
      </c>
      <c r="BP33" s="53">
        <f>volume!BP33</f>
        <v>0</v>
      </c>
      <c r="BQ33" s="53">
        <f>volume!BQ33</f>
        <v>0</v>
      </c>
      <c r="BR33" s="54">
        <f>volume!BR33</f>
        <v>0</v>
      </c>
      <c r="BS33" s="49">
        <f t="shared" si="9"/>
        <v>77</v>
      </c>
      <c r="BT33" s="52">
        <f>volume!BT33</f>
        <v>72</v>
      </c>
      <c r="BU33" s="53">
        <f>volume!BU33</f>
        <v>14</v>
      </c>
      <c r="BV33" s="53">
        <f>volume!BV33</f>
        <v>0</v>
      </c>
      <c r="BW33" s="53">
        <f>volume!BW33</f>
        <v>0</v>
      </c>
      <c r="BX33" s="53">
        <f>volume!BX33</f>
        <v>0</v>
      </c>
      <c r="BY33" s="54">
        <f>volume!BY33</f>
        <v>0</v>
      </c>
      <c r="BZ33" s="49">
        <f t="shared" si="10"/>
        <v>86</v>
      </c>
      <c r="CA33" s="52">
        <f>volume!CA33</f>
        <v>0</v>
      </c>
      <c r="CB33" s="53">
        <f>volume!CB33</f>
        <v>0</v>
      </c>
      <c r="CC33" s="53">
        <f>volume!CC33</f>
        <v>0</v>
      </c>
      <c r="CD33" s="53">
        <f>volume!CD33</f>
        <v>0</v>
      </c>
      <c r="CE33" s="53">
        <f>volume!CE33</f>
        <v>0</v>
      </c>
      <c r="CF33" s="54">
        <f>volume!CF33</f>
        <v>0</v>
      </c>
      <c r="CG33" s="49">
        <f t="shared" si="11"/>
        <v>0</v>
      </c>
      <c r="CH33" s="52">
        <f>volume!CH33</f>
        <v>25</v>
      </c>
      <c r="CI33" s="53">
        <f>volume!CI33</f>
        <v>6</v>
      </c>
      <c r="CJ33" s="53">
        <f>volume!CJ33</f>
        <v>0</v>
      </c>
      <c r="CK33" s="53">
        <f>volume!CK33</f>
        <v>0</v>
      </c>
      <c r="CL33" s="53">
        <f>volume!CL33</f>
        <v>0</v>
      </c>
      <c r="CM33" s="54">
        <f>volume!CM33</f>
        <v>0</v>
      </c>
      <c r="CN33" s="49">
        <f t="shared" si="12"/>
        <v>31</v>
      </c>
      <c r="CO33" s="52">
        <f>volume!CO33</f>
        <v>106</v>
      </c>
      <c r="CP33" s="53">
        <f>volume!CP33</f>
        <v>24</v>
      </c>
      <c r="CQ33" s="53">
        <f>volume!CQ33</f>
        <v>1</v>
      </c>
      <c r="CR33" s="53">
        <f>volume!CR33</f>
        <v>0</v>
      </c>
      <c r="CS33" s="53">
        <f>volume!CS33</f>
        <v>0</v>
      </c>
      <c r="CT33" s="54">
        <f>volume!CT33</f>
        <v>0</v>
      </c>
      <c r="CU33" s="49">
        <f t="shared" si="13"/>
        <v>131</v>
      </c>
      <c r="CV33" s="52">
        <f>volume!CV33</f>
        <v>0</v>
      </c>
      <c r="CW33" s="53">
        <f>volume!CW33</f>
        <v>0</v>
      </c>
      <c r="CX33" s="53">
        <f>volume!CX33</f>
        <v>0</v>
      </c>
      <c r="CY33" s="53">
        <f>volume!CY33</f>
        <v>0</v>
      </c>
      <c r="CZ33" s="53">
        <f>volume!CZ33</f>
        <v>0</v>
      </c>
      <c r="DA33" s="54">
        <f>volume!DA33</f>
        <v>0</v>
      </c>
      <c r="DB33" s="49">
        <f t="shared" si="14"/>
        <v>0</v>
      </c>
      <c r="DC33" s="52">
        <f>volume!DC33</f>
        <v>0</v>
      </c>
      <c r="DD33" s="53">
        <f>volume!DD33</f>
        <v>0</v>
      </c>
      <c r="DE33" s="53">
        <f>volume!DE33</f>
        <v>0</v>
      </c>
      <c r="DF33" s="53">
        <f>volume!DF33</f>
        <v>0</v>
      </c>
      <c r="DG33" s="53">
        <f>volume!DG33</f>
        <v>0</v>
      </c>
      <c r="DH33" s="54">
        <f>volume!DH33</f>
        <v>0</v>
      </c>
      <c r="DI33" s="49">
        <f t="shared" si="15"/>
        <v>0</v>
      </c>
      <c r="DJ33" s="52">
        <f>volume!DJ33</f>
        <v>0</v>
      </c>
      <c r="DK33" s="53">
        <f>volume!DK33</f>
        <v>0</v>
      </c>
      <c r="DL33" s="53">
        <f>volume!DL33</f>
        <v>0</v>
      </c>
      <c r="DM33" s="53">
        <f>volume!DM33</f>
        <v>0</v>
      </c>
      <c r="DN33" s="53">
        <f>volume!DN33</f>
        <v>0</v>
      </c>
      <c r="DO33" s="54">
        <f>volume!DO33</f>
        <v>0</v>
      </c>
      <c r="DP33" s="50">
        <f t="shared" si="16"/>
        <v>0</v>
      </c>
      <c r="DQ33" s="52">
        <f>volume!DQ33</f>
        <v>0</v>
      </c>
      <c r="DR33" s="53">
        <f>volume!DR33</f>
        <v>0</v>
      </c>
      <c r="DS33" s="53">
        <f>volume!DS33</f>
        <v>0</v>
      </c>
      <c r="DT33" s="53">
        <f>volume!DT33</f>
        <v>0</v>
      </c>
      <c r="DU33" s="53">
        <f>volume!DU33</f>
        <v>0</v>
      </c>
      <c r="DV33" s="54">
        <f>volume!DV33</f>
        <v>0</v>
      </c>
      <c r="DW33" s="50">
        <f t="shared" si="17"/>
        <v>0</v>
      </c>
      <c r="DX33" s="52">
        <f>volume!DX33</f>
        <v>0</v>
      </c>
      <c r="DY33" s="53">
        <f>volume!DY33</f>
        <v>0</v>
      </c>
      <c r="DZ33" s="53">
        <f>volume!DZ33</f>
        <v>0</v>
      </c>
      <c r="EA33" s="53">
        <f>volume!EA33</f>
        <v>0</v>
      </c>
      <c r="EB33" s="53">
        <f>volume!EB33</f>
        <v>0</v>
      </c>
      <c r="EC33" s="54">
        <f>volume!EC33</f>
        <v>0</v>
      </c>
      <c r="ED33" s="50">
        <f t="shared" si="18"/>
        <v>0</v>
      </c>
      <c r="EE33" s="273"/>
      <c r="EF33" s="273"/>
      <c r="EG33" s="273"/>
      <c r="EH33" s="273"/>
      <c r="EI33" s="273"/>
      <c r="EJ33" s="273"/>
      <c r="EK33" s="273"/>
      <c r="EL33" s="52">
        <f>volume!EL33</f>
        <v>0</v>
      </c>
      <c r="EM33" s="53">
        <f>volume!EM33</f>
        <v>0</v>
      </c>
      <c r="EN33" s="53">
        <f>volume!EN33</f>
        <v>0</v>
      </c>
      <c r="EO33" s="53">
        <f>volume!EO33</f>
        <v>0</v>
      </c>
      <c r="EP33" s="53">
        <f>volume!EP33</f>
        <v>0</v>
      </c>
      <c r="EQ33" s="54">
        <f>volume!EQ33</f>
        <v>0</v>
      </c>
      <c r="ER33" s="50">
        <f t="shared" si="19"/>
        <v>0</v>
      </c>
      <c r="ES33" s="52">
        <f>volume!ES33</f>
        <v>0</v>
      </c>
      <c r="ET33" s="53">
        <f>volume!ET33</f>
        <v>0</v>
      </c>
      <c r="EU33" s="53">
        <f>volume!EU33</f>
        <v>0</v>
      </c>
      <c r="EV33" s="53">
        <f>volume!EV33</f>
        <v>0</v>
      </c>
      <c r="EW33" s="53">
        <f>volume!EW33</f>
        <v>0</v>
      </c>
      <c r="EX33" s="54">
        <f>volume!EX33</f>
        <v>0</v>
      </c>
      <c r="EY33" s="50">
        <f t="shared" si="20"/>
        <v>0</v>
      </c>
      <c r="EZ33" s="52">
        <f>volume!EZ33</f>
        <v>0</v>
      </c>
      <c r="FA33" s="53">
        <f>volume!FA33</f>
        <v>0</v>
      </c>
      <c r="FB33" s="53">
        <f>volume!FB33</f>
        <v>0</v>
      </c>
      <c r="FC33" s="53">
        <f>volume!FC33</f>
        <v>0</v>
      </c>
      <c r="FD33" s="53">
        <f>volume!FD33</f>
        <v>0</v>
      </c>
      <c r="FE33" s="54">
        <f>volume!FE33</f>
        <v>0</v>
      </c>
      <c r="FF33" s="50">
        <f t="shared" si="21"/>
        <v>0</v>
      </c>
      <c r="FG33" s="273"/>
      <c r="FH33" s="273"/>
      <c r="FI33" s="273"/>
      <c r="FJ33" s="273"/>
      <c r="FK33" s="273"/>
      <c r="FL33" s="273"/>
      <c r="FM33" s="273"/>
      <c r="FN33" s="52">
        <f>volume!FN33</f>
        <v>0</v>
      </c>
      <c r="FO33" s="53">
        <f>volume!FO33</f>
        <v>0</v>
      </c>
      <c r="FP33" s="53">
        <f>volume!FP33</f>
        <v>0</v>
      </c>
      <c r="FQ33" s="53">
        <f>volume!FQ33</f>
        <v>0</v>
      </c>
      <c r="FR33" s="53">
        <f>volume!FR33</f>
        <v>0</v>
      </c>
      <c r="FS33" s="54">
        <f>volume!FS33</f>
        <v>0</v>
      </c>
      <c r="FT33" s="50">
        <f t="shared" si="22"/>
        <v>0</v>
      </c>
      <c r="FU33" s="52">
        <f>volume!FU33</f>
        <v>0</v>
      </c>
      <c r="FV33" s="53">
        <f>volume!FV33</f>
        <v>0</v>
      </c>
      <c r="FW33" s="53">
        <f>volume!FW33</f>
        <v>0</v>
      </c>
      <c r="FX33" s="53">
        <f>volume!FX33</f>
        <v>0</v>
      </c>
      <c r="FY33" s="53">
        <f>volume!FY33</f>
        <v>0</v>
      </c>
      <c r="FZ33" s="54">
        <f>volume!FZ33</f>
        <v>0</v>
      </c>
      <c r="GA33" s="50">
        <f t="shared" si="23"/>
        <v>0</v>
      </c>
      <c r="GB33" s="52">
        <f>volume!GB33</f>
        <v>0</v>
      </c>
      <c r="GC33" s="53">
        <f>volume!GC33</f>
        <v>0</v>
      </c>
      <c r="GD33" s="53">
        <f>volume!GD33</f>
        <v>0</v>
      </c>
      <c r="GE33" s="53">
        <f>volume!GE33</f>
        <v>0</v>
      </c>
      <c r="GF33" s="53">
        <f>volume!GF33</f>
        <v>0</v>
      </c>
      <c r="GG33" s="54">
        <f>volume!GG33</f>
        <v>0</v>
      </c>
      <c r="GH33" s="50">
        <f t="shared" si="24"/>
        <v>0</v>
      </c>
      <c r="GI33" s="273"/>
      <c r="GJ33" s="273"/>
      <c r="GK33" s="273"/>
      <c r="GL33" s="273"/>
      <c r="GM33" s="273"/>
      <c r="GN33" s="273"/>
      <c r="GO33" s="273"/>
      <c r="GP33" s="52">
        <f>volume!GP33</f>
        <v>0</v>
      </c>
      <c r="GQ33" s="53">
        <f>volume!GQ33</f>
        <v>0</v>
      </c>
      <c r="GR33" s="53">
        <f>volume!GR33</f>
        <v>0</v>
      </c>
      <c r="GS33" s="53">
        <f>volume!GS33</f>
        <v>0</v>
      </c>
      <c r="GT33" s="53">
        <f>volume!GT33</f>
        <v>0</v>
      </c>
      <c r="GU33" s="54">
        <f>volume!GU33</f>
        <v>0</v>
      </c>
      <c r="GV33" s="50">
        <f t="shared" si="25"/>
        <v>0</v>
      </c>
      <c r="GW33" s="52">
        <f>volume!GW33</f>
        <v>0</v>
      </c>
      <c r="GX33" s="53">
        <f>volume!GX33</f>
        <v>0</v>
      </c>
      <c r="GY33" s="53">
        <f>volume!GY33</f>
        <v>0</v>
      </c>
      <c r="GZ33" s="53">
        <f>volume!GZ33</f>
        <v>0</v>
      </c>
      <c r="HA33" s="53">
        <f>volume!HA33</f>
        <v>0</v>
      </c>
      <c r="HB33" s="54">
        <f>volume!HB33</f>
        <v>0</v>
      </c>
      <c r="HC33" s="50">
        <f t="shared" si="26"/>
        <v>0</v>
      </c>
      <c r="HD33" s="52">
        <f>volume!HD33</f>
        <v>0</v>
      </c>
      <c r="HE33" s="53">
        <f>volume!HE33</f>
        <v>0</v>
      </c>
      <c r="HF33" s="53">
        <f>volume!HF33</f>
        <v>0</v>
      </c>
      <c r="HG33" s="53">
        <f>volume!HG33</f>
        <v>0</v>
      </c>
      <c r="HH33" s="53">
        <f>volume!HH33</f>
        <v>0</v>
      </c>
      <c r="HI33" s="54">
        <f>volume!HI33</f>
        <v>0</v>
      </c>
      <c r="HJ33" s="50">
        <f t="shared" si="27"/>
        <v>0</v>
      </c>
    </row>
    <row r="34" spans="1:218" ht="21.75" customHeight="1" x14ac:dyDescent="0.6">
      <c r="A34" s="55" t="s">
        <v>89</v>
      </c>
      <c r="B34" s="52">
        <f>volume!B34</f>
        <v>46</v>
      </c>
      <c r="C34" s="53">
        <f>volume!C34</f>
        <v>8</v>
      </c>
      <c r="D34" s="53">
        <f>volume!D34</f>
        <v>0</v>
      </c>
      <c r="E34" s="53">
        <f>volume!E34</f>
        <v>0</v>
      </c>
      <c r="F34" s="53">
        <f>volume!F34</f>
        <v>1</v>
      </c>
      <c r="G34" s="54">
        <f>volume!G34</f>
        <v>1</v>
      </c>
      <c r="H34" s="48">
        <f t="shared" si="0"/>
        <v>56</v>
      </c>
      <c r="I34" s="52">
        <f>volume!I34</f>
        <v>48</v>
      </c>
      <c r="J34" s="53">
        <f>volume!J34</f>
        <v>10</v>
      </c>
      <c r="K34" s="53">
        <f>volume!K34</f>
        <v>0</v>
      </c>
      <c r="L34" s="53">
        <f>volume!L34</f>
        <v>0</v>
      </c>
      <c r="M34" s="53">
        <f>volume!M34</f>
        <v>0</v>
      </c>
      <c r="N34" s="54">
        <f>volume!N34</f>
        <v>0</v>
      </c>
      <c r="O34" s="49">
        <f t="shared" si="1"/>
        <v>58</v>
      </c>
      <c r="P34" s="52">
        <f>volume!P34</f>
        <v>15</v>
      </c>
      <c r="Q34" s="53">
        <f>volume!Q34</f>
        <v>13</v>
      </c>
      <c r="R34" s="53">
        <f>volume!R34</f>
        <v>0</v>
      </c>
      <c r="S34" s="53">
        <f>volume!S34</f>
        <v>0</v>
      </c>
      <c r="T34" s="53">
        <f>volume!T34</f>
        <v>0</v>
      </c>
      <c r="U34" s="54">
        <f>volume!U34</f>
        <v>0</v>
      </c>
      <c r="V34" s="49">
        <f t="shared" si="2"/>
        <v>28</v>
      </c>
      <c r="W34" s="52">
        <f>volume!W34</f>
        <v>0</v>
      </c>
      <c r="X34" s="53">
        <f>volume!X34</f>
        <v>0</v>
      </c>
      <c r="Y34" s="53">
        <f>volume!Y34</f>
        <v>0</v>
      </c>
      <c r="Z34" s="53">
        <f>volume!Z34</f>
        <v>0</v>
      </c>
      <c r="AA34" s="53">
        <f>volume!AA34</f>
        <v>0</v>
      </c>
      <c r="AB34" s="54">
        <f>volume!AB34</f>
        <v>0</v>
      </c>
      <c r="AC34" s="49">
        <f t="shared" si="3"/>
        <v>0</v>
      </c>
      <c r="AD34" s="52">
        <f>volume!AD34</f>
        <v>48</v>
      </c>
      <c r="AE34" s="53">
        <f>volume!AE34</f>
        <v>20</v>
      </c>
      <c r="AF34" s="53">
        <f>volume!AF34</f>
        <v>0</v>
      </c>
      <c r="AG34" s="53">
        <f>volume!AG34</f>
        <v>0</v>
      </c>
      <c r="AH34" s="53">
        <f>volume!AH34</f>
        <v>1</v>
      </c>
      <c r="AI34" s="54">
        <f>volume!AI34</f>
        <v>0</v>
      </c>
      <c r="AJ34" s="49">
        <f t="shared" si="4"/>
        <v>69</v>
      </c>
      <c r="AK34" s="52">
        <f>volume!AK34</f>
        <v>171</v>
      </c>
      <c r="AL34" s="53">
        <f>volume!AL34</f>
        <v>49</v>
      </c>
      <c r="AM34" s="53">
        <f>volume!AM34</f>
        <v>0</v>
      </c>
      <c r="AN34" s="53">
        <f>volume!AN34</f>
        <v>1</v>
      </c>
      <c r="AO34" s="53">
        <f>volume!AO34</f>
        <v>6</v>
      </c>
      <c r="AP34" s="54">
        <f>volume!AP34</f>
        <v>0</v>
      </c>
      <c r="AQ34" s="49">
        <f t="shared" si="5"/>
        <v>227</v>
      </c>
      <c r="AR34" s="52">
        <f>volume!AR34</f>
        <v>18</v>
      </c>
      <c r="AS34" s="53">
        <f>volume!AS34</f>
        <v>4</v>
      </c>
      <c r="AT34" s="53">
        <f>volume!AT34</f>
        <v>0</v>
      </c>
      <c r="AU34" s="53">
        <f>volume!AU34</f>
        <v>0</v>
      </c>
      <c r="AV34" s="53">
        <f>volume!AV34</f>
        <v>1</v>
      </c>
      <c r="AW34" s="54">
        <f>volume!AW34</f>
        <v>0</v>
      </c>
      <c r="AX34" s="49">
        <f t="shared" si="6"/>
        <v>23</v>
      </c>
      <c r="AY34" s="52">
        <f>volume!AY34</f>
        <v>35</v>
      </c>
      <c r="AZ34" s="53">
        <f>volume!AZ34</f>
        <v>15</v>
      </c>
      <c r="BA34" s="53">
        <f>volume!BA34</f>
        <v>0</v>
      </c>
      <c r="BB34" s="53">
        <f>volume!BB34</f>
        <v>0</v>
      </c>
      <c r="BC34" s="53">
        <f>volume!BC34</f>
        <v>0</v>
      </c>
      <c r="BD34" s="54">
        <f>volume!BD34</f>
        <v>0</v>
      </c>
      <c r="BE34" s="49">
        <f t="shared" si="7"/>
        <v>50</v>
      </c>
      <c r="BF34" s="52">
        <f>volume!BF34</f>
        <v>6</v>
      </c>
      <c r="BG34" s="53">
        <f>volume!BG34</f>
        <v>0</v>
      </c>
      <c r="BH34" s="53">
        <f>volume!BH34</f>
        <v>0</v>
      </c>
      <c r="BI34" s="53">
        <f>volume!BI34</f>
        <v>0</v>
      </c>
      <c r="BJ34" s="53">
        <f>volume!BJ34</f>
        <v>0</v>
      </c>
      <c r="BK34" s="54">
        <f>volume!BK34</f>
        <v>0</v>
      </c>
      <c r="BL34" s="49">
        <f t="shared" si="8"/>
        <v>6</v>
      </c>
      <c r="BM34" s="52">
        <f>volume!BM34</f>
        <v>54</v>
      </c>
      <c r="BN34" s="53">
        <f>volume!BN34</f>
        <v>12</v>
      </c>
      <c r="BO34" s="53">
        <f>volume!BO34</f>
        <v>0</v>
      </c>
      <c r="BP34" s="53">
        <f>volume!BP34</f>
        <v>0</v>
      </c>
      <c r="BQ34" s="53">
        <f>volume!BQ34</f>
        <v>0</v>
      </c>
      <c r="BR34" s="54">
        <f>volume!BR34</f>
        <v>0</v>
      </c>
      <c r="BS34" s="49">
        <f t="shared" si="9"/>
        <v>66</v>
      </c>
      <c r="BT34" s="52">
        <f>volume!BT34</f>
        <v>54</v>
      </c>
      <c r="BU34" s="53">
        <f>volume!BU34</f>
        <v>11</v>
      </c>
      <c r="BV34" s="53">
        <f>volume!BV34</f>
        <v>0</v>
      </c>
      <c r="BW34" s="53">
        <f>volume!BW34</f>
        <v>0</v>
      </c>
      <c r="BX34" s="53">
        <f>volume!BX34</f>
        <v>0</v>
      </c>
      <c r="BY34" s="54">
        <f>volume!BY34</f>
        <v>0</v>
      </c>
      <c r="BZ34" s="49">
        <f t="shared" si="10"/>
        <v>65</v>
      </c>
      <c r="CA34" s="52">
        <f>volume!CA34</f>
        <v>0</v>
      </c>
      <c r="CB34" s="53">
        <f>volume!CB34</f>
        <v>0</v>
      </c>
      <c r="CC34" s="53">
        <f>volume!CC34</f>
        <v>0</v>
      </c>
      <c r="CD34" s="53">
        <f>volume!CD34</f>
        <v>0</v>
      </c>
      <c r="CE34" s="53">
        <f>volume!CE34</f>
        <v>0</v>
      </c>
      <c r="CF34" s="54">
        <f>volume!CF34</f>
        <v>0</v>
      </c>
      <c r="CG34" s="49">
        <f t="shared" si="11"/>
        <v>0</v>
      </c>
      <c r="CH34" s="52">
        <f>volume!CH34</f>
        <v>34</v>
      </c>
      <c r="CI34" s="53">
        <f>volume!CI34</f>
        <v>9</v>
      </c>
      <c r="CJ34" s="53">
        <f>volume!CJ34</f>
        <v>0</v>
      </c>
      <c r="CK34" s="53">
        <f>volume!CK34</f>
        <v>0</v>
      </c>
      <c r="CL34" s="53">
        <f>volume!CL34</f>
        <v>1</v>
      </c>
      <c r="CM34" s="54">
        <f>volume!CM34</f>
        <v>0</v>
      </c>
      <c r="CN34" s="49">
        <f t="shared" si="12"/>
        <v>44</v>
      </c>
      <c r="CO34" s="52">
        <f>volume!CO34</f>
        <v>96</v>
      </c>
      <c r="CP34" s="53">
        <f>volume!CP34</f>
        <v>19</v>
      </c>
      <c r="CQ34" s="53">
        <f>volume!CQ34</f>
        <v>1</v>
      </c>
      <c r="CR34" s="53">
        <f>volume!CR34</f>
        <v>2</v>
      </c>
      <c r="CS34" s="53">
        <f>volume!CS34</f>
        <v>1</v>
      </c>
      <c r="CT34" s="54">
        <f>volume!CT34</f>
        <v>0</v>
      </c>
      <c r="CU34" s="49">
        <f t="shared" si="13"/>
        <v>119</v>
      </c>
      <c r="CV34" s="52">
        <f>volume!CV34</f>
        <v>0</v>
      </c>
      <c r="CW34" s="53">
        <f>volume!CW34</f>
        <v>0</v>
      </c>
      <c r="CX34" s="53">
        <f>volume!CX34</f>
        <v>0</v>
      </c>
      <c r="CY34" s="53">
        <f>volume!CY34</f>
        <v>0</v>
      </c>
      <c r="CZ34" s="53">
        <f>volume!CZ34</f>
        <v>0</v>
      </c>
      <c r="DA34" s="54">
        <f>volume!DA34</f>
        <v>0</v>
      </c>
      <c r="DB34" s="49">
        <f t="shared" si="14"/>
        <v>0</v>
      </c>
      <c r="DC34" s="52">
        <f>volume!DC34</f>
        <v>0</v>
      </c>
      <c r="DD34" s="53">
        <f>volume!DD34</f>
        <v>0</v>
      </c>
      <c r="DE34" s="53">
        <f>volume!DE34</f>
        <v>0</v>
      </c>
      <c r="DF34" s="53">
        <f>volume!DF34</f>
        <v>0</v>
      </c>
      <c r="DG34" s="53">
        <f>volume!DG34</f>
        <v>0</v>
      </c>
      <c r="DH34" s="54">
        <f>volume!DH34</f>
        <v>0</v>
      </c>
      <c r="DI34" s="49">
        <f t="shared" si="15"/>
        <v>0</v>
      </c>
      <c r="DJ34" s="52">
        <f>volume!DJ34</f>
        <v>0</v>
      </c>
      <c r="DK34" s="53">
        <f>volume!DK34</f>
        <v>0</v>
      </c>
      <c r="DL34" s="53">
        <f>volume!DL34</f>
        <v>0</v>
      </c>
      <c r="DM34" s="53">
        <f>volume!DM34</f>
        <v>0</v>
      </c>
      <c r="DN34" s="53">
        <f>volume!DN34</f>
        <v>0</v>
      </c>
      <c r="DO34" s="54">
        <f>volume!DO34</f>
        <v>0</v>
      </c>
      <c r="DP34" s="50">
        <f t="shared" si="16"/>
        <v>0</v>
      </c>
      <c r="DQ34" s="52">
        <f>volume!DQ34</f>
        <v>0</v>
      </c>
      <c r="DR34" s="53">
        <f>volume!DR34</f>
        <v>0</v>
      </c>
      <c r="DS34" s="53">
        <f>volume!DS34</f>
        <v>0</v>
      </c>
      <c r="DT34" s="53">
        <f>volume!DT34</f>
        <v>0</v>
      </c>
      <c r="DU34" s="53">
        <f>volume!DU34</f>
        <v>0</v>
      </c>
      <c r="DV34" s="54">
        <f>volume!DV34</f>
        <v>0</v>
      </c>
      <c r="DW34" s="50">
        <f t="shared" si="17"/>
        <v>0</v>
      </c>
      <c r="DX34" s="52">
        <f>volume!DX34</f>
        <v>0</v>
      </c>
      <c r="DY34" s="53">
        <f>volume!DY34</f>
        <v>0</v>
      </c>
      <c r="DZ34" s="53">
        <f>volume!DZ34</f>
        <v>0</v>
      </c>
      <c r="EA34" s="53">
        <f>volume!EA34</f>
        <v>0</v>
      </c>
      <c r="EB34" s="53">
        <f>volume!EB34</f>
        <v>0</v>
      </c>
      <c r="EC34" s="54">
        <f>volume!EC34</f>
        <v>0</v>
      </c>
      <c r="ED34" s="50">
        <f t="shared" si="18"/>
        <v>0</v>
      </c>
      <c r="EE34" s="273"/>
      <c r="EF34" s="273"/>
      <c r="EG34" s="273"/>
      <c r="EH34" s="273"/>
      <c r="EI34" s="273"/>
      <c r="EJ34" s="273"/>
      <c r="EK34" s="273"/>
      <c r="EL34" s="52">
        <f>volume!EL34</f>
        <v>0</v>
      </c>
      <c r="EM34" s="53">
        <f>volume!EM34</f>
        <v>0</v>
      </c>
      <c r="EN34" s="53">
        <f>volume!EN34</f>
        <v>0</v>
      </c>
      <c r="EO34" s="53">
        <f>volume!EO34</f>
        <v>0</v>
      </c>
      <c r="EP34" s="53">
        <f>volume!EP34</f>
        <v>0</v>
      </c>
      <c r="EQ34" s="54">
        <f>volume!EQ34</f>
        <v>0</v>
      </c>
      <c r="ER34" s="50">
        <f t="shared" si="19"/>
        <v>0</v>
      </c>
      <c r="ES34" s="52">
        <f>volume!ES34</f>
        <v>0</v>
      </c>
      <c r="ET34" s="53">
        <f>volume!ET34</f>
        <v>0</v>
      </c>
      <c r="EU34" s="53">
        <f>volume!EU34</f>
        <v>0</v>
      </c>
      <c r="EV34" s="53">
        <f>volume!EV34</f>
        <v>0</v>
      </c>
      <c r="EW34" s="53">
        <f>volume!EW34</f>
        <v>0</v>
      </c>
      <c r="EX34" s="54">
        <f>volume!EX34</f>
        <v>0</v>
      </c>
      <c r="EY34" s="50">
        <f t="shared" si="20"/>
        <v>0</v>
      </c>
      <c r="EZ34" s="52">
        <f>volume!EZ34</f>
        <v>0</v>
      </c>
      <c r="FA34" s="53">
        <f>volume!FA34</f>
        <v>0</v>
      </c>
      <c r="FB34" s="53">
        <f>volume!FB34</f>
        <v>0</v>
      </c>
      <c r="FC34" s="53">
        <f>volume!FC34</f>
        <v>0</v>
      </c>
      <c r="FD34" s="53">
        <f>volume!FD34</f>
        <v>0</v>
      </c>
      <c r="FE34" s="54">
        <f>volume!FE34</f>
        <v>0</v>
      </c>
      <c r="FF34" s="50">
        <f t="shared" si="21"/>
        <v>0</v>
      </c>
      <c r="FG34" s="273"/>
      <c r="FH34" s="273"/>
      <c r="FI34" s="273"/>
      <c r="FJ34" s="273"/>
      <c r="FK34" s="273"/>
      <c r="FL34" s="273"/>
      <c r="FM34" s="273"/>
      <c r="FN34" s="52">
        <f>volume!FN34</f>
        <v>0</v>
      </c>
      <c r="FO34" s="53">
        <f>volume!FO34</f>
        <v>0</v>
      </c>
      <c r="FP34" s="53">
        <f>volume!FP34</f>
        <v>0</v>
      </c>
      <c r="FQ34" s="53">
        <f>volume!FQ34</f>
        <v>0</v>
      </c>
      <c r="FR34" s="53">
        <f>volume!FR34</f>
        <v>0</v>
      </c>
      <c r="FS34" s="54">
        <f>volume!FS34</f>
        <v>0</v>
      </c>
      <c r="FT34" s="50">
        <f t="shared" si="22"/>
        <v>0</v>
      </c>
      <c r="FU34" s="52">
        <f>volume!FU34</f>
        <v>0</v>
      </c>
      <c r="FV34" s="53">
        <f>volume!FV34</f>
        <v>0</v>
      </c>
      <c r="FW34" s="53">
        <f>volume!FW34</f>
        <v>0</v>
      </c>
      <c r="FX34" s="53">
        <f>volume!FX34</f>
        <v>0</v>
      </c>
      <c r="FY34" s="53">
        <f>volume!FY34</f>
        <v>0</v>
      </c>
      <c r="FZ34" s="54">
        <f>volume!FZ34</f>
        <v>0</v>
      </c>
      <c r="GA34" s="50">
        <f t="shared" si="23"/>
        <v>0</v>
      </c>
      <c r="GB34" s="52">
        <f>volume!GB34</f>
        <v>0</v>
      </c>
      <c r="GC34" s="53">
        <f>volume!GC34</f>
        <v>0</v>
      </c>
      <c r="GD34" s="53">
        <f>volume!GD34</f>
        <v>0</v>
      </c>
      <c r="GE34" s="53">
        <f>volume!GE34</f>
        <v>0</v>
      </c>
      <c r="GF34" s="53">
        <f>volume!GF34</f>
        <v>0</v>
      </c>
      <c r="GG34" s="54">
        <f>volume!GG34</f>
        <v>0</v>
      </c>
      <c r="GH34" s="50">
        <f t="shared" si="24"/>
        <v>0</v>
      </c>
      <c r="GI34" s="273"/>
      <c r="GJ34" s="273"/>
      <c r="GK34" s="273"/>
      <c r="GL34" s="273"/>
      <c r="GM34" s="273"/>
      <c r="GN34" s="273"/>
      <c r="GO34" s="273"/>
      <c r="GP34" s="52">
        <f>volume!GP34</f>
        <v>0</v>
      </c>
      <c r="GQ34" s="53">
        <f>volume!GQ34</f>
        <v>0</v>
      </c>
      <c r="GR34" s="53">
        <f>volume!GR34</f>
        <v>0</v>
      </c>
      <c r="GS34" s="53">
        <f>volume!GS34</f>
        <v>0</v>
      </c>
      <c r="GT34" s="53">
        <f>volume!GT34</f>
        <v>0</v>
      </c>
      <c r="GU34" s="54">
        <f>volume!GU34</f>
        <v>0</v>
      </c>
      <c r="GV34" s="50">
        <f t="shared" si="25"/>
        <v>0</v>
      </c>
      <c r="GW34" s="52">
        <f>volume!GW34</f>
        <v>0</v>
      </c>
      <c r="GX34" s="53">
        <f>volume!GX34</f>
        <v>0</v>
      </c>
      <c r="GY34" s="53">
        <f>volume!GY34</f>
        <v>0</v>
      </c>
      <c r="GZ34" s="53">
        <f>volume!GZ34</f>
        <v>0</v>
      </c>
      <c r="HA34" s="53">
        <f>volume!HA34</f>
        <v>0</v>
      </c>
      <c r="HB34" s="54">
        <f>volume!HB34</f>
        <v>0</v>
      </c>
      <c r="HC34" s="50">
        <f t="shared" si="26"/>
        <v>0</v>
      </c>
      <c r="HD34" s="52">
        <f>volume!HD34</f>
        <v>0</v>
      </c>
      <c r="HE34" s="53">
        <f>volume!HE34</f>
        <v>0</v>
      </c>
      <c r="HF34" s="53">
        <f>volume!HF34</f>
        <v>0</v>
      </c>
      <c r="HG34" s="53">
        <f>volume!HG34</f>
        <v>0</v>
      </c>
      <c r="HH34" s="53">
        <f>volume!HH34</f>
        <v>0</v>
      </c>
      <c r="HI34" s="54">
        <f>volume!HI34</f>
        <v>0</v>
      </c>
      <c r="HJ34" s="50">
        <f t="shared" si="27"/>
        <v>0</v>
      </c>
    </row>
    <row r="35" spans="1:218" ht="21.75" customHeight="1" x14ac:dyDescent="0.6">
      <c r="A35" s="44" t="s">
        <v>90</v>
      </c>
      <c r="B35" s="45">
        <f>volume!B35</f>
        <v>39</v>
      </c>
      <c r="C35" s="46">
        <f>volume!C35</f>
        <v>10</v>
      </c>
      <c r="D35" s="46">
        <f>volume!D35</f>
        <v>0</v>
      </c>
      <c r="E35" s="46">
        <f>volume!E35</f>
        <v>0</v>
      </c>
      <c r="F35" s="46">
        <f>volume!F35</f>
        <v>0</v>
      </c>
      <c r="G35" s="47">
        <f>volume!G35</f>
        <v>0</v>
      </c>
      <c r="H35" s="48">
        <f t="shared" si="0"/>
        <v>49</v>
      </c>
      <c r="I35" s="45">
        <f>volume!I35</f>
        <v>39</v>
      </c>
      <c r="J35" s="46">
        <f>volume!J35</f>
        <v>8</v>
      </c>
      <c r="K35" s="46">
        <f>volume!K35</f>
        <v>0</v>
      </c>
      <c r="L35" s="46">
        <f>volume!L35</f>
        <v>0</v>
      </c>
      <c r="M35" s="46">
        <f>volume!M35</f>
        <v>0</v>
      </c>
      <c r="N35" s="47">
        <f>volume!N35</f>
        <v>0</v>
      </c>
      <c r="O35" s="49">
        <f t="shared" si="1"/>
        <v>47</v>
      </c>
      <c r="P35" s="45">
        <f>volume!P35</f>
        <v>18</v>
      </c>
      <c r="Q35" s="46">
        <f>volume!Q35</f>
        <v>7</v>
      </c>
      <c r="R35" s="46">
        <f>volume!R35</f>
        <v>0</v>
      </c>
      <c r="S35" s="46">
        <f>volume!S35</f>
        <v>0</v>
      </c>
      <c r="T35" s="46">
        <f>volume!T35</f>
        <v>1</v>
      </c>
      <c r="U35" s="47">
        <f>volume!U35</f>
        <v>0</v>
      </c>
      <c r="V35" s="49">
        <f t="shared" si="2"/>
        <v>26</v>
      </c>
      <c r="W35" s="45">
        <f>volume!W35</f>
        <v>0</v>
      </c>
      <c r="X35" s="46">
        <f>volume!X35</f>
        <v>0</v>
      </c>
      <c r="Y35" s="46">
        <f>volume!Y35</f>
        <v>0</v>
      </c>
      <c r="Z35" s="46">
        <f>volume!Z35</f>
        <v>0</v>
      </c>
      <c r="AA35" s="46">
        <f>volume!AA35</f>
        <v>0</v>
      </c>
      <c r="AB35" s="47">
        <f>volume!AB35</f>
        <v>0</v>
      </c>
      <c r="AC35" s="49">
        <f t="shared" si="3"/>
        <v>0</v>
      </c>
      <c r="AD35" s="45">
        <f>volume!AD35</f>
        <v>42</v>
      </c>
      <c r="AE35" s="46">
        <f>volume!AE35</f>
        <v>16</v>
      </c>
      <c r="AF35" s="46">
        <f>volume!AF35</f>
        <v>0</v>
      </c>
      <c r="AG35" s="46">
        <f>volume!AG35</f>
        <v>0</v>
      </c>
      <c r="AH35" s="46">
        <f>volume!AH35</f>
        <v>0</v>
      </c>
      <c r="AI35" s="47">
        <f>volume!AI35</f>
        <v>0</v>
      </c>
      <c r="AJ35" s="49">
        <f t="shared" si="4"/>
        <v>58</v>
      </c>
      <c r="AK35" s="45">
        <f>volume!AK35</f>
        <v>152</v>
      </c>
      <c r="AL35" s="46">
        <f>volume!AL35</f>
        <v>48</v>
      </c>
      <c r="AM35" s="46">
        <f>volume!AM35</f>
        <v>0</v>
      </c>
      <c r="AN35" s="46">
        <f>volume!AN35</f>
        <v>0</v>
      </c>
      <c r="AO35" s="46">
        <f>volume!AO35</f>
        <v>4</v>
      </c>
      <c r="AP35" s="47">
        <f>volume!AP35</f>
        <v>0</v>
      </c>
      <c r="AQ35" s="49">
        <f t="shared" si="5"/>
        <v>204</v>
      </c>
      <c r="AR35" s="45">
        <f>volume!AR35</f>
        <v>24</v>
      </c>
      <c r="AS35" s="46">
        <f>volume!AS35</f>
        <v>8</v>
      </c>
      <c r="AT35" s="46">
        <f>volume!AT35</f>
        <v>0</v>
      </c>
      <c r="AU35" s="46">
        <f>volume!AU35</f>
        <v>0</v>
      </c>
      <c r="AV35" s="46">
        <f>volume!AV35</f>
        <v>0</v>
      </c>
      <c r="AW35" s="47">
        <f>volume!AW35</f>
        <v>0</v>
      </c>
      <c r="AX35" s="49">
        <f t="shared" si="6"/>
        <v>32</v>
      </c>
      <c r="AY35" s="45">
        <f>volume!AY35</f>
        <v>49</v>
      </c>
      <c r="AZ35" s="46">
        <f>volume!AZ35</f>
        <v>24</v>
      </c>
      <c r="BA35" s="46">
        <f>volume!BA35</f>
        <v>0</v>
      </c>
      <c r="BB35" s="46">
        <f>volume!BB35</f>
        <v>0</v>
      </c>
      <c r="BC35" s="46">
        <f>volume!BC35</f>
        <v>0</v>
      </c>
      <c r="BD35" s="47">
        <f>volume!BD35</f>
        <v>0</v>
      </c>
      <c r="BE35" s="49">
        <f t="shared" si="7"/>
        <v>73</v>
      </c>
      <c r="BF35" s="45">
        <f>volume!BF35</f>
        <v>2</v>
      </c>
      <c r="BG35" s="46">
        <f>volume!BG35</f>
        <v>3</v>
      </c>
      <c r="BH35" s="46">
        <f>volume!BH35</f>
        <v>0</v>
      </c>
      <c r="BI35" s="46">
        <f>volume!BI35</f>
        <v>0</v>
      </c>
      <c r="BJ35" s="46">
        <f>volume!BJ35</f>
        <v>1</v>
      </c>
      <c r="BK35" s="47">
        <f>volume!BK35</f>
        <v>0</v>
      </c>
      <c r="BL35" s="49">
        <f t="shared" si="8"/>
        <v>6</v>
      </c>
      <c r="BM35" s="45">
        <f>volume!BM35</f>
        <v>61</v>
      </c>
      <c r="BN35" s="46">
        <f>volume!BN35</f>
        <v>14</v>
      </c>
      <c r="BO35" s="46">
        <f>volume!BO35</f>
        <v>0</v>
      </c>
      <c r="BP35" s="46">
        <f>volume!BP35</f>
        <v>0</v>
      </c>
      <c r="BQ35" s="46">
        <f>volume!BQ35</f>
        <v>1</v>
      </c>
      <c r="BR35" s="47">
        <f>volume!BR35</f>
        <v>0</v>
      </c>
      <c r="BS35" s="49">
        <f t="shared" si="9"/>
        <v>76</v>
      </c>
      <c r="BT35" s="45">
        <f>volume!BT35</f>
        <v>62</v>
      </c>
      <c r="BU35" s="46">
        <f>volume!BU35</f>
        <v>4</v>
      </c>
      <c r="BV35" s="46">
        <f>volume!BV35</f>
        <v>0</v>
      </c>
      <c r="BW35" s="46">
        <f>volume!BW35</f>
        <v>0</v>
      </c>
      <c r="BX35" s="46">
        <f>volume!BX35</f>
        <v>0</v>
      </c>
      <c r="BY35" s="47">
        <f>volume!BY35</f>
        <v>0</v>
      </c>
      <c r="BZ35" s="49">
        <f t="shared" si="10"/>
        <v>66</v>
      </c>
      <c r="CA35" s="45">
        <f>volume!CA35</f>
        <v>0</v>
      </c>
      <c r="CB35" s="46">
        <f>volume!CB35</f>
        <v>0</v>
      </c>
      <c r="CC35" s="46">
        <f>volume!CC35</f>
        <v>0</v>
      </c>
      <c r="CD35" s="46">
        <f>volume!CD35</f>
        <v>0</v>
      </c>
      <c r="CE35" s="46">
        <f>volume!CE35</f>
        <v>0</v>
      </c>
      <c r="CF35" s="47">
        <f>volume!CF35</f>
        <v>0</v>
      </c>
      <c r="CG35" s="49">
        <f t="shared" si="11"/>
        <v>0</v>
      </c>
      <c r="CH35" s="45">
        <f>volume!CH35</f>
        <v>29</v>
      </c>
      <c r="CI35" s="46">
        <f>volume!CI35</f>
        <v>7</v>
      </c>
      <c r="CJ35" s="46">
        <f>volume!CJ35</f>
        <v>0</v>
      </c>
      <c r="CK35" s="46">
        <f>volume!CK35</f>
        <v>0</v>
      </c>
      <c r="CL35" s="46">
        <f>volume!CL35</f>
        <v>0</v>
      </c>
      <c r="CM35" s="47">
        <f>volume!CM35</f>
        <v>0</v>
      </c>
      <c r="CN35" s="49">
        <f t="shared" si="12"/>
        <v>36</v>
      </c>
      <c r="CO35" s="45">
        <f>volume!CO35</f>
        <v>93</v>
      </c>
      <c r="CP35" s="46">
        <f>volume!CP35</f>
        <v>22</v>
      </c>
      <c r="CQ35" s="46">
        <f>volume!CQ35</f>
        <v>0</v>
      </c>
      <c r="CR35" s="46">
        <f>volume!CR35</f>
        <v>0</v>
      </c>
      <c r="CS35" s="46">
        <f>volume!CS35</f>
        <v>0</v>
      </c>
      <c r="CT35" s="47">
        <f>volume!CT35</f>
        <v>0</v>
      </c>
      <c r="CU35" s="49">
        <f t="shared" si="13"/>
        <v>115</v>
      </c>
      <c r="CV35" s="45">
        <f>volume!CV35</f>
        <v>0</v>
      </c>
      <c r="CW35" s="46">
        <f>volume!CW35</f>
        <v>0</v>
      </c>
      <c r="CX35" s="46">
        <f>volume!CX35</f>
        <v>0</v>
      </c>
      <c r="CY35" s="46">
        <f>volume!CY35</f>
        <v>0</v>
      </c>
      <c r="CZ35" s="46">
        <f>volume!CZ35</f>
        <v>0</v>
      </c>
      <c r="DA35" s="47">
        <f>volume!DA35</f>
        <v>0</v>
      </c>
      <c r="DB35" s="49">
        <f t="shared" si="14"/>
        <v>0</v>
      </c>
      <c r="DC35" s="45">
        <f>volume!DC35</f>
        <v>0</v>
      </c>
      <c r="DD35" s="46">
        <f>volume!DD35</f>
        <v>0</v>
      </c>
      <c r="DE35" s="46">
        <f>volume!DE35</f>
        <v>0</v>
      </c>
      <c r="DF35" s="46">
        <f>volume!DF35</f>
        <v>0</v>
      </c>
      <c r="DG35" s="46">
        <f>volume!DG35</f>
        <v>0</v>
      </c>
      <c r="DH35" s="47">
        <f>volume!DH35</f>
        <v>0</v>
      </c>
      <c r="DI35" s="49">
        <f t="shared" si="15"/>
        <v>0</v>
      </c>
      <c r="DJ35" s="45">
        <f>volume!DJ35</f>
        <v>0</v>
      </c>
      <c r="DK35" s="46">
        <f>volume!DK35</f>
        <v>0</v>
      </c>
      <c r="DL35" s="46">
        <f>volume!DL35</f>
        <v>0</v>
      </c>
      <c r="DM35" s="46">
        <f>volume!DM35</f>
        <v>0</v>
      </c>
      <c r="DN35" s="46">
        <f>volume!DN35</f>
        <v>0</v>
      </c>
      <c r="DO35" s="47">
        <f>volume!DO35</f>
        <v>0</v>
      </c>
      <c r="DP35" s="50">
        <f t="shared" si="16"/>
        <v>0</v>
      </c>
      <c r="DQ35" s="45">
        <f>volume!DQ35</f>
        <v>0</v>
      </c>
      <c r="DR35" s="46">
        <f>volume!DR35</f>
        <v>0</v>
      </c>
      <c r="DS35" s="46">
        <f>volume!DS35</f>
        <v>0</v>
      </c>
      <c r="DT35" s="46">
        <f>volume!DT35</f>
        <v>0</v>
      </c>
      <c r="DU35" s="46">
        <f>volume!DU35</f>
        <v>0</v>
      </c>
      <c r="DV35" s="47">
        <f>volume!DV35</f>
        <v>0</v>
      </c>
      <c r="DW35" s="50">
        <f t="shared" si="17"/>
        <v>0</v>
      </c>
      <c r="DX35" s="45">
        <f>volume!DX35</f>
        <v>0</v>
      </c>
      <c r="DY35" s="46">
        <f>volume!DY35</f>
        <v>0</v>
      </c>
      <c r="DZ35" s="46">
        <f>volume!DZ35</f>
        <v>0</v>
      </c>
      <c r="EA35" s="46">
        <f>volume!EA35</f>
        <v>0</v>
      </c>
      <c r="EB35" s="46">
        <f>volume!EB35</f>
        <v>0</v>
      </c>
      <c r="EC35" s="47">
        <f>volume!EC35</f>
        <v>0</v>
      </c>
      <c r="ED35" s="50">
        <f t="shared" si="18"/>
        <v>0</v>
      </c>
      <c r="EE35" s="272"/>
      <c r="EF35" s="272"/>
      <c r="EG35" s="272"/>
      <c r="EH35" s="272"/>
      <c r="EI35" s="272"/>
      <c r="EJ35" s="272"/>
      <c r="EK35" s="272"/>
      <c r="EL35" s="45">
        <f>volume!EL35</f>
        <v>0</v>
      </c>
      <c r="EM35" s="46">
        <f>volume!EM35</f>
        <v>0</v>
      </c>
      <c r="EN35" s="46">
        <f>volume!EN35</f>
        <v>0</v>
      </c>
      <c r="EO35" s="46">
        <f>volume!EO35</f>
        <v>0</v>
      </c>
      <c r="EP35" s="46">
        <f>volume!EP35</f>
        <v>0</v>
      </c>
      <c r="EQ35" s="47">
        <f>volume!EQ35</f>
        <v>0</v>
      </c>
      <c r="ER35" s="50">
        <f t="shared" si="19"/>
        <v>0</v>
      </c>
      <c r="ES35" s="45">
        <f>volume!ES35</f>
        <v>0</v>
      </c>
      <c r="ET35" s="46">
        <f>volume!ET35</f>
        <v>0</v>
      </c>
      <c r="EU35" s="46">
        <f>volume!EU35</f>
        <v>0</v>
      </c>
      <c r="EV35" s="46">
        <f>volume!EV35</f>
        <v>0</v>
      </c>
      <c r="EW35" s="46">
        <f>volume!EW35</f>
        <v>0</v>
      </c>
      <c r="EX35" s="47">
        <f>volume!EX35</f>
        <v>0</v>
      </c>
      <c r="EY35" s="50">
        <f t="shared" si="20"/>
        <v>0</v>
      </c>
      <c r="EZ35" s="45">
        <f>volume!EZ35</f>
        <v>0</v>
      </c>
      <c r="FA35" s="46">
        <f>volume!FA35</f>
        <v>0</v>
      </c>
      <c r="FB35" s="46">
        <f>volume!FB35</f>
        <v>0</v>
      </c>
      <c r="FC35" s="46">
        <f>volume!FC35</f>
        <v>0</v>
      </c>
      <c r="FD35" s="46">
        <f>volume!FD35</f>
        <v>0</v>
      </c>
      <c r="FE35" s="47">
        <f>volume!FE35</f>
        <v>0</v>
      </c>
      <c r="FF35" s="50">
        <f t="shared" si="21"/>
        <v>0</v>
      </c>
      <c r="FG35" s="272"/>
      <c r="FH35" s="272"/>
      <c r="FI35" s="272"/>
      <c r="FJ35" s="272"/>
      <c r="FK35" s="272"/>
      <c r="FL35" s="272"/>
      <c r="FM35" s="272"/>
      <c r="FN35" s="45">
        <f>volume!FN35</f>
        <v>0</v>
      </c>
      <c r="FO35" s="46">
        <f>volume!FO35</f>
        <v>0</v>
      </c>
      <c r="FP35" s="46">
        <f>volume!FP35</f>
        <v>0</v>
      </c>
      <c r="FQ35" s="46">
        <f>volume!FQ35</f>
        <v>0</v>
      </c>
      <c r="FR35" s="46">
        <f>volume!FR35</f>
        <v>0</v>
      </c>
      <c r="FS35" s="47">
        <f>volume!FS35</f>
        <v>0</v>
      </c>
      <c r="FT35" s="50">
        <f t="shared" si="22"/>
        <v>0</v>
      </c>
      <c r="FU35" s="45">
        <f>volume!FU35</f>
        <v>0</v>
      </c>
      <c r="FV35" s="46">
        <f>volume!FV35</f>
        <v>0</v>
      </c>
      <c r="FW35" s="46">
        <f>volume!FW35</f>
        <v>0</v>
      </c>
      <c r="FX35" s="46">
        <f>volume!FX35</f>
        <v>0</v>
      </c>
      <c r="FY35" s="46">
        <f>volume!FY35</f>
        <v>0</v>
      </c>
      <c r="FZ35" s="47">
        <f>volume!FZ35</f>
        <v>0</v>
      </c>
      <c r="GA35" s="50">
        <f t="shared" si="23"/>
        <v>0</v>
      </c>
      <c r="GB35" s="45">
        <f>volume!GB35</f>
        <v>0</v>
      </c>
      <c r="GC35" s="46">
        <f>volume!GC35</f>
        <v>0</v>
      </c>
      <c r="GD35" s="46">
        <f>volume!GD35</f>
        <v>0</v>
      </c>
      <c r="GE35" s="46">
        <f>volume!GE35</f>
        <v>0</v>
      </c>
      <c r="GF35" s="46">
        <f>volume!GF35</f>
        <v>0</v>
      </c>
      <c r="GG35" s="47">
        <f>volume!GG35</f>
        <v>0</v>
      </c>
      <c r="GH35" s="50">
        <f t="shared" si="24"/>
        <v>0</v>
      </c>
      <c r="GI35" s="272"/>
      <c r="GJ35" s="272"/>
      <c r="GK35" s="272"/>
      <c r="GL35" s="272"/>
      <c r="GM35" s="272"/>
      <c r="GN35" s="272"/>
      <c r="GO35" s="272"/>
      <c r="GP35" s="45">
        <f>volume!GP35</f>
        <v>0</v>
      </c>
      <c r="GQ35" s="46">
        <f>volume!GQ35</f>
        <v>0</v>
      </c>
      <c r="GR35" s="46">
        <f>volume!GR35</f>
        <v>0</v>
      </c>
      <c r="GS35" s="46">
        <f>volume!GS35</f>
        <v>0</v>
      </c>
      <c r="GT35" s="46">
        <f>volume!GT35</f>
        <v>0</v>
      </c>
      <c r="GU35" s="47">
        <f>volume!GU35</f>
        <v>0</v>
      </c>
      <c r="GV35" s="50">
        <f t="shared" si="25"/>
        <v>0</v>
      </c>
      <c r="GW35" s="45">
        <f>volume!GW35</f>
        <v>0</v>
      </c>
      <c r="GX35" s="46">
        <f>volume!GX35</f>
        <v>0</v>
      </c>
      <c r="GY35" s="46">
        <f>volume!GY35</f>
        <v>0</v>
      </c>
      <c r="GZ35" s="46">
        <f>volume!GZ35</f>
        <v>0</v>
      </c>
      <c r="HA35" s="46">
        <f>volume!HA35</f>
        <v>0</v>
      </c>
      <c r="HB35" s="47">
        <f>volume!HB35</f>
        <v>0</v>
      </c>
      <c r="HC35" s="50">
        <f t="shared" si="26"/>
        <v>0</v>
      </c>
      <c r="HD35" s="45">
        <f>volume!HD35</f>
        <v>0</v>
      </c>
      <c r="HE35" s="46">
        <f>volume!HE35</f>
        <v>0</v>
      </c>
      <c r="HF35" s="46">
        <f>volume!HF35</f>
        <v>0</v>
      </c>
      <c r="HG35" s="46">
        <f>volume!HG35</f>
        <v>0</v>
      </c>
      <c r="HH35" s="46">
        <f>volume!HH35</f>
        <v>0</v>
      </c>
      <c r="HI35" s="47">
        <f>volume!HI35</f>
        <v>0</v>
      </c>
      <c r="HJ35" s="50">
        <f t="shared" si="27"/>
        <v>0</v>
      </c>
    </row>
    <row r="36" spans="1:218" ht="21.75" customHeight="1" x14ac:dyDescent="0.6">
      <c r="A36" s="51" t="s">
        <v>91</v>
      </c>
      <c r="B36" s="52">
        <f>volume!B36</f>
        <v>34</v>
      </c>
      <c r="C36" s="53">
        <f>volume!C36</f>
        <v>10</v>
      </c>
      <c r="D36" s="53">
        <f>volume!D36</f>
        <v>0</v>
      </c>
      <c r="E36" s="53">
        <f>volume!E36</f>
        <v>0</v>
      </c>
      <c r="F36" s="53">
        <f>volume!F36</f>
        <v>0</v>
      </c>
      <c r="G36" s="54">
        <f>volume!G36</f>
        <v>0</v>
      </c>
      <c r="H36" s="48">
        <f t="shared" si="0"/>
        <v>44</v>
      </c>
      <c r="I36" s="52">
        <f>volume!I36</f>
        <v>42</v>
      </c>
      <c r="J36" s="53">
        <f>volume!J36</f>
        <v>11</v>
      </c>
      <c r="K36" s="53">
        <f>volume!K36</f>
        <v>0</v>
      </c>
      <c r="L36" s="53">
        <f>volume!L36</f>
        <v>0</v>
      </c>
      <c r="M36" s="53">
        <f>volume!M36</f>
        <v>0</v>
      </c>
      <c r="N36" s="54">
        <f>volume!N36</f>
        <v>0</v>
      </c>
      <c r="O36" s="49">
        <f t="shared" si="1"/>
        <v>53</v>
      </c>
      <c r="P36" s="52">
        <f>volume!P36</f>
        <v>27</v>
      </c>
      <c r="Q36" s="53">
        <f>volume!Q36</f>
        <v>10</v>
      </c>
      <c r="R36" s="53">
        <f>volume!R36</f>
        <v>0</v>
      </c>
      <c r="S36" s="53">
        <f>volume!S36</f>
        <v>0</v>
      </c>
      <c r="T36" s="53">
        <f>volume!T36</f>
        <v>0</v>
      </c>
      <c r="U36" s="54">
        <f>volume!U36</f>
        <v>0</v>
      </c>
      <c r="V36" s="49">
        <f t="shared" si="2"/>
        <v>37</v>
      </c>
      <c r="W36" s="52">
        <f>volume!W36</f>
        <v>0</v>
      </c>
      <c r="X36" s="53">
        <f>volume!X36</f>
        <v>0</v>
      </c>
      <c r="Y36" s="53">
        <f>volume!Y36</f>
        <v>0</v>
      </c>
      <c r="Z36" s="53">
        <f>volume!Z36</f>
        <v>0</v>
      </c>
      <c r="AA36" s="53">
        <f>volume!AA36</f>
        <v>0</v>
      </c>
      <c r="AB36" s="54">
        <f>volume!AB36</f>
        <v>0</v>
      </c>
      <c r="AC36" s="49">
        <f t="shared" si="3"/>
        <v>0</v>
      </c>
      <c r="AD36" s="52">
        <f>volume!AD36</f>
        <v>53</v>
      </c>
      <c r="AE36" s="53">
        <f>volume!AE36</f>
        <v>13</v>
      </c>
      <c r="AF36" s="53">
        <f>volume!AF36</f>
        <v>0</v>
      </c>
      <c r="AG36" s="53">
        <f>volume!AG36</f>
        <v>0</v>
      </c>
      <c r="AH36" s="53">
        <f>volume!AH36</f>
        <v>0</v>
      </c>
      <c r="AI36" s="54">
        <f>volume!AI36</f>
        <v>0</v>
      </c>
      <c r="AJ36" s="49">
        <f t="shared" si="4"/>
        <v>66</v>
      </c>
      <c r="AK36" s="52">
        <f>volume!AK36</f>
        <v>141</v>
      </c>
      <c r="AL36" s="53">
        <f>volume!AL36</f>
        <v>53</v>
      </c>
      <c r="AM36" s="53">
        <f>volume!AM36</f>
        <v>1</v>
      </c>
      <c r="AN36" s="53">
        <f>volume!AN36</f>
        <v>0</v>
      </c>
      <c r="AO36" s="53">
        <f>volume!AO36</f>
        <v>3</v>
      </c>
      <c r="AP36" s="54">
        <f>volume!AP36</f>
        <v>0</v>
      </c>
      <c r="AQ36" s="49">
        <f t="shared" si="5"/>
        <v>198</v>
      </c>
      <c r="AR36" s="52">
        <f>volume!AR36</f>
        <v>21</v>
      </c>
      <c r="AS36" s="53">
        <f>volume!AS36</f>
        <v>9</v>
      </c>
      <c r="AT36" s="53">
        <f>volume!AT36</f>
        <v>0</v>
      </c>
      <c r="AU36" s="53">
        <f>volume!AU36</f>
        <v>0</v>
      </c>
      <c r="AV36" s="53">
        <f>volume!AV36</f>
        <v>0</v>
      </c>
      <c r="AW36" s="54">
        <f>volume!AW36</f>
        <v>0</v>
      </c>
      <c r="AX36" s="49">
        <f t="shared" si="6"/>
        <v>30</v>
      </c>
      <c r="AY36" s="52">
        <f>volume!AY36</f>
        <v>39</v>
      </c>
      <c r="AZ36" s="53">
        <f>volume!AZ36</f>
        <v>19</v>
      </c>
      <c r="BA36" s="53">
        <f>volume!BA36</f>
        <v>1</v>
      </c>
      <c r="BB36" s="53">
        <f>volume!BB36</f>
        <v>0</v>
      </c>
      <c r="BC36" s="53">
        <f>volume!BC36</f>
        <v>0</v>
      </c>
      <c r="BD36" s="54">
        <f>volume!BD36</f>
        <v>0</v>
      </c>
      <c r="BE36" s="49">
        <f t="shared" si="7"/>
        <v>59</v>
      </c>
      <c r="BF36" s="52">
        <f>volume!BF36</f>
        <v>8</v>
      </c>
      <c r="BG36" s="53">
        <f>volume!BG36</f>
        <v>1</v>
      </c>
      <c r="BH36" s="53">
        <f>volume!BH36</f>
        <v>0</v>
      </c>
      <c r="BI36" s="53">
        <f>volume!BI36</f>
        <v>0</v>
      </c>
      <c r="BJ36" s="53">
        <f>volume!BJ36</f>
        <v>0</v>
      </c>
      <c r="BK36" s="54">
        <f>volume!BK36</f>
        <v>0</v>
      </c>
      <c r="BL36" s="49">
        <f t="shared" si="8"/>
        <v>9</v>
      </c>
      <c r="BM36" s="52">
        <f>volume!BM36</f>
        <v>52</v>
      </c>
      <c r="BN36" s="53">
        <f>volume!BN36</f>
        <v>12</v>
      </c>
      <c r="BO36" s="53">
        <f>volume!BO36</f>
        <v>0</v>
      </c>
      <c r="BP36" s="53">
        <f>volume!BP36</f>
        <v>0</v>
      </c>
      <c r="BQ36" s="53">
        <f>volume!BQ36</f>
        <v>0</v>
      </c>
      <c r="BR36" s="54">
        <f>volume!BR36</f>
        <v>0</v>
      </c>
      <c r="BS36" s="49">
        <f t="shared" si="9"/>
        <v>64</v>
      </c>
      <c r="BT36" s="52">
        <f>volume!BT36</f>
        <v>42</v>
      </c>
      <c r="BU36" s="53">
        <f>volume!BU36</f>
        <v>7</v>
      </c>
      <c r="BV36" s="53">
        <f>volume!BV36</f>
        <v>0</v>
      </c>
      <c r="BW36" s="53">
        <f>volume!BW36</f>
        <v>0</v>
      </c>
      <c r="BX36" s="53">
        <f>volume!BX36</f>
        <v>0</v>
      </c>
      <c r="BY36" s="54">
        <f>volume!BY36</f>
        <v>0</v>
      </c>
      <c r="BZ36" s="49">
        <f t="shared" si="10"/>
        <v>49</v>
      </c>
      <c r="CA36" s="52">
        <f>volume!CA36</f>
        <v>0</v>
      </c>
      <c r="CB36" s="53">
        <f>volume!CB36</f>
        <v>0</v>
      </c>
      <c r="CC36" s="53">
        <f>volume!CC36</f>
        <v>0</v>
      </c>
      <c r="CD36" s="53">
        <f>volume!CD36</f>
        <v>0</v>
      </c>
      <c r="CE36" s="53">
        <f>volume!CE36</f>
        <v>0</v>
      </c>
      <c r="CF36" s="54">
        <f>volume!CF36</f>
        <v>0</v>
      </c>
      <c r="CG36" s="49">
        <f t="shared" si="11"/>
        <v>0</v>
      </c>
      <c r="CH36" s="52">
        <f>volume!CH36</f>
        <v>38</v>
      </c>
      <c r="CI36" s="53">
        <f>volume!CI36</f>
        <v>11</v>
      </c>
      <c r="CJ36" s="53">
        <f>volume!CJ36</f>
        <v>0</v>
      </c>
      <c r="CK36" s="53">
        <f>volume!CK36</f>
        <v>0</v>
      </c>
      <c r="CL36" s="53">
        <f>volume!CL36</f>
        <v>0</v>
      </c>
      <c r="CM36" s="54">
        <f>volume!CM36</f>
        <v>0</v>
      </c>
      <c r="CN36" s="49">
        <f t="shared" si="12"/>
        <v>49</v>
      </c>
      <c r="CO36" s="52">
        <f>volume!CO36</f>
        <v>119</v>
      </c>
      <c r="CP36" s="53">
        <f>volume!CP36</f>
        <v>24</v>
      </c>
      <c r="CQ36" s="53">
        <f>volume!CQ36</f>
        <v>1</v>
      </c>
      <c r="CR36" s="53">
        <f>volume!CR36</f>
        <v>0</v>
      </c>
      <c r="CS36" s="53">
        <f>volume!CS36</f>
        <v>0</v>
      </c>
      <c r="CT36" s="54">
        <f>volume!CT36</f>
        <v>0</v>
      </c>
      <c r="CU36" s="49">
        <f t="shared" si="13"/>
        <v>144</v>
      </c>
      <c r="CV36" s="52">
        <f>volume!CV36</f>
        <v>0</v>
      </c>
      <c r="CW36" s="53">
        <f>volume!CW36</f>
        <v>0</v>
      </c>
      <c r="CX36" s="53">
        <f>volume!CX36</f>
        <v>0</v>
      </c>
      <c r="CY36" s="53">
        <f>volume!CY36</f>
        <v>0</v>
      </c>
      <c r="CZ36" s="53">
        <f>volume!CZ36</f>
        <v>0</v>
      </c>
      <c r="DA36" s="54">
        <f>volume!DA36</f>
        <v>0</v>
      </c>
      <c r="DB36" s="49">
        <f t="shared" si="14"/>
        <v>0</v>
      </c>
      <c r="DC36" s="52">
        <f>volume!DC36</f>
        <v>0</v>
      </c>
      <c r="DD36" s="53">
        <f>volume!DD36</f>
        <v>0</v>
      </c>
      <c r="DE36" s="53">
        <f>volume!DE36</f>
        <v>0</v>
      </c>
      <c r="DF36" s="53">
        <f>volume!DF36</f>
        <v>0</v>
      </c>
      <c r="DG36" s="53">
        <f>volume!DG36</f>
        <v>0</v>
      </c>
      <c r="DH36" s="54">
        <f>volume!DH36</f>
        <v>0</v>
      </c>
      <c r="DI36" s="49">
        <f t="shared" si="15"/>
        <v>0</v>
      </c>
      <c r="DJ36" s="52">
        <f>volume!DJ36</f>
        <v>0</v>
      </c>
      <c r="DK36" s="53">
        <f>volume!DK36</f>
        <v>0</v>
      </c>
      <c r="DL36" s="53">
        <f>volume!DL36</f>
        <v>0</v>
      </c>
      <c r="DM36" s="53">
        <f>volume!DM36</f>
        <v>0</v>
      </c>
      <c r="DN36" s="53">
        <f>volume!DN36</f>
        <v>0</v>
      </c>
      <c r="DO36" s="54">
        <f>volume!DO36</f>
        <v>0</v>
      </c>
      <c r="DP36" s="50">
        <f t="shared" si="16"/>
        <v>0</v>
      </c>
      <c r="DQ36" s="52">
        <f>volume!DQ36</f>
        <v>0</v>
      </c>
      <c r="DR36" s="53">
        <f>volume!DR36</f>
        <v>0</v>
      </c>
      <c r="DS36" s="53">
        <f>volume!DS36</f>
        <v>0</v>
      </c>
      <c r="DT36" s="53">
        <f>volume!DT36</f>
        <v>0</v>
      </c>
      <c r="DU36" s="53">
        <f>volume!DU36</f>
        <v>0</v>
      </c>
      <c r="DV36" s="54">
        <f>volume!DV36</f>
        <v>0</v>
      </c>
      <c r="DW36" s="50">
        <f t="shared" si="17"/>
        <v>0</v>
      </c>
      <c r="DX36" s="52">
        <f>volume!DX36</f>
        <v>0</v>
      </c>
      <c r="DY36" s="53">
        <f>volume!DY36</f>
        <v>0</v>
      </c>
      <c r="DZ36" s="53">
        <f>volume!DZ36</f>
        <v>0</v>
      </c>
      <c r="EA36" s="53">
        <f>volume!EA36</f>
        <v>0</v>
      </c>
      <c r="EB36" s="53">
        <f>volume!EB36</f>
        <v>0</v>
      </c>
      <c r="EC36" s="54">
        <f>volume!EC36</f>
        <v>0</v>
      </c>
      <c r="ED36" s="50">
        <f t="shared" si="18"/>
        <v>0</v>
      </c>
      <c r="EE36" s="273"/>
      <c r="EF36" s="273"/>
      <c r="EG36" s="273"/>
      <c r="EH36" s="273"/>
      <c r="EI36" s="273"/>
      <c r="EJ36" s="273"/>
      <c r="EK36" s="273"/>
      <c r="EL36" s="52">
        <f>volume!EL36</f>
        <v>0</v>
      </c>
      <c r="EM36" s="53">
        <f>volume!EM36</f>
        <v>0</v>
      </c>
      <c r="EN36" s="53">
        <f>volume!EN36</f>
        <v>0</v>
      </c>
      <c r="EO36" s="53">
        <f>volume!EO36</f>
        <v>0</v>
      </c>
      <c r="EP36" s="53">
        <f>volume!EP36</f>
        <v>0</v>
      </c>
      <c r="EQ36" s="54">
        <f>volume!EQ36</f>
        <v>0</v>
      </c>
      <c r="ER36" s="50">
        <f t="shared" si="19"/>
        <v>0</v>
      </c>
      <c r="ES36" s="52">
        <f>volume!ES36</f>
        <v>0</v>
      </c>
      <c r="ET36" s="53">
        <f>volume!ET36</f>
        <v>0</v>
      </c>
      <c r="EU36" s="53">
        <f>volume!EU36</f>
        <v>0</v>
      </c>
      <c r="EV36" s="53">
        <f>volume!EV36</f>
        <v>0</v>
      </c>
      <c r="EW36" s="53">
        <f>volume!EW36</f>
        <v>0</v>
      </c>
      <c r="EX36" s="54">
        <f>volume!EX36</f>
        <v>0</v>
      </c>
      <c r="EY36" s="50">
        <f t="shared" si="20"/>
        <v>0</v>
      </c>
      <c r="EZ36" s="52">
        <f>volume!EZ36</f>
        <v>0</v>
      </c>
      <c r="FA36" s="53">
        <f>volume!FA36</f>
        <v>0</v>
      </c>
      <c r="FB36" s="53">
        <f>volume!FB36</f>
        <v>0</v>
      </c>
      <c r="FC36" s="53">
        <f>volume!FC36</f>
        <v>0</v>
      </c>
      <c r="FD36" s="53">
        <f>volume!FD36</f>
        <v>0</v>
      </c>
      <c r="FE36" s="54">
        <f>volume!FE36</f>
        <v>0</v>
      </c>
      <c r="FF36" s="50">
        <f t="shared" si="21"/>
        <v>0</v>
      </c>
      <c r="FG36" s="273"/>
      <c r="FH36" s="273"/>
      <c r="FI36" s="273"/>
      <c r="FJ36" s="273"/>
      <c r="FK36" s="273"/>
      <c r="FL36" s="273"/>
      <c r="FM36" s="273"/>
      <c r="FN36" s="52">
        <f>volume!FN36</f>
        <v>0</v>
      </c>
      <c r="FO36" s="53">
        <f>volume!FO36</f>
        <v>0</v>
      </c>
      <c r="FP36" s="53">
        <f>volume!FP36</f>
        <v>0</v>
      </c>
      <c r="FQ36" s="53">
        <f>volume!FQ36</f>
        <v>0</v>
      </c>
      <c r="FR36" s="53">
        <f>volume!FR36</f>
        <v>0</v>
      </c>
      <c r="FS36" s="54">
        <f>volume!FS36</f>
        <v>0</v>
      </c>
      <c r="FT36" s="50">
        <f t="shared" si="22"/>
        <v>0</v>
      </c>
      <c r="FU36" s="52">
        <f>volume!FU36</f>
        <v>0</v>
      </c>
      <c r="FV36" s="53">
        <f>volume!FV36</f>
        <v>0</v>
      </c>
      <c r="FW36" s="53">
        <f>volume!FW36</f>
        <v>0</v>
      </c>
      <c r="FX36" s="53">
        <f>volume!FX36</f>
        <v>0</v>
      </c>
      <c r="FY36" s="53">
        <f>volume!FY36</f>
        <v>0</v>
      </c>
      <c r="FZ36" s="54">
        <f>volume!FZ36</f>
        <v>0</v>
      </c>
      <c r="GA36" s="50">
        <f t="shared" si="23"/>
        <v>0</v>
      </c>
      <c r="GB36" s="52">
        <f>volume!GB36</f>
        <v>0</v>
      </c>
      <c r="GC36" s="53">
        <f>volume!GC36</f>
        <v>0</v>
      </c>
      <c r="GD36" s="53">
        <f>volume!GD36</f>
        <v>0</v>
      </c>
      <c r="GE36" s="53">
        <f>volume!GE36</f>
        <v>0</v>
      </c>
      <c r="GF36" s="53">
        <f>volume!GF36</f>
        <v>0</v>
      </c>
      <c r="GG36" s="54">
        <f>volume!GG36</f>
        <v>0</v>
      </c>
      <c r="GH36" s="50">
        <f t="shared" si="24"/>
        <v>0</v>
      </c>
      <c r="GI36" s="273"/>
      <c r="GJ36" s="273"/>
      <c r="GK36" s="273"/>
      <c r="GL36" s="273"/>
      <c r="GM36" s="273"/>
      <c r="GN36" s="273"/>
      <c r="GO36" s="273"/>
      <c r="GP36" s="52">
        <f>volume!GP36</f>
        <v>0</v>
      </c>
      <c r="GQ36" s="53">
        <f>volume!GQ36</f>
        <v>0</v>
      </c>
      <c r="GR36" s="53">
        <f>volume!GR36</f>
        <v>0</v>
      </c>
      <c r="GS36" s="53">
        <f>volume!GS36</f>
        <v>0</v>
      </c>
      <c r="GT36" s="53">
        <f>volume!GT36</f>
        <v>0</v>
      </c>
      <c r="GU36" s="54">
        <f>volume!GU36</f>
        <v>0</v>
      </c>
      <c r="GV36" s="50">
        <f t="shared" si="25"/>
        <v>0</v>
      </c>
      <c r="GW36" s="52">
        <f>volume!GW36</f>
        <v>0</v>
      </c>
      <c r="GX36" s="53">
        <f>volume!GX36</f>
        <v>0</v>
      </c>
      <c r="GY36" s="53">
        <f>volume!GY36</f>
        <v>0</v>
      </c>
      <c r="GZ36" s="53">
        <f>volume!GZ36</f>
        <v>0</v>
      </c>
      <c r="HA36" s="53">
        <f>volume!HA36</f>
        <v>0</v>
      </c>
      <c r="HB36" s="54">
        <f>volume!HB36</f>
        <v>0</v>
      </c>
      <c r="HC36" s="50">
        <f t="shared" si="26"/>
        <v>0</v>
      </c>
      <c r="HD36" s="52">
        <f>volume!HD36</f>
        <v>0</v>
      </c>
      <c r="HE36" s="53">
        <f>volume!HE36</f>
        <v>0</v>
      </c>
      <c r="HF36" s="53">
        <f>volume!HF36</f>
        <v>0</v>
      </c>
      <c r="HG36" s="53">
        <f>volume!HG36</f>
        <v>0</v>
      </c>
      <c r="HH36" s="53">
        <f>volume!HH36</f>
        <v>0</v>
      </c>
      <c r="HI36" s="54">
        <f>volume!HI36</f>
        <v>0</v>
      </c>
      <c r="HJ36" s="50">
        <f t="shared" si="27"/>
        <v>0</v>
      </c>
    </row>
    <row r="37" spans="1:218" ht="21.75" customHeight="1" x14ac:dyDescent="0.6">
      <c r="A37" s="51" t="s">
        <v>92</v>
      </c>
      <c r="B37" s="52">
        <f>volume!B37</f>
        <v>42</v>
      </c>
      <c r="C37" s="53">
        <f>volume!C37</f>
        <v>7</v>
      </c>
      <c r="D37" s="53">
        <f>volume!D37</f>
        <v>1</v>
      </c>
      <c r="E37" s="53">
        <f>volume!E37</f>
        <v>0</v>
      </c>
      <c r="F37" s="53">
        <f>volume!F37</f>
        <v>1</v>
      </c>
      <c r="G37" s="54">
        <f>volume!G37</f>
        <v>3</v>
      </c>
      <c r="H37" s="48">
        <f t="shared" si="0"/>
        <v>54</v>
      </c>
      <c r="I37" s="52">
        <f>volume!I37</f>
        <v>40</v>
      </c>
      <c r="J37" s="53">
        <f>volume!J37</f>
        <v>12</v>
      </c>
      <c r="K37" s="53">
        <f>volume!K37</f>
        <v>0</v>
      </c>
      <c r="L37" s="53">
        <f>volume!L37</f>
        <v>0</v>
      </c>
      <c r="M37" s="53">
        <f>volume!M37</f>
        <v>0</v>
      </c>
      <c r="N37" s="54">
        <f>volume!N37</f>
        <v>0</v>
      </c>
      <c r="O37" s="49">
        <f t="shared" si="1"/>
        <v>52</v>
      </c>
      <c r="P37" s="52">
        <f>volume!P37</f>
        <v>25</v>
      </c>
      <c r="Q37" s="53">
        <f>volume!Q37</f>
        <v>5</v>
      </c>
      <c r="R37" s="53">
        <f>volume!R37</f>
        <v>0</v>
      </c>
      <c r="S37" s="53">
        <f>volume!S37</f>
        <v>0</v>
      </c>
      <c r="T37" s="53">
        <f>volume!T37</f>
        <v>0</v>
      </c>
      <c r="U37" s="54">
        <f>volume!U37</f>
        <v>0</v>
      </c>
      <c r="V37" s="49">
        <f t="shared" si="2"/>
        <v>30</v>
      </c>
      <c r="W37" s="52">
        <f>volume!W37</f>
        <v>0</v>
      </c>
      <c r="X37" s="53">
        <f>volume!X37</f>
        <v>0</v>
      </c>
      <c r="Y37" s="53">
        <f>volume!Y37</f>
        <v>0</v>
      </c>
      <c r="Z37" s="53">
        <f>volume!Z37</f>
        <v>0</v>
      </c>
      <c r="AA37" s="53">
        <f>volume!AA37</f>
        <v>0</v>
      </c>
      <c r="AB37" s="54">
        <f>volume!AB37</f>
        <v>0</v>
      </c>
      <c r="AC37" s="49">
        <f t="shared" si="3"/>
        <v>0</v>
      </c>
      <c r="AD37" s="52">
        <f>volume!AD37</f>
        <v>57</v>
      </c>
      <c r="AE37" s="53">
        <f>volume!AE37</f>
        <v>19</v>
      </c>
      <c r="AF37" s="53">
        <f>volume!AF37</f>
        <v>0</v>
      </c>
      <c r="AG37" s="53">
        <f>volume!AG37</f>
        <v>0</v>
      </c>
      <c r="AH37" s="53">
        <f>volume!AH37</f>
        <v>0</v>
      </c>
      <c r="AI37" s="54">
        <f>volume!AI37</f>
        <v>0</v>
      </c>
      <c r="AJ37" s="49">
        <f t="shared" si="4"/>
        <v>76</v>
      </c>
      <c r="AK37" s="52">
        <f>volume!AK37</f>
        <v>168</v>
      </c>
      <c r="AL37" s="53">
        <f>volume!AL37</f>
        <v>44</v>
      </c>
      <c r="AM37" s="53">
        <f>volume!AM37</f>
        <v>0</v>
      </c>
      <c r="AN37" s="53">
        <f>volume!AN37</f>
        <v>1</v>
      </c>
      <c r="AO37" s="53">
        <f>volume!AO37</f>
        <v>5</v>
      </c>
      <c r="AP37" s="54">
        <f>volume!AP37</f>
        <v>1</v>
      </c>
      <c r="AQ37" s="49">
        <f t="shared" si="5"/>
        <v>219</v>
      </c>
      <c r="AR37" s="52">
        <f>volume!AR37</f>
        <v>29</v>
      </c>
      <c r="AS37" s="53">
        <f>volume!AS37</f>
        <v>6</v>
      </c>
      <c r="AT37" s="53">
        <f>volume!AT37</f>
        <v>0</v>
      </c>
      <c r="AU37" s="53">
        <f>volume!AU37</f>
        <v>0</v>
      </c>
      <c r="AV37" s="53">
        <f>volume!AV37</f>
        <v>0</v>
      </c>
      <c r="AW37" s="54">
        <f>volume!AW37</f>
        <v>0</v>
      </c>
      <c r="AX37" s="49">
        <f t="shared" si="6"/>
        <v>35</v>
      </c>
      <c r="AY37" s="52">
        <f>volume!AY37</f>
        <v>58</v>
      </c>
      <c r="AZ37" s="53">
        <f>volume!AZ37</f>
        <v>26</v>
      </c>
      <c r="BA37" s="53">
        <f>volume!BA37</f>
        <v>0</v>
      </c>
      <c r="BB37" s="53">
        <f>volume!BB37</f>
        <v>0</v>
      </c>
      <c r="BC37" s="53">
        <f>volume!BC37</f>
        <v>2</v>
      </c>
      <c r="BD37" s="54">
        <f>volume!BD37</f>
        <v>1</v>
      </c>
      <c r="BE37" s="49">
        <f t="shared" si="7"/>
        <v>87</v>
      </c>
      <c r="BF37" s="52">
        <f>volume!BF37</f>
        <v>3</v>
      </c>
      <c r="BG37" s="53">
        <f>volume!BG37</f>
        <v>0</v>
      </c>
      <c r="BH37" s="53">
        <f>volume!BH37</f>
        <v>0</v>
      </c>
      <c r="BI37" s="53">
        <f>volume!BI37</f>
        <v>0</v>
      </c>
      <c r="BJ37" s="53">
        <f>volume!BJ37</f>
        <v>0</v>
      </c>
      <c r="BK37" s="54">
        <f>volume!BK37</f>
        <v>0</v>
      </c>
      <c r="BL37" s="49">
        <f t="shared" si="8"/>
        <v>3</v>
      </c>
      <c r="BM37" s="52">
        <f>volume!BM37</f>
        <v>57</v>
      </c>
      <c r="BN37" s="53">
        <f>volume!BN37</f>
        <v>16</v>
      </c>
      <c r="BO37" s="53">
        <f>volume!BO37</f>
        <v>0</v>
      </c>
      <c r="BP37" s="53">
        <f>volume!BP37</f>
        <v>0</v>
      </c>
      <c r="BQ37" s="53">
        <f>volume!BQ37</f>
        <v>0</v>
      </c>
      <c r="BR37" s="54">
        <f>volume!BR37</f>
        <v>0</v>
      </c>
      <c r="BS37" s="49">
        <f t="shared" si="9"/>
        <v>73</v>
      </c>
      <c r="BT37" s="52">
        <f>volume!BT37</f>
        <v>37</v>
      </c>
      <c r="BU37" s="53">
        <f>volume!BU37</f>
        <v>19</v>
      </c>
      <c r="BV37" s="53">
        <f>volume!BV37</f>
        <v>0</v>
      </c>
      <c r="BW37" s="53">
        <f>volume!BW37</f>
        <v>0</v>
      </c>
      <c r="BX37" s="53">
        <f>volume!BX37</f>
        <v>0</v>
      </c>
      <c r="BY37" s="54">
        <f>volume!BY37</f>
        <v>0</v>
      </c>
      <c r="BZ37" s="49">
        <f t="shared" si="10"/>
        <v>56</v>
      </c>
      <c r="CA37" s="52">
        <f>volume!CA37</f>
        <v>0</v>
      </c>
      <c r="CB37" s="53">
        <f>volume!CB37</f>
        <v>0</v>
      </c>
      <c r="CC37" s="53">
        <f>volume!CC37</f>
        <v>0</v>
      </c>
      <c r="CD37" s="53">
        <f>volume!CD37</f>
        <v>0</v>
      </c>
      <c r="CE37" s="53">
        <f>volume!CE37</f>
        <v>0</v>
      </c>
      <c r="CF37" s="54">
        <f>volume!CF37</f>
        <v>0</v>
      </c>
      <c r="CG37" s="49">
        <f t="shared" si="11"/>
        <v>0</v>
      </c>
      <c r="CH37" s="52">
        <f>volume!CH37</f>
        <v>42</v>
      </c>
      <c r="CI37" s="53">
        <f>volume!CI37</f>
        <v>12</v>
      </c>
      <c r="CJ37" s="53">
        <f>volume!CJ37</f>
        <v>0</v>
      </c>
      <c r="CK37" s="53">
        <f>volume!CK37</f>
        <v>0</v>
      </c>
      <c r="CL37" s="53">
        <f>volume!CL37</f>
        <v>1</v>
      </c>
      <c r="CM37" s="54">
        <f>volume!CM37</f>
        <v>0</v>
      </c>
      <c r="CN37" s="49">
        <f t="shared" si="12"/>
        <v>55</v>
      </c>
      <c r="CO37" s="52">
        <f>volume!CO37</f>
        <v>103</v>
      </c>
      <c r="CP37" s="53">
        <f>volume!CP37</f>
        <v>28</v>
      </c>
      <c r="CQ37" s="53">
        <f>volume!CQ37</f>
        <v>0</v>
      </c>
      <c r="CR37" s="53">
        <f>volume!CR37</f>
        <v>0</v>
      </c>
      <c r="CS37" s="53">
        <f>volume!CS37</f>
        <v>2</v>
      </c>
      <c r="CT37" s="54">
        <f>volume!CT37</f>
        <v>1</v>
      </c>
      <c r="CU37" s="49">
        <f t="shared" si="13"/>
        <v>134</v>
      </c>
      <c r="CV37" s="52">
        <f>volume!CV37</f>
        <v>0</v>
      </c>
      <c r="CW37" s="53">
        <f>volume!CW37</f>
        <v>0</v>
      </c>
      <c r="CX37" s="53">
        <f>volume!CX37</f>
        <v>0</v>
      </c>
      <c r="CY37" s="53">
        <f>volume!CY37</f>
        <v>0</v>
      </c>
      <c r="CZ37" s="53">
        <f>volume!CZ37</f>
        <v>0</v>
      </c>
      <c r="DA37" s="54">
        <f>volume!DA37</f>
        <v>0</v>
      </c>
      <c r="DB37" s="49">
        <f t="shared" si="14"/>
        <v>0</v>
      </c>
      <c r="DC37" s="52">
        <f>volume!DC37</f>
        <v>0</v>
      </c>
      <c r="DD37" s="53">
        <f>volume!DD37</f>
        <v>0</v>
      </c>
      <c r="DE37" s="53">
        <f>volume!DE37</f>
        <v>0</v>
      </c>
      <c r="DF37" s="53">
        <f>volume!DF37</f>
        <v>0</v>
      </c>
      <c r="DG37" s="53">
        <f>volume!DG37</f>
        <v>0</v>
      </c>
      <c r="DH37" s="54">
        <f>volume!DH37</f>
        <v>0</v>
      </c>
      <c r="DI37" s="49">
        <f t="shared" si="15"/>
        <v>0</v>
      </c>
      <c r="DJ37" s="52">
        <f>volume!DJ37</f>
        <v>0</v>
      </c>
      <c r="DK37" s="53">
        <f>volume!DK37</f>
        <v>0</v>
      </c>
      <c r="DL37" s="53">
        <f>volume!DL37</f>
        <v>0</v>
      </c>
      <c r="DM37" s="53">
        <f>volume!DM37</f>
        <v>0</v>
      </c>
      <c r="DN37" s="53">
        <f>volume!DN37</f>
        <v>0</v>
      </c>
      <c r="DO37" s="54">
        <f>volume!DO37</f>
        <v>0</v>
      </c>
      <c r="DP37" s="50">
        <f t="shared" si="16"/>
        <v>0</v>
      </c>
      <c r="DQ37" s="52">
        <f>volume!DQ37</f>
        <v>0</v>
      </c>
      <c r="DR37" s="53">
        <f>volume!DR37</f>
        <v>0</v>
      </c>
      <c r="DS37" s="53">
        <f>volume!DS37</f>
        <v>0</v>
      </c>
      <c r="DT37" s="53">
        <f>volume!DT37</f>
        <v>0</v>
      </c>
      <c r="DU37" s="53">
        <f>volume!DU37</f>
        <v>0</v>
      </c>
      <c r="DV37" s="54">
        <f>volume!DV37</f>
        <v>0</v>
      </c>
      <c r="DW37" s="50">
        <f t="shared" si="17"/>
        <v>0</v>
      </c>
      <c r="DX37" s="52">
        <f>volume!DX37</f>
        <v>0</v>
      </c>
      <c r="DY37" s="53">
        <f>volume!DY37</f>
        <v>0</v>
      </c>
      <c r="DZ37" s="53">
        <f>volume!DZ37</f>
        <v>0</v>
      </c>
      <c r="EA37" s="53">
        <f>volume!EA37</f>
        <v>0</v>
      </c>
      <c r="EB37" s="53">
        <f>volume!EB37</f>
        <v>0</v>
      </c>
      <c r="EC37" s="54">
        <f>volume!EC37</f>
        <v>0</v>
      </c>
      <c r="ED37" s="50">
        <f t="shared" si="18"/>
        <v>0</v>
      </c>
      <c r="EE37" s="273"/>
      <c r="EF37" s="273"/>
      <c r="EG37" s="273"/>
      <c r="EH37" s="273"/>
      <c r="EI37" s="273"/>
      <c r="EJ37" s="273"/>
      <c r="EK37" s="273"/>
      <c r="EL37" s="52">
        <f>volume!EL37</f>
        <v>0</v>
      </c>
      <c r="EM37" s="53">
        <f>volume!EM37</f>
        <v>0</v>
      </c>
      <c r="EN37" s="53">
        <f>volume!EN37</f>
        <v>0</v>
      </c>
      <c r="EO37" s="53">
        <f>volume!EO37</f>
        <v>0</v>
      </c>
      <c r="EP37" s="53">
        <f>volume!EP37</f>
        <v>0</v>
      </c>
      <c r="EQ37" s="54">
        <f>volume!EQ37</f>
        <v>0</v>
      </c>
      <c r="ER37" s="50">
        <f t="shared" si="19"/>
        <v>0</v>
      </c>
      <c r="ES37" s="52">
        <f>volume!ES37</f>
        <v>0</v>
      </c>
      <c r="ET37" s="53">
        <f>volume!ET37</f>
        <v>0</v>
      </c>
      <c r="EU37" s="53">
        <f>volume!EU37</f>
        <v>0</v>
      </c>
      <c r="EV37" s="53">
        <f>volume!EV37</f>
        <v>0</v>
      </c>
      <c r="EW37" s="53">
        <f>volume!EW37</f>
        <v>0</v>
      </c>
      <c r="EX37" s="54">
        <f>volume!EX37</f>
        <v>0</v>
      </c>
      <c r="EY37" s="50">
        <f t="shared" si="20"/>
        <v>0</v>
      </c>
      <c r="EZ37" s="52">
        <f>volume!EZ37</f>
        <v>0</v>
      </c>
      <c r="FA37" s="53">
        <f>volume!FA37</f>
        <v>0</v>
      </c>
      <c r="FB37" s="53">
        <f>volume!FB37</f>
        <v>0</v>
      </c>
      <c r="FC37" s="53">
        <f>volume!FC37</f>
        <v>0</v>
      </c>
      <c r="FD37" s="53">
        <f>volume!FD37</f>
        <v>0</v>
      </c>
      <c r="FE37" s="54">
        <f>volume!FE37</f>
        <v>0</v>
      </c>
      <c r="FF37" s="50">
        <f t="shared" si="21"/>
        <v>0</v>
      </c>
      <c r="FG37" s="273"/>
      <c r="FH37" s="273"/>
      <c r="FI37" s="273"/>
      <c r="FJ37" s="273"/>
      <c r="FK37" s="273"/>
      <c r="FL37" s="273"/>
      <c r="FM37" s="273"/>
      <c r="FN37" s="52">
        <f>volume!FN37</f>
        <v>0</v>
      </c>
      <c r="FO37" s="53">
        <f>volume!FO37</f>
        <v>0</v>
      </c>
      <c r="FP37" s="53">
        <f>volume!FP37</f>
        <v>0</v>
      </c>
      <c r="FQ37" s="53">
        <f>volume!FQ37</f>
        <v>0</v>
      </c>
      <c r="FR37" s="53">
        <f>volume!FR37</f>
        <v>0</v>
      </c>
      <c r="FS37" s="54">
        <f>volume!FS37</f>
        <v>0</v>
      </c>
      <c r="FT37" s="50">
        <f t="shared" si="22"/>
        <v>0</v>
      </c>
      <c r="FU37" s="52">
        <f>volume!FU37</f>
        <v>0</v>
      </c>
      <c r="FV37" s="53">
        <f>volume!FV37</f>
        <v>0</v>
      </c>
      <c r="FW37" s="53">
        <f>volume!FW37</f>
        <v>0</v>
      </c>
      <c r="FX37" s="53">
        <f>volume!FX37</f>
        <v>0</v>
      </c>
      <c r="FY37" s="53">
        <f>volume!FY37</f>
        <v>0</v>
      </c>
      <c r="FZ37" s="54">
        <f>volume!FZ37</f>
        <v>0</v>
      </c>
      <c r="GA37" s="50">
        <f t="shared" si="23"/>
        <v>0</v>
      </c>
      <c r="GB37" s="52">
        <f>volume!GB37</f>
        <v>0</v>
      </c>
      <c r="GC37" s="53">
        <f>volume!GC37</f>
        <v>0</v>
      </c>
      <c r="GD37" s="53">
        <f>volume!GD37</f>
        <v>0</v>
      </c>
      <c r="GE37" s="53">
        <f>volume!GE37</f>
        <v>0</v>
      </c>
      <c r="GF37" s="53">
        <f>volume!GF37</f>
        <v>0</v>
      </c>
      <c r="GG37" s="54">
        <f>volume!GG37</f>
        <v>0</v>
      </c>
      <c r="GH37" s="50">
        <f t="shared" si="24"/>
        <v>0</v>
      </c>
      <c r="GI37" s="273"/>
      <c r="GJ37" s="273"/>
      <c r="GK37" s="273"/>
      <c r="GL37" s="273"/>
      <c r="GM37" s="273"/>
      <c r="GN37" s="273"/>
      <c r="GO37" s="273"/>
      <c r="GP37" s="52">
        <f>volume!GP37</f>
        <v>0</v>
      </c>
      <c r="GQ37" s="53">
        <f>volume!GQ37</f>
        <v>0</v>
      </c>
      <c r="GR37" s="53">
        <f>volume!GR37</f>
        <v>0</v>
      </c>
      <c r="GS37" s="53">
        <f>volume!GS37</f>
        <v>0</v>
      </c>
      <c r="GT37" s="53">
        <f>volume!GT37</f>
        <v>0</v>
      </c>
      <c r="GU37" s="54">
        <f>volume!GU37</f>
        <v>0</v>
      </c>
      <c r="GV37" s="50">
        <f t="shared" si="25"/>
        <v>0</v>
      </c>
      <c r="GW37" s="52">
        <f>volume!GW37</f>
        <v>0</v>
      </c>
      <c r="GX37" s="53">
        <f>volume!GX37</f>
        <v>0</v>
      </c>
      <c r="GY37" s="53">
        <f>volume!GY37</f>
        <v>0</v>
      </c>
      <c r="GZ37" s="53">
        <f>volume!GZ37</f>
        <v>0</v>
      </c>
      <c r="HA37" s="53">
        <f>volume!HA37</f>
        <v>0</v>
      </c>
      <c r="HB37" s="54">
        <f>volume!HB37</f>
        <v>0</v>
      </c>
      <c r="HC37" s="50">
        <f t="shared" si="26"/>
        <v>0</v>
      </c>
      <c r="HD37" s="52">
        <f>volume!HD37</f>
        <v>0</v>
      </c>
      <c r="HE37" s="53">
        <f>volume!HE37</f>
        <v>0</v>
      </c>
      <c r="HF37" s="53">
        <f>volume!HF37</f>
        <v>0</v>
      </c>
      <c r="HG37" s="53">
        <f>volume!HG37</f>
        <v>0</v>
      </c>
      <c r="HH37" s="53">
        <f>volume!HH37</f>
        <v>0</v>
      </c>
      <c r="HI37" s="54">
        <f>volume!HI37</f>
        <v>0</v>
      </c>
      <c r="HJ37" s="50">
        <f t="shared" si="27"/>
        <v>0</v>
      </c>
    </row>
    <row r="38" spans="1:218" ht="21.75" customHeight="1" x14ac:dyDescent="0.6">
      <c r="A38" s="55" t="s">
        <v>93</v>
      </c>
      <c r="B38" s="52">
        <f>volume!B38</f>
        <v>35</v>
      </c>
      <c r="C38" s="53">
        <f>volume!C38</f>
        <v>11</v>
      </c>
      <c r="D38" s="53">
        <f>volume!D38</f>
        <v>0</v>
      </c>
      <c r="E38" s="53">
        <f>volume!E38</f>
        <v>0</v>
      </c>
      <c r="F38" s="53">
        <f>volume!F38</f>
        <v>0</v>
      </c>
      <c r="G38" s="54">
        <f>volume!G38</f>
        <v>0</v>
      </c>
      <c r="H38" s="48">
        <f t="shared" si="0"/>
        <v>46</v>
      </c>
      <c r="I38" s="52">
        <f>volume!I38</f>
        <v>37</v>
      </c>
      <c r="J38" s="53">
        <f>volume!J38</f>
        <v>9</v>
      </c>
      <c r="K38" s="53">
        <f>volume!K38</f>
        <v>0</v>
      </c>
      <c r="L38" s="53">
        <f>volume!L38</f>
        <v>0</v>
      </c>
      <c r="M38" s="53">
        <f>volume!M38</f>
        <v>0</v>
      </c>
      <c r="N38" s="54">
        <f>volume!N38</f>
        <v>0</v>
      </c>
      <c r="O38" s="49">
        <f t="shared" si="1"/>
        <v>46</v>
      </c>
      <c r="P38" s="52">
        <f>volume!P38</f>
        <v>20</v>
      </c>
      <c r="Q38" s="53">
        <f>volume!Q38</f>
        <v>9</v>
      </c>
      <c r="R38" s="53">
        <f>volume!R38</f>
        <v>0</v>
      </c>
      <c r="S38" s="53">
        <f>volume!S38</f>
        <v>0</v>
      </c>
      <c r="T38" s="53">
        <f>volume!T38</f>
        <v>0</v>
      </c>
      <c r="U38" s="54">
        <f>volume!U38</f>
        <v>0</v>
      </c>
      <c r="V38" s="49">
        <f t="shared" si="2"/>
        <v>29</v>
      </c>
      <c r="W38" s="52">
        <f>volume!W38</f>
        <v>0</v>
      </c>
      <c r="X38" s="53">
        <f>volume!X38</f>
        <v>0</v>
      </c>
      <c r="Y38" s="53">
        <f>volume!Y38</f>
        <v>0</v>
      </c>
      <c r="Z38" s="53">
        <f>volume!Z38</f>
        <v>0</v>
      </c>
      <c r="AA38" s="53">
        <f>volume!AA38</f>
        <v>0</v>
      </c>
      <c r="AB38" s="54">
        <f>volume!AB38</f>
        <v>0</v>
      </c>
      <c r="AC38" s="49">
        <f t="shared" si="3"/>
        <v>0</v>
      </c>
      <c r="AD38" s="52">
        <f>volume!AD38</f>
        <v>49</v>
      </c>
      <c r="AE38" s="53">
        <f>volume!AE38</f>
        <v>21</v>
      </c>
      <c r="AF38" s="53">
        <f>volume!AF38</f>
        <v>0</v>
      </c>
      <c r="AG38" s="53">
        <f>volume!AG38</f>
        <v>0</v>
      </c>
      <c r="AH38" s="53">
        <f>volume!AH38</f>
        <v>1</v>
      </c>
      <c r="AI38" s="54">
        <f>volume!AI38</f>
        <v>0</v>
      </c>
      <c r="AJ38" s="49">
        <f t="shared" si="4"/>
        <v>71</v>
      </c>
      <c r="AK38" s="52">
        <f>volume!AK38</f>
        <v>137</v>
      </c>
      <c r="AL38" s="53">
        <f>volume!AL38</f>
        <v>57</v>
      </c>
      <c r="AM38" s="53">
        <f>volume!AM38</f>
        <v>1</v>
      </c>
      <c r="AN38" s="53">
        <f>volume!AN38</f>
        <v>0</v>
      </c>
      <c r="AO38" s="53">
        <f>volume!AO38</f>
        <v>4</v>
      </c>
      <c r="AP38" s="54">
        <f>volume!AP38</f>
        <v>0</v>
      </c>
      <c r="AQ38" s="49">
        <f t="shared" si="5"/>
        <v>199</v>
      </c>
      <c r="AR38" s="52">
        <f>volume!AR38</f>
        <v>33</v>
      </c>
      <c r="AS38" s="53">
        <f>volume!AS38</f>
        <v>8</v>
      </c>
      <c r="AT38" s="53">
        <f>volume!AT38</f>
        <v>0</v>
      </c>
      <c r="AU38" s="53">
        <f>volume!AU38</f>
        <v>0</v>
      </c>
      <c r="AV38" s="53">
        <f>volume!AV38</f>
        <v>0</v>
      </c>
      <c r="AW38" s="54">
        <f>volume!AW38</f>
        <v>0</v>
      </c>
      <c r="AX38" s="49">
        <f t="shared" si="6"/>
        <v>41</v>
      </c>
      <c r="AY38" s="52">
        <f>volume!AY38</f>
        <v>62</v>
      </c>
      <c r="AZ38" s="53">
        <f>volume!AZ38</f>
        <v>13</v>
      </c>
      <c r="BA38" s="53">
        <f>volume!BA38</f>
        <v>0</v>
      </c>
      <c r="BB38" s="53">
        <f>volume!BB38</f>
        <v>0</v>
      </c>
      <c r="BC38" s="53">
        <f>volume!BC38</f>
        <v>1</v>
      </c>
      <c r="BD38" s="54">
        <f>volume!BD38</f>
        <v>0</v>
      </c>
      <c r="BE38" s="49">
        <f t="shared" si="7"/>
        <v>76</v>
      </c>
      <c r="BF38" s="52">
        <f>volume!BF38</f>
        <v>5</v>
      </c>
      <c r="BG38" s="53">
        <f>volume!BG38</f>
        <v>0</v>
      </c>
      <c r="BH38" s="53">
        <f>volume!BH38</f>
        <v>0</v>
      </c>
      <c r="BI38" s="53">
        <f>volume!BI38</f>
        <v>0</v>
      </c>
      <c r="BJ38" s="53">
        <f>volume!BJ38</f>
        <v>0</v>
      </c>
      <c r="BK38" s="54">
        <f>volume!BK38</f>
        <v>0</v>
      </c>
      <c r="BL38" s="49">
        <f t="shared" si="8"/>
        <v>5</v>
      </c>
      <c r="BM38" s="52">
        <f>volume!BM38</f>
        <v>64</v>
      </c>
      <c r="BN38" s="53">
        <f>volume!BN38</f>
        <v>15</v>
      </c>
      <c r="BO38" s="53">
        <f>volume!BO38</f>
        <v>0</v>
      </c>
      <c r="BP38" s="53">
        <f>volume!BP38</f>
        <v>0</v>
      </c>
      <c r="BQ38" s="53">
        <f>volume!BQ38</f>
        <v>1</v>
      </c>
      <c r="BR38" s="54">
        <f>volume!BR38</f>
        <v>0</v>
      </c>
      <c r="BS38" s="49">
        <f t="shared" si="9"/>
        <v>80</v>
      </c>
      <c r="BT38" s="52">
        <f>volume!BT38</f>
        <v>51</v>
      </c>
      <c r="BU38" s="53">
        <f>volume!BU38</f>
        <v>12</v>
      </c>
      <c r="BV38" s="53">
        <f>volume!BV38</f>
        <v>0</v>
      </c>
      <c r="BW38" s="53">
        <f>volume!BW38</f>
        <v>0</v>
      </c>
      <c r="BX38" s="53">
        <f>volume!BX38</f>
        <v>0</v>
      </c>
      <c r="BY38" s="54">
        <f>volume!BY38</f>
        <v>0</v>
      </c>
      <c r="BZ38" s="49">
        <f t="shared" si="10"/>
        <v>63</v>
      </c>
      <c r="CA38" s="52">
        <f>volume!CA38</f>
        <v>0</v>
      </c>
      <c r="CB38" s="53">
        <f>volume!CB38</f>
        <v>0</v>
      </c>
      <c r="CC38" s="53">
        <f>volume!CC38</f>
        <v>0</v>
      </c>
      <c r="CD38" s="53">
        <f>volume!CD38</f>
        <v>0</v>
      </c>
      <c r="CE38" s="53">
        <f>volume!CE38</f>
        <v>0</v>
      </c>
      <c r="CF38" s="54">
        <f>volume!CF38</f>
        <v>0</v>
      </c>
      <c r="CG38" s="49">
        <f t="shared" si="11"/>
        <v>0</v>
      </c>
      <c r="CH38" s="52">
        <f>volume!CH38</f>
        <v>40</v>
      </c>
      <c r="CI38" s="53">
        <f>volume!CI38</f>
        <v>10</v>
      </c>
      <c r="CJ38" s="53">
        <f>volume!CJ38</f>
        <v>0</v>
      </c>
      <c r="CK38" s="53">
        <f>volume!CK38</f>
        <v>0</v>
      </c>
      <c r="CL38" s="53">
        <f>volume!CL38</f>
        <v>0</v>
      </c>
      <c r="CM38" s="54">
        <f>volume!CM38</f>
        <v>0</v>
      </c>
      <c r="CN38" s="49">
        <f t="shared" si="12"/>
        <v>50</v>
      </c>
      <c r="CO38" s="52">
        <f>volume!CO38</f>
        <v>117</v>
      </c>
      <c r="CP38" s="53">
        <f>volume!CP38</f>
        <v>20</v>
      </c>
      <c r="CQ38" s="53">
        <f>volume!CQ38</f>
        <v>0</v>
      </c>
      <c r="CR38" s="53">
        <f>volume!CR38</f>
        <v>0</v>
      </c>
      <c r="CS38" s="53">
        <f>volume!CS38</f>
        <v>2</v>
      </c>
      <c r="CT38" s="54">
        <f>volume!CT38</f>
        <v>0</v>
      </c>
      <c r="CU38" s="49">
        <f t="shared" si="13"/>
        <v>139</v>
      </c>
      <c r="CV38" s="52">
        <f>volume!CV38</f>
        <v>0</v>
      </c>
      <c r="CW38" s="53">
        <f>volume!CW38</f>
        <v>0</v>
      </c>
      <c r="CX38" s="53">
        <f>volume!CX38</f>
        <v>0</v>
      </c>
      <c r="CY38" s="53">
        <f>volume!CY38</f>
        <v>0</v>
      </c>
      <c r="CZ38" s="53">
        <f>volume!CZ38</f>
        <v>0</v>
      </c>
      <c r="DA38" s="54">
        <f>volume!DA38</f>
        <v>0</v>
      </c>
      <c r="DB38" s="49">
        <f t="shared" si="14"/>
        <v>0</v>
      </c>
      <c r="DC38" s="52">
        <f>volume!DC38</f>
        <v>0</v>
      </c>
      <c r="DD38" s="53">
        <f>volume!DD38</f>
        <v>0</v>
      </c>
      <c r="DE38" s="53">
        <f>volume!DE38</f>
        <v>0</v>
      </c>
      <c r="DF38" s="53">
        <f>volume!DF38</f>
        <v>0</v>
      </c>
      <c r="DG38" s="53">
        <f>volume!DG38</f>
        <v>0</v>
      </c>
      <c r="DH38" s="54">
        <f>volume!DH38</f>
        <v>0</v>
      </c>
      <c r="DI38" s="49">
        <f t="shared" si="15"/>
        <v>0</v>
      </c>
      <c r="DJ38" s="52">
        <f>volume!DJ38</f>
        <v>0</v>
      </c>
      <c r="DK38" s="53">
        <f>volume!DK38</f>
        <v>0</v>
      </c>
      <c r="DL38" s="53">
        <f>volume!DL38</f>
        <v>0</v>
      </c>
      <c r="DM38" s="53">
        <f>volume!DM38</f>
        <v>0</v>
      </c>
      <c r="DN38" s="53">
        <f>volume!DN38</f>
        <v>0</v>
      </c>
      <c r="DO38" s="54">
        <f>volume!DO38</f>
        <v>0</v>
      </c>
      <c r="DP38" s="50">
        <f t="shared" si="16"/>
        <v>0</v>
      </c>
      <c r="DQ38" s="52">
        <f>volume!DQ38</f>
        <v>0</v>
      </c>
      <c r="DR38" s="53">
        <f>volume!DR38</f>
        <v>0</v>
      </c>
      <c r="DS38" s="53">
        <f>volume!DS38</f>
        <v>0</v>
      </c>
      <c r="DT38" s="53">
        <f>volume!DT38</f>
        <v>0</v>
      </c>
      <c r="DU38" s="53">
        <f>volume!DU38</f>
        <v>0</v>
      </c>
      <c r="DV38" s="54">
        <f>volume!DV38</f>
        <v>0</v>
      </c>
      <c r="DW38" s="50">
        <f t="shared" si="17"/>
        <v>0</v>
      </c>
      <c r="DX38" s="52">
        <f>volume!DX38</f>
        <v>0</v>
      </c>
      <c r="DY38" s="53">
        <f>volume!DY38</f>
        <v>0</v>
      </c>
      <c r="DZ38" s="53">
        <f>volume!DZ38</f>
        <v>0</v>
      </c>
      <c r="EA38" s="53">
        <f>volume!EA38</f>
        <v>0</v>
      </c>
      <c r="EB38" s="53">
        <f>volume!EB38</f>
        <v>0</v>
      </c>
      <c r="EC38" s="54">
        <f>volume!EC38</f>
        <v>0</v>
      </c>
      <c r="ED38" s="50">
        <f t="shared" si="18"/>
        <v>0</v>
      </c>
      <c r="EE38" s="273"/>
      <c r="EF38" s="273"/>
      <c r="EG38" s="273"/>
      <c r="EH38" s="273"/>
      <c r="EI38" s="273"/>
      <c r="EJ38" s="273"/>
      <c r="EK38" s="273"/>
      <c r="EL38" s="52">
        <f>volume!EL38</f>
        <v>0</v>
      </c>
      <c r="EM38" s="53">
        <f>volume!EM38</f>
        <v>0</v>
      </c>
      <c r="EN38" s="53">
        <f>volume!EN38</f>
        <v>0</v>
      </c>
      <c r="EO38" s="53">
        <f>volume!EO38</f>
        <v>0</v>
      </c>
      <c r="EP38" s="53">
        <f>volume!EP38</f>
        <v>0</v>
      </c>
      <c r="EQ38" s="54">
        <f>volume!EQ38</f>
        <v>0</v>
      </c>
      <c r="ER38" s="50">
        <f t="shared" si="19"/>
        <v>0</v>
      </c>
      <c r="ES38" s="52">
        <f>volume!ES38</f>
        <v>0</v>
      </c>
      <c r="ET38" s="53">
        <f>volume!ET38</f>
        <v>0</v>
      </c>
      <c r="EU38" s="53">
        <f>volume!EU38</f>
        <v>0</v>
      </c>
      <c r="EV38" s="53">
        <f>volume!EV38</f>
        <v>0</v>
      </c>
      <c r="EW38" s="53">
        <f>volume!EW38</f>
        <v>0</v>
      </c>
      <c r="EX38" s="54">
        <f>volume!EX38</f>
        <v>0</v>
      </c>
      <c r="EY38" s="50">
        <f t="shared" si="20"/>
        <v>0</v>
      </c>
      <c r="EZ38" s="52">
        <f>volume!EZ38</f>
        <v>0</v>
      </c>
      <c r="FA38" s="53">
        <f>volume!FA38</f>
        <v>0</v>
      </c>
      <c r="FB38" s="53">
        <f>volume!FB38</f>
        <v>0</v>
      </c>
      <c r="FC38" s="53">
        <f>volume!FC38</f>
        <v>0</v>
      </c>
      <c r="FD38" s="53">
        <f>volume!FD38</f>
        <v>0</v>
      </c>
      <c r="FE38" s="54">
        <f>volume!FE38</f>
        <v>0</v>
      </c>
      <c r="FF38" s="50">
        <f t="shared" si="21"/>
        <v>0</v>
      </c>
      <c r="FG38" s="273"/>
      <c r="FH38" s="273"/>
      <c r="FI38" s="273"/>
      <c r="FJ38" s="273"/>
      <c r="FK38" s="273"/>
      <c r="FL38" s="273"/>
      <c r="FM38" s="273"/>
      <c r="FN38" s="52">
        <f>volume!FN38</f>
        <v>0</v>
      </c>
      <c r="FO38" s="53">
        <f>volume!FO38</f>
        <v>0</v>
      </c>
      <c r="FP38" s="53">
        <f>volume!FP38</f>
        <v>0</v>
      </c>
      <c r="FQ38" s="53">
        <f>volume!FQ38</f>
        <v>0</v>
      </c>
      <c r="FR38" s="53">
        <f>volume!FR38</f>
        <v>0</v>
      </c>
      <c r="FS38" s="54">
        <f>volume!FS38</f>
        <v>0</v>
      </c>
      <c r="FT38" s="50">
        <f t="shared" si="22"/>
        <v>0</v>
      </c>
      <c r="FU38" s="52">
        <f>volume!FU38</f>
        <v>0</v>
      </c>
      <c r="FV38" s="53">
        <f>volume!FV38</f>
        <v>0</v>
      </c>
      <c r="FW38" s="53">
        <f>volume!FW38</f>
        <v>0</v>
      </c>
      <c r="FX38" s="53">
        <f>volume!FX38</f>
        <v>0</v>
      </c>
      <c r="FY38" s="53">
        <f>volume!FY38</f>
        <v>0</v>
      </c>
      <c r="FZ38" s="54">
        <f>volume!FZ38</f>
        <v>0</v>
      </c>
      <c r="GA38" s="50">
        <f t="shared" si="23"/>
        <v>0</v>
      </c>
      <c r="GB38" s="52">
        <f>volume!GB38</f>
        <v>0</v>
      </c>
      <c r="GC38" s="53">
        <f>volume!GC38</f>
        <v>0</v>
      </c>
      <c r="GD38" s="53">
        <f>volume!GD38</f>
        <v>0</v>
      </c>
      <c r="GE38" s="53">
        <f>volume!GE38</f>
        <v>0</v>
      </c>
      <c r="GF38" s="53">
        <f>volume!GF38</f>
        <v>0</v>
      </c>
      <c r="GG38" s="54">
        <f>volume!GG38</f>
        <v>0</v>
      </c>
      <c r="GH38" s="50">
        <f t="shared" si="24"/>
        <v>0</v>
      </c>
      <c r="GI38" s="273"/>
      <c r="GJ38" s="273"/>
      <c r="GK38" s="273"/>
      <c r="GL38" s="273"/>
      <c r="GM38" s="273"/>
      <c r="GN38" s="273"/>
      <c r="GO38" s="273"/>
      <c r="GP38" s="52">
        <f>volume!GP38</f>
        <v>0</v>
      </c>
      <c r="GQ38" s="53">
        <f>volume!GQ38</f>
        <v>0</v>
      </c>
      <c r="GR38" s="53">
        <f>volume!GR38</f>
        <v>0</v>
      </c>
      <c r="GS38" s="53">
        <f>volume!GS38</f>
        <v>0</v>
      </c>
      <c r="GT38" s="53">
        <f>volume!GT38</f>
        <v>0</v>
      </c>
      <c r="GU38" s="54">
        <f>volume!GU38</f>
        <v>0</v>
      </c>
      <c r="GV38" s="50">
        <f t="shared" si="25"/>
        <v>0</v>
      </c>
      <c r="GW38" s="52">
        <f>volume!GW38</f>
        <v>0</v>
      </c>
      <c r="GX38" s="53">
        <f>volume!GX38</f>
        <v>0</v>
      </c>
      <c r="GY38" s="53">
        <f>volume!GY38</f>
        <v>0</v>
      </c>
      <c r="GZ38" s="53">
        <f>volume!GZ38</f>
        <v>0</v>
      </c>
      <c r="HA38" s="53">
        <f>volume!HA38</f>
        <v>0</v>
      </c>
      <c r="HB38" s="54">
        <f>volume!HB38</f>
        <v>0</v>
      </c>
      <c r="HC38" s="50">
        <f t="shared" si="26"/>
        <v>0</v>
      </c>
      <c r="HD38" s="52">
        <f>volume!HD38</f>
        <v>0</v>
      </c>
      <c r="HE38" s="53">
        <f>volume!HE38</f>
        <v>0</v>
      </c>
      <c r="HF38" s="53">
        <f>volume!HF38</f>
        <v>0</v>
      </c>
      <c r="HG38" s="53">
        <f>volume!HG38</f>
        <v>0</v>
      </c>
      <c r="HH38" s="53">
        <f>volume!HH38</f>
        <v>0</v>
      </c>
      <c r="HI38" s="54">
        <f>volume!HI38</f>
        <v>0</v>
      </c>
      <c r="HJ38" s="50">
        <f t="shared" si="27"/>
        <v>0</v>
      </c>
    </row>
    <row r="39" spans="1:218" ht="21.75" customHeight="1" x14ac:dyDescent="0.6">
      <c r="A39" s="44" t="s">
        <v>94</v>
      </c>
      <c r="B39" s="45">
        <f>volume!B39</f>
        <v>38</v>
      </c>
      <c r="C39" s="46">
        <f>volume!C39</f>
        <v>9</v>
      </c>
      <c r="D39" s="46">
        <f>volume!D39</f>
        <v>0</v>
      </c>
      <c r="E39" s="46">
        <f>volume!E39</f>
        <v>0</v>
      </c>
      <c r="F39" s="46">
        <f>volume!F39</f>
        <v>2</v>
      </c>
      <c r="G39" s="47">
        <f>volume!G39</f>
        <v>1</v>
      </c>
      <c r="H39" s="48">
        <f t="shared" si="0"/>
        <v>50</v>
      </c>
      <c r="I39" s="45">
        <f>volume!I39</f>
        <v>28</v>
      </c>
      <c r="J39" s="46">
        <f>volume!J39</f>
        <v>13</v>
      </c>
      <c r="K39" s="46">
        <f>volume!K39</f>
        <v>0</v>
      </c>
      <c r="L39" s="46">
        <f>volume!L39</f>
        <v>0</v>
      </c>
      <c r="M39" s="46">
        <f>volume!M39</f>
        <v>0</v>
      </c>
      <c r="N39" s="47">
        <f>volume!N39</f>
        <v>0</v>
      </c>
      <c r="O39" s="49">
        <f t="shared" si="1"/>
        <v>41</v>
      </c>
      <c r="P39" s="45">
        <f>volume!P39</f>
        <v>26</v>
      </c>
      <c r="Q39" s="46">
        <f>volume!Q39</f>
        <v>12</v>
      </c>
      <c r="R39" s="46">
        <f>volume!R39</f>
        <v>0</v>
      </c>
      <c r="S39" s="46">
        <f>volume!S39</f>
        <v>0</v>
      </c>
      <c r="T39" s="46">
        <f>volume!T39</f>
        <v>1</v>
      </c>
      <c r="U39" s="47">
        <f>volume!U39</f>
        <v>0</v>
      </c>
      <c r="V39" s="49">
        <f t="shared" si="2"/>
        <v>39</v>
      </c>
      <c r="W39" s="45">
        <f>volume!W39</f>
        <v>0</v>
      </c>
      <c r="X39" s="46">
        <f>volume!X39</f>
        <v>0</v>
      </c>
      <c r="Y39" s="46">
        <f>volume!Y39</f>
        <v>0</v>
      </c>
      <c r="Z39" s="46">
        <f>volume!Z39</f>
        <v>0</v>
      </c>
      <c r="AA39" s="46">
        <f>volume!AA39</f>
        <v>0</v>
      </c>
      <c r="AB39" s="47">
        <f>volume!AB39</f>
        <v>0</v>
      </c>
      <c r="AC39" s="49">
        <f t="shared" si="3"/>
        <v>0</v>
      </c>
      <c r="AD39" s="45">
        <f>volume!AD39</f>
        <v>61</v>
      </c>
      <c r="AE39" s="46">
        <f>volume!AE39</f>
        <v>17</v>
      </c>
      <c r="AF39" s="46">
        <f>volume!AF39</f>
        <v>0</v>
      </c>
      <c r="AG39" s="46">
        <f>volume!AG39</f>
        <v>0</v>
      </c>
      <c r="AH39" s="46">
        <f>volume!AH39</f>
        <v>0</v>
      </c>
      <c r="AI39" s="47">
        <f>volume!AI39</f>
        <v>0</v>
      </c>
      <c r="AJ39" s="49">
        <f t="shared" si="4"/>
        <v>78</v>
      </c>
      <c r="AK39" s="45">
        <f>volume!AK39</f>
        <v>159</v>
      </c>
      <c r="AL39" s="46">
        <f>volume!AL39</f>
        <v>46</v>
      </c>
      <c r="AM39" s="46">
        <f>volume!AM39</f>
        <v>0</v>
      </c>
      <c r="AN39" s="46">
        <f>volume!AN39</f>
        <v>0</v>
      </c>
      <c r="AO39" s="46">
        <f>volume!AO39</f>
        <v>2</v>
      </c>
      <c r="AP39" s="47">
        <f>volume!AP39</f>
        <v>0</v>
      </c>
      <c r="AQ39" s="49">
        <f t="shared" si="5"/>
        <v>207</v>
      </c>
      <c r="AR39" s="45">
        <f>volume!AR39</f>
        <v>39</v>
      </c>
      <c r="AS39" s="46">
        <f>volume!AS39</f>
        <v>10</v>
      </c>
      <c r="AT39" s="46">
        <f>volume!AT39</f>
        <v>0</v>
      </c>
      <c r="AU39" s="46">
        <f>volume!AU39</f>
        <v>0</v>
      </c>
      <c r="AV39" s="46">
        <f>volume!AV39</f>
        <v>1</v>
      </c>
      <c r="AW39" s="47">
        <f>volume!AW39</f>
        <v>1</v>
      </c>
      <c r="AX39" s="49">
        <f t="shared" si="6"/>
        <v>51</v>
      </c>
      <c r="AY39" s="45">
        <f>volume!AY39</f>
        <v>50</v>
      </c>
      <c r="AZ39" s="46">
        <f>volume!AZ39</f>
        <v>25</v>
      </c>
      <c r="BA39" s="46">
        <f>volume!BA39</f>
        <v>0</v>
      </c>
      <c r="BB39" s="46">
        <f>volume!BB39</f>
        <v>0</v>
      </c>
      <c r="BC39" s="46">
        <f>volume!BC39</f>
        <v>0</v>
      </c>
      <c r="BD39" s="47">
        <f>volume!BD39</f>
        <v>1</v>
      </c>
      <c r="BE39" s="49">
        <f t="shared" si="7"/>
        <v>76</v>
      </c>
      <c r="BF39" s="45">
        <f>volume!BF39</f>
        <v>7</v>
      </c>
      <c r="BG39" s="46">
        <f>volume!BG39</f>
        <v>2</v>
      </c>
      <c r="BH39" s="46">
        <f>volume!BH39</f>
        <v>0</v>
      </c>
      <c r="BI39" s="46">
        <f>volume!BI39</f>
        <v>0</v>
      </c>
      <c r="BJ39" s="46">
        <f>volume!BJ39</f>
        <v>2</v>
      </c>
      <c r="BK39" s="47">
        <f>volume!BK39</f>
        <v>0</v>
      </c>
      <c r="BL39" s="49">
        <f t="shared" si="8"/>
        <v>11</v>
      </c>
      <c r="BM39" s="45">
        <f>volume!BM39</f>
        <v>59</v>
      </c>
      <c r="BN39" s="46">
        <f>volume!BN39</f>
        <v>17</v>
      </c>
      <c r="BO39" s="46">
        <f>volume!BO39</f>
        <v>0</v>
      </c>
      <c r="BP39" s="46">
        <f>volume!BP39</f>
        <v>0</v>
      </c>
      <c r="BQ39" s="46">
        <f>volume!BQ39</f>
        <v>0</v>
      </c>
      <c r="BR39" s="47">
        <f>volume!BR39</f>
        <v>0</v>
      </c>
      <c r="BS39" s="49">
        <f t="shared" si="9"/>
        <v>76</v>
      </c>
      <c r="BT39" s="45">
        <f>volume!BT39</f>
        <v>42</v>
      </c>
      <c r="BU39" s="46">
        <f>volume!BU39</f>
        <v>21</v>
      </c>
      <c r="BV39" s="46">
        <f>volume!BV39</f>
        <v>0</v>
      </c>
      <c r="BW39" s="46">
        <f>volume!BW39</f>
        <v>0</v>
      </c>
      <c r="BX39" s="46">
        <f>volume!BX39</f>
        <v>0</v>
      </c>
      <c r="BY39" s="47">
        <f>volume!BY39</f>
        <v>0</v>
      </c>
      <c r="BZ39" s="49">
        <f t="shared" si="10"/>
        <v>63</v>
      </c>
      <c r="CA39" s="45">
        <f>volume!CA39</f>
        <v>0</v>
      </c>
      <c r="CB39" s="46">
        <f>volume!CB39</f>
        <v>0</v>
      </c>
      <c r="CC39" s="46">
        <f>volume!CC39</f>
        <v>0</v>
      </c>
      <c r="CD39" s="46">
        <f>volume!CD39</f>
        <v>0</v>
      </c>
      <c r="CE39" s="46">
        <f>volume!CE39</f>
        <v>0</v>
      </c>
      <c r="CF39" s="47">
        <f>volume!CF39</f>
        <v>0</v>
      </c>
      <c r="CG39" s="49">
        <f t="shared" si="11"/>
        <v>0</v>
      </c>
      <c r="CH39" s="45">
        <f>volume!CH39</f>
        <v>46</v>
      </c>
      <c r="CI39" s="46">
        <f>volume!CI39</f>
        <v>7</v>
      </c>
      <c r="CJ39" s="46">
        <f>volume!CJ39</f>
        <v>0</v>
      </c>
      <c r="CK39" s="46">
        <f>volume!CK39</f>
        <v>0</v>
      </c>
      <c r="CL39" s="46">
        <f>volume!CL39</f>
        <v>1</v>
      </c>
      <c r="CM39" s="47">
        <f>volume!CM39</f>
        <v>0</v>
      </c>
      <c r="CN39" s="49">
        <f t="shared" si="12"/>
        <v>54</v>
      </c>
      <c r="CO39" s="45">
        <f>volume!CO39</f>
        <v>129</v>
      </c>
      <c r="CP39" s="46">
        <f>volume!CP39</f>
        <v>40</v>
      </c>
      <c r="CQ39" s="46">
        <f>volume!CQ39</f>
        <v>0</v>
      </c>
      <c r="CR39" s="46">
        <f>volume!CR39</f>
        <v>2</v>
      </c>
      <c r="CS39" s="46">
        <f>volume!CS39</f>
        <v>4</v>
      </c>
      <c r="CT39" s="47">
        <f>volume!CT39</f>
        <v>0</v>
      </c>
      <c r="CU39" s="49">
        <f t="shared" si="13"/>
        <v>175</v>
      </c>
      <c r="CV39" s="45">
        <f>volume!CV39</f>
        <v>0</v>
      </c>
      <c r="CW39" s="46">
        <f>volume!CW39</f>
        <v>0</v>
      </c>
      <c r="CX39" s="46">
        <f>volume!CX39</f>
        <v>0</v>
      </c>
      <c r="CY39" s="46">
        <f>volume!CY39</f>
        <v>0</v>
      </c>
      <c r="CZ39" s="46">
        <f>volume!CZ39</f>
        <v>0</v>
      </c>
      <c r="DA39" s="47">
        <f>volume!DA39</f>
        <v>0</v>
      </c>
      <c r="DB39" s="49">
        <f t="shared" si="14"/>
        <v>0</v>
      </c>
      <c r="DC39" s="45">
        <f>volume!DC39</f>
        <v>0</v>
      </c>
      <c r="DD39" s="46">
        <f>volume!DD39</f>
        <v>0</v>
      </c>
      <c r="DE39" s="46">
        <f>volume!DE39</f>
        <v>0</v>
      </c>
      <c r="DF39" s="46">
        <f>volume!DF39</f>
        <v>0</v>
      </c>
      <c r="DG39" s="46">
        <f>volume!DG39</f>
        <v>0</v>
      </c>
      <c r="DH39" s="47">
        <f>volume!DH39</f>
        <v>0</v>
      </c>
      <c r="DI39" s="49">
        <f t="shared" si="15"/>
        <v>0</v>
      </c>
      <c r="DJ39" s="45">
        <f>volume!DJ39</f>
        <v>0</v>
      </c>
      <c r="DK39" s="46">
        <f>volume!DK39</f>
        <v>0</v>
      </c>
      <c r="DL39" s="46">
        <f>volume!DL39</f>
        <v>0</v>
      </c>
      <c r="DM39" s="46">
        <f>volume!DM39</f>
        <v>0</v>
      </c>
      <c r="DN39" s="46">
        <f>volume!DN39</f>
        <v>0</v>
      </c>
      <c r="DO39" s="47">
        <f>volume!DO39</f>
        <v>0</v>
      </c>
      <c r="DP39" s="50">
        <f t="shared" si="16"/>
        <v>0</v>
      </c>
      <c r="DQ39" s="45">
        <f>volume!DQ39</f>
        <v>0</v>
      </c>
      <c r="DR39" s="46">
        <f>volume!DR39</f>
        <v>0</v>
      </c>
      <c r="DS39" s="46">
        <f>volume!DS39</f>
        <v>0</v>
      </c>
      <c r="DT39" s="46">
        <f>volume!DT39</f>
        <v>0</v>
      </c>
      <c r="DU39" s="46">
        <f>volume!DU39</f>
        <v>0</v>
      </c>
      <c r="DV39" s="47">
        <f>volume!DV39</f>
        <v>0</v>
      </c>
      <c r="DW39" s="50">
        <f t="shared" si="17"/>
        <v>0</v>
      </c>
      <c r="DX39" s="45">
        <f>volume!DX39</f>
        <v>0</v>
      </c>
      <c r="DY39" s="46">
        <f>volume!DY39</f>
        <v>0</v>
      </c>
      <c r="DZ39" s="46">
        <f>volume!DZ39</f>
        <v>0</v>
      </c>
      <c r="EA39" s="46">
        <f>volume!EA39</f>
        <v>0</v>
      </c>
      <c r="EB39" s="46">
        <f>volume!EB39</f>
        <v>0</v>
      </c>
      <c r="EC39" s="47">
        <f>volume!EC39</f>
        <v>0</v>
      </c>
      <c r="ED39" s="50">
        <f t="shared" si="18"/>
        <v>0</v>
      </c>
      <c r="EE39" s="272"/>
      <c r="EF39" s="272"/>
      <c r="EG39" s="272"/>
      <c r="EH39" s="272"/>
      <c r="EI39" s="272"/>
      <c r="EJ39" s="272"/>
      <c r="EK39" s="272"/>
      <c r="EL39" s="45">
        <f>volume!EL39</f>
        <v>0</v>
      </c>
      <c r="EM39" s="46">
        <f>volume!EM39</f>
        <v>0</v>
      </c>
      <c r="EN39" s="46">
        <f>volume!EN39</f>
        <v>0</v>
      </c>
      <c r="EO39" s="46">
        <f>volume!EO39</f>
        <v>0</v>
      </c>
      <c r="EP39" s="46">
        <f>volume!EP39</f>
        <v>0</v>
      </c>
      <c r="EQ39" s="47">
        <f>volume!EQ39</f>
        <v>0</v>
      </c>
      <c r="ER39" s="50">
        <f t="shared" si="19"/>
        <v>0</v>
      </c>
      <c r="ES39" s="45">
        <f>volume!ES39</f>
        <v>0</v>
      </c>
      <c r="ET39" s="46">
        <f>volume!ET39</f>
        <v>0</v>
      </c>
      <c r="EU39" s="46">
        <f>volume!EU39</f>
        <v>0</v>
      </c>
      <c r="EV39" s="46">
        <f>volume!EV39</f>
        <v>0</v>
      </c>
      <c r="EW39" s="46">
        <f>volume!EW39</f>
        <v>0</v>
      </c>
      <c r="EX39" s="47">
        <f>volume!EX39</f>
        <v>0</v>
      </c>
      <c r="EY39" s="50">
        <f t="shared" si="20"/>
        <v>0</v>
      </c>
      <c r="EZ39" s="45">
        <f>volume!EZ39</f>
        <v>0</v>
      </c>
      <c r="FA39" s="46">
        <f>volume!FA39</f>
        <v>0</v>
      </c>
      <c r="FB39" s="46">
        <f>volume!FB39</f>
        <v>0</v>
      </c>
      <c r="FC39" s="46">
        <f>volume!FC39</f>
        <v>0</v>
      </c>
      <c r="FD39" s="46">
        <f>volume!FD39</f>
        <v>0</v>
      </c>
      <c r="FE39" s="47">
        <f>volume!FE39</f>
        <v>0</v>
      </c>
      <c r="FF39" s="50">
        <f t="shared" si="21"/>
        <v>0</v>
      </c>
      <c r="FG39" s="272"/>
      <c r="FH39" s="272"/>
      <c r="FI39" s="272"/>
      <c r="FJ39" s="272"/>
      <c r="FK39" s="272"/>
      <c r="FL39" s="272"/>
      <c r="FM39" s="272"/>
      <c r="FN39" s="45">
        <f>volume!FN39</f>
        <v>0</v>
      </c>
      <c r="FO39" s="46">
        <f>volume!FO39</f>
        <v>0</v>
      </c>
      <c r="FP39" s="46">
        <f>volume!FP39</f>
        <v>0</v>
      </c>
      <c r="FQ39" s="46">
        <f>volume!FQ39</f>
        <v>0</v>
      </c>
      <c r="FR39" s="46">
        <f>volume!FR39</f>
        <v>0</v>
      </c>
      <c r="FS39" s="47">
        <f>volume!FS39</f>
        <v>0</v>
      </c>
      <c r="FT39" s="50">
        <f t="shared" si="22"/>
        <v>0</v>
      </c>
      <c r="FU39" s="45">
        <f>volume!FU39</f>
        <v>0</v>
      </c>
      <c r="FV39" s="46">
        <f>volume!FV39</f>
        <v>0</v>
      </c>
      <c r="FW39" s="46">
        <f>volume!FW39</f>
        <v>0</v>
      </c>
      <c r="FX39" s="46">
        <f>volume!FX39</f>
        <v>0</v>
      </c>
      <c r="FY39" s="46">
        <f>volume!FY39</f>
        <v>0</v>
      </c>
      <c r="FZ39" s="47">
        <f>volume!FZ39</f>
        <v>0</v>
      </c>
      <c r="GA39" s="50">
        <f t="shared" si="23"/>
        <v>0</v>
      </c>
      <c r="GB39" s="45">
        <f>volume!GB39</f>
        <v>0</v>
      </c>
      <c r="GC39" s="46">
        <f>volume!GC39</f>
        <v>0</v>
      </c>
      <c r="GD39" s="46">
        <f>volume!GD39</f>
        <v>0</v>
      </c>
      <c r="GE39" s="46">
        <f>volume!GE39</f>
        <v>0</v>
      </c>
      <c r="GF39" s="46">
        <f>volume!GF39</f>
        <v>0</v>
      </c>
      <c r="GG39" s="47">
        <f>volume!GG39</f>
        <v>0</v>
      </c>
      <c r="GH39" s="50">
        <f t="shared" si="24"/>
        <v>0</v>
      </c>
      <c r="GI39" s="272"/>
      <c r="GJ39" s="272"/>
      <c r="GK39" s="272"/>
      <c r="GL39" s="272"/>
      <c r="GM39" s="272"/>
      <c r="GN39" s="272"/>
      <c r="GO39" s="272"/>
      <c r="GP39" s="45">
        <f>volume!GP39</f>
        <v>0</v>
      </c>
      <c r="GQ39" s="46">
        <f>volume!GQ39</f>
        <v>0</v>
      </c>
      <c r="GR39" s="46">
        <f>volume!GR39</f>
        <v>0</v>
      </c>
      <c r="GS39" s="46">
        <f>volume!GS39</f>
        <v>0</v>
      </c>
      <c r="GT39" s="46">
        <f>volume!GT39</f>
        <v>0</v>
      </c>
      <c r="GU39" s="47">
        <f>volume!GU39</f>
        <v>0</v>
      </c>
      <c r="GV39" s="50">
        <f t="shared" si="25"/>
        <v>0</v>
      </c>
      <c r="GW39" s="45">
        <f>volume!GW39</f>
        <v>0</v>
      </c>
      <c r="GX39" s="46">
        <f>volume!GX39</f>
        <v>0</v>
      </c>
      <c r="GY39" s="46">
        <f>volume!GY39</f>
        <v>0</v>
      </c>
      <c r="GZ39" s="46">
        <f>volume!GZ39</f>
        <v>0</v>
      </c>
      <c r="HA39" s="46">
        <f>volume!HA39</f>
        <v>0</v>
      </c>
      <c r="HB39" s="47">
        <f>volume!HB39</f>
        <v>0</v>
      </c>
      <c r="HC39" s="50">
        <f t="shared" si="26"/>
        <v>0</v>
      </c>
      <c r="HD39" s="45">
        <f>volume!HD39</f>
        <v>0</v>
      </c>
      <c r="HE39" s="46">
        <f>volume!HE39</f>
        <v>0</v>
      </c>
      <c r="HF39" s="46">
        <f>volume!HF39</f>
        <v>0</v>
      </c>
      <c r="HG39" s="46">
        <f>volume!HG39</f>
        <v>0</v>
      </c>
      <c r="HH39" s="46">
        <f>volume!HH39</f>
        <v>0</v>
      </c>
      <c r="HI39" s="47">
        <f>volume!HI39</f>
        <v>0</v>
      </c>
      <c r="HJ39" s="50">
        <f t="shared" si="27"/>
        <v>0</v>
      </c>
    </row>
    <row r="40" spans="1:218" ht="21.75" customHeight="1" x14ac:dyDescent="0.6">
      <c r="A40" s="51" t="s">
        <v>95</v>
      </c>
      <c r="B40" s="52">
        <f>volume!B40</f>
        <v>46</v>
      </c>
      <c r="C40" s="53">
        <f>volume!C40</f>
        <v>9</v>
      </c>
      <c r="D40" s="53">
        <f>volume!D40</f>
        <v>0</v>
      </c>
      <c r="E40" s="53">
        <f>volume!E40</f>
        <v>0</v>
      </c>
      <c r="F40" s="53">
        <f>volume!F40</f>
        <v>0</v>
      </c>
      <c r="G40" s="54">
        <f>volume!G40</f>
        <v>0</v>
      </c>
      <c r="H40" s="48">
        <f t="shared" si="0"/>
        <v>55</v>
      </c>
      <c r="I40" s="52">
        <f>volume!I40</f>
        <v>32</v>
      </c>
      <c r="J40" s="53">
        <f>volume!J40</f>
        <v>10</v>
      </c>
      <c r="K40" s="53">
        <f>volume!K40</f>
        <v>0</v>
      </c>
      <c r="L40" s="53">
        <f>volume!L40</f>
        <v>0</v>
      </c>
      <c r="M40" s="53">
        <f>volume!M40</f>
        <v>0</v>
      </c>
      <c r="N40" s="54">
        <f>volume!N40</f>
        <v>0</v>
      </c>
      <c r="O40" s="49">
        <f t="shared" si="1"/>
        <v>42</v>
      </c>
      <c r="P40" s="52">
        <f>volume!P40</f>
        <v>24</v>
      </c>
      <c r="Q40" s="53">
        <f>volume!Q40</f>
        <v>14</v>
      </c>
      <c r="R40" s="53">
        <f>volume!R40</f>
        <v>0</v>
      </c>
      <c r="S40" s="53">
        <f>volume!S40</f>
        <v>0</v>
      </c>
      <c r="T40" s="53">
        <f>volume!T40</f>
        <v>2</v>
      </c>
      <c r="U40" s="54">
        <f>volume!U40</f>
        <v>0</v>
      </c>
      <c r="V40" s="49">
        <f t="shared" si="2"/>
        <v>40</v>
      </c>
      <c r="W40" s="52">
        <f>volume!W40</f>
        <v>0</v>
      </c>
      <c r="X40" s="53">
        <f>volume!X40</f>
        <v>0</v>
      </c>
      <c r="Y40" s="53">
        <f>volume!Y40</f>
        <v>0</v>
      </c>
      <c r="Z40" s="53">
        <f>volume!Z40</f>
        <v>0</v>
      </c>
      <c r="AA40" s="53">
        <f>volume!AA40</f>
        <v>0</v>
      </c>
      <c r="AB40" s="54">
        <f>volume!AB40</f>
        <v>0</v>
      </c>
      <c r="AC40" s="49">
        <f t="shared" si="3"/>
        <v>0</v>
      </c>
      <c r="AD40" s="52">
        <f>volume!AD40</f>
        <v>54</v>
      </c>
      <c r="AE40" s="53">
        <f>volume!AE40</f>
        <v>14</v>
      </c>
      <c r="AF40" s="53">
        <f>volume!AF40</f>
        <v>1</v>
      </c>
      <c r="AG40" s="53">
        <f>volume!AG40</f>
        <v>0</v>
      </c>
      <c r="AH40" s="53">
        <f>volume!AH40</f>
        <v>0</v>
      </c>
      <c r="AI40" s="54">
        <f>volume!AI40</f>
        <v>1</v>
      </c>
      <c r="AJ40" s="49">
        <f t="shared" si="4"/>
        <v>70</v>
      </c>
      <c r="AK40" s="52">
        <f>volume!AK40</f>
        <v>172</v>
      </c>
      <c r="AL40" s="53">
        <f>volume!AL40</f>
        <v>51</v>
      </c>
      <c r="AM40" s="53">
        <f>volume!AM40</f>
        <v>1</v>
      </c>
      <c r="AN40" s="53">
        <f>volume!AN40</f>
        <v>0</v>
      </c>
      <c r="AO40" s="53">
        <f>volume!AO40</f>
        <v>1</v>
      </c>
      <c r="AP40" s="54">
        <f>volume!AP40</f>
        <v>0</v>
      </c>
      <c r="AQ40" s="49">
        <f t="shared" si="5"/>
        <v>225</v>
      </c>
      <c r="AR40" s="52">
        <f>volume!AR40</f>
        <v>37</v>
      </c>
      <c r="AS40" s="53">
        <f>volume!AS40</f>
        <v>8</v>
      </c>
      <c r="AT40" s="53">
        <f>volume!AT40</f>
        <v>0</v>
      </c>
      <c r="AU40" s="53">
        <f>volume!AU40</f>
        <v>0</v>
      </c>
      <c r="AV40" s="53">
        <f>volume!AV40</f>
        <v>1</v>
      </c>
      <c r="AW40" s="54">
        <f>volume!AW40</f>
        <v>0</v>
      </c>
      <c r="AX40" s="49">
        <f t="shared" si="6"/>
        <v>46</v>
      </c>
      <c r="AY40" s="52">
        <f>volume!AY40</f>
        <v>41</v>
      </c>
      <c r="AZ40" s="53">
        <f>volume!AZ40</f>
        <v>18</v>
      </c>
      <c r="BA40" s="53">
        <f>volume!BA40</f>
        <v>2</v>
      </c>
      <c r="BB40" s="53">
        <f>volume!BB40</f>
        <v>0</v>
      </c>
      <c r="BC40" s="53">
        <f>volume!BC40</f>
        <v>1</v>
      </c>
      <c r="BD40" s="54">
        <f>volume!BD40</f>
        <v>0</v>
      </c>
      <c r="BE40" s="49">
        <f t="shared" si="7"/>
        <v>62</v>
      </c>
      <c r="BF40" s="52">
        <f>volume!BF40</f>
        <v>4</v>
      </c>
      <c r="BG40" s="53">
        <f>volume!BG40</f>
        <v>1</v>
      </c>
      <c r="BH40" s="53">
        <f>volume!BH40</f>
        <v>0</v>
      </c>
      <c r="BI40" s="53">
        <f>volume!BI40</f>
        <v>0</v>
      </c>
      <c r="BJ40" s="53">
        <f>volume!BJ40</f>
        <v>2</v>
      </c>
      <c r="BK40" s="54">
        <f>volume!BK40</f>
        <v>0</v>
      </c>
      <c r="BL40" s="49">
        <f t="shared" si="8"/>
        <v>7</v>
      </c>
      <c r="BM40" s="52">
        <f>volume!BM40</f>
        <v>62</v>
      </c>
      <c r="BN40" s="53">
        <f>volume!BN40</f>
        <v>14</v>
      </c>
      <c r="BO40" s="53">
        <f>volume!BO40</f>
        <v>0</v>
      </c>
      <c r="BP40" s="53">
        <f>volume!BP40</f>
        <v>0</v>
      </c>
      <c r="BQ40" s="53">
        <f>volume!BQ40</f>
        <v>0</v>
      </c>
      <c r="BR40" s="54">
        <f>volume!BR40</f>
        <v>0</v>
      </c>
      <c r="BS40" s="49">
        <f t="shared" si="9"/>
        <v>76</v>
      </c>
      <c r="BT40" s="52">
        <f>volume!BT40</f>
        <v>47</v>
      </c>
      <c r="BU40" s="53">
        <f>volume!BU40</f>
        <v>13</v>
      </c>
      <c r="BV40" s="53">
        <f>volume!BV40</f>
        <v>0</v>
      </c>
      <c r="BW40" s="53">
        <f>volume!BW40</f>
        <v>0</v>
      </c>
      <c r="BX40" s="53">
        <f>volume!BX40</f>
        <v>0</v>
      </c>
      <c r="BY40" s="54">
        <f>volume!BY40</f>
        <v>0</v>
      </c>
      <c r="BZ40" s="49">
        <f t="shared" si="10"/>
        <v>60</v>
      </c>
      <c r="CA40" s="52">
        <f>volume!CA40</f>
        <v>0</v>
      </c>
      <c r="CB40" s="53">
        <f>volume!CB40</f>
        <v>0</v>
      </c>
      <c r="CC40" s="53">
        <f>volume!CC40</f>
        <v>0</v>
      </c>
      <c r="CD40" s="53">
        <f>volume!CD40</f>
        <v>0</v>
      </c>
      <c r="CE40" s="53">
        <f>volume!CE40</f>
        <v>0</v>
      </c>
      <c r="CF40" s="54">
        <f>volume!CF40</f>
        <v>0</v>
      </c>
      <c r="CG40" s="49">
        <f t="shared" si="11"/>
        <v>0</v>
      </c>
      <c r="CH40" s="52">
        <f>volume!CH40</f>
        <v>53</v>
      </c>
      <c r="CI40" s="53">
        <f>volume!CI40</f>
        <v>8</v>
      </c>
      <c r="CJ40" s="53">
        <f>volume!CJ40</f>
        <v>0</v>
      </c>
      <c r="CK40" s="53">
        <f>volume!CK40</f>
        <v>0</v>
      </c>
      <c r="CL40" s="53">
        <f>volume!CL40</f>
        <v>0</v>
      </c>
      <c r="CM40" s="54">
        <f>volume!CM40</f>
        <v>0</v>
      </c>
      <c r="CN40" s="49">
        <f t="shared" si="12"/>
        <v>61</v>
      </c>
      <c r="CO40" s="52">
        <f>volume!CO40</f>
        <v>133</v>
      </c>
      <c r="CP40" s="53">
        <f>volume!CP40</f>
        <v>43</v>
      </c>
      <c r="CQ40" s="53">
        <f>volume!CQ40</f>
        <v>0</v>
      </c>
      <c r="CR40" s="53">
        <f>volume!CR40</f>
        <v>0</v>
      </c>
      <c r="CS40" s="53">
        <f>volume!CS40</f>
        <v>2</v>
      </c>
      <c r="CT40" s="54">
        <f>volume!CT40</f>
        <v>0</v>
      </c>
      <c r="CU40" s="49">
        <f t="shared" si="13"/>
        <v>178</v>
      </c>
      <c r="CV40" s="52">
        <f>volume!CV40</f>
        <v>0</v>
      </c>
      <c r="CW40" s="53">
        <f>volume!CW40</f>
        <v>0</v>
      </c>
      <c r="CX40" s="53">
        <f>volume!CX40</f>
        <v>0</v>
      </c>
      <c r="CY40" s="53">
        <f>volume!CY40</f>
        <v>0</v>
      </c>
      <c r="CZ40" s="53">
        <f>volume!CZ40</f>
        <v>0</v>
      </c>
      <c r="DA40" s="54">
        <f>volume!DA40</f>
        <v>0</v>
      </c>
      <c r="DB40" s="49">
        <f t="shared" si="14"/>
        <v>0</v>
      </c>
      <c r="DC40" s="52">
        <f>volume!DC40</f>
        <v>0</v>
      </c>
      <c r="DD40" s="53">
        <f>volume!DD40</f>
        <v>0</v>
      </c>
      <c r="DE40" s="53">
        <f>volume!DE40</f>
        <v>0</v>
      </c>
      <c r="DF40" s="53">
        <f>volume!DF40</f>
        <v>0</v>
      </c>
      <c r="DG40" s="53">
        <f>volume!DG40</f>
        <v>0</v>
      </c>
      <c r="DH40" s="54">
        <f>volume!DH40</f>
        <v>0</v>
      </c>
      <c r="DI40" s="49">
        <f t="shared" si="15"/>
        <v>0</v>
      </c>
      <c r="DJ40" s="52">
        <f>volume!DJ40</f>
        <v>0</v>
      </c>
      <c r="DK40" s="53">
        <f>volume!DK40</f>
        <v>0</v>
      </c>
      <c r="DL40" s="53">
        <f>volume!DL40</f>
        <v>0</v>
      </c>
      <c r="DM40" s="53">
        <f>volume!DM40</f>
        <v>0</v>
      </c>
      <c r="DN40" s="53">
        <f>volume!DN40</f>
        <v>0</v>
      </c>
      <c r="DO40" s="54">
        <f>volume!DO40</f>
        <v>0</v>
      </c>
      <c r="DP40" s="50">
        <f t="shared" si="16"/>
        <v>0</v>
      </c>
      <c r="DQ40" s="52">
        <f>volume!DQ40</f>
        <v>0</v>
      </c>
      <c r="DR40" s="53">
        <f>volume!DR40</f>
        <v>0</v>
      </c>
      <c r="DS40" s="53">
        <f>volume!DS40</f>
        <v>0</v>
      </c>
      <c r="DT40" s="53">
        <f>volume!DT40</f>
        <v>0</v>
      </c>
      <c r="DU40" s="53">
        <f>volume!DU40</f>
        <v>0</v>
      </c>
      <c r="DV40" s="54">
        <f>volume!DV40</f>
        <v>0</v>
      </c>
      <c r="DW40" s="50">
        <f t="shared" si="17"/>
        <v>0</v>
      </c>
      <c r="DX40" s="52">
        <f>volume!DX40</f>
        <v>0</v>
      </c>
      <c r="DY40" s="53">
        <f>volume!DY40</f>
        <v>0</v>
      </c>
      <c r="DZ40" s="53">
        <f>volume!DZ40</f>
        <v>0</v>
      </c>
      <c r="EA40" s="53">
        <f>volume!EA40</f>
        <v>0</v>
      </c>
      <c r="EB40" s="53">
        <f>volume!EB40</f>
        <v>0</v>
      </c>
      <c r="EC40" s="54">
        <f>volume!EC40</f>
        <v>0</v>
      </c>
      <c r="ED40" s="50">
        <f t="shared" si="18"/>
        <v>0</v>
      </c>
      <c r="EE40" s="273"/>
      <c r="EF40" s="273"/>
      <c r="EG40" s="273"/>
      <c r="EH40" s="273"/>
      <c r="EI40" s="273"/>
      <c r="EJ40" s="273"/>
      <c r="EK40" s="273"/>
      <c r="EL40" s="52">
        <f>volume!EL40</f>
        <v>0</v>
      </c>
      <c r="EM40" s="53">
        <f>volume!EM40</f>
        <v>0</v>
      </c>
      <c r="EN40" s="53">
        <f>volume!EN40</f>
        <v>0</v>
      </c>
      <c r="EO40" s="53">
        <f>volume!EO40</f>
        <v>0</v>
      </c>
      <c r="EP40" s="53">
        <f>volume!EP40</f>
        <v>0</v>
      </c>
      <c r="EQ40" s="54">
        <f>volume!EQ40</f>
        <v>0</v>
      </c>
      <c r="ER40" s="50">
        <f t="shared" si="19"/>
        <v>0</v>
      </c>
      <c r="ES40" s="52">
        <f>volume!ES40</f>
        <v>0</v>
      </c>
      <c r="ET40" s="53">
        <f>volume!ET40</f>
        <v>0</v>
      </c>
      <c r="EU40" s="53">
        <f>volume!EU40</f>
        <v>0</v>
      </c>
      <c r="EV40" s="53">
        <f>volume!EV40</f>
        <v>0</v>
      </c>
      <c r="EW40" s="53">
        <f>volume!EW40</f>
        <v>0</v>
      </c>
      <c r="EX40" s="54">
        <f>volume!EX40</f>
        <v>0</v>
      </c>
      <c r="EY40" s="50">
        <f t="shared" si="20"/>
        <v>0</v>
      </c>
      <c r="EZ40" s="52">
        <f>volume!EZ40</f>
        <v>0</v>
      </c>
      <c r="FA40" s="53">
        <f>volume!FA40</f>
        <v>0</v>
      </c>
      <c r="FB40" s="53">
        <f>volume!FB40</f>
        <v>0</v>
      </c>
      <c r="FC40" s="53">
        <f>volume!FC40</f>
        <v>0</v>
      </c>
      <c r="FD40" s="53">
        <f>volume!FD40</f>
        <v>0</v>
      </c>
      <c r="FE40" s="54">
        <f>volume!FE40</f>
        <v>0</v>
      </c>
      <c r="FF40" s="50">
        <f t="shared" si="21"/>
        <v>0</v>
      </c>
      <c r="FG40" s="273"/>
      <c r="FH40" s="273"/>
      <c r="FI40" s="273"/>
      <c r="FJ40" s="273"/>
      <c r="FK40" s="273"/>
      <c r="FL40" s="273"/>
      <c r="FM40" s="273"/>
      <c r="FN40" s="52">
        <f>volume!FN40</f>
        <v>0</v>
      </c>
      <c r="FO40" s="53">
        <f>volume!FO40</f>
        <v>0</v>
      </c>
      <c r="FP40" s="53">
        <f>volume!FP40</f>
        <v>0</v>
      </c>
      <c r="FQ40" s="53">
        <f>volume!FQ40</f>
        <v>0</v>
      </c>
      <c r="FR40" s="53">
        <f>volume!FR40</f>
        <v>0</v>
      </c>
      <c r="FS40" s="54">
        <f>volume!FS40</f>
        <v>0</v>
      </c>
      <c r="FT40" s="50">
        <f t="shared" si="22"/>
        <v>0</v>
      </c>
      <c r="FU40" s="52">
        <f>volume!FU40</f>
        <v>0</v>
      </c>
      <c r="FV40" s="53">
        <f>volume!FV40</f>
        <v>0</v>
      </c>
      <c r="FW40" s="53">
        <f>volume!FW40</f>
        <v>0</v>
      </c>
      <c r="FX40" s="53">
        <f>volume!FX40</f>
        <v>0</v>
      </c>
      <c r="FY40" s="53">
        <f>volume!FY40</f>
        <v>0</v>
      </c>
      <c r="FZ40" s="54">
        <f>volume!FZ40</f>
        <v>0</v>
      </c>
      <c r="GA40" s="50">
        <f t="shared" si="23"/>
        <v>0</v>
      </c>
      <c r="GB40" s="52">
        <f>volume!GB40</f>
        <v>0</v>
      </c>
      <c r="GC40" s="53">
        <f>volume!GC40</f>
        <v>0</v>
      </c>
      <c r="GD40" s="53">
        <f>volume!GD40</f>
        <v>0</v>
      </c>
      <c r="GE40" s="53">
        <f>volume!GE40</f>
        <v>0</v>
      </c>
      <c r="GF40" s="53">
        <f>volume!GF40</f>
        <v>0</v>
      </c>
      <c r="GG40" s="54">
        <f>volume!GG40</f>
        <v>0</v>
      </c>
      <c r="GH40" s="50">
        <f t="shared" si="24"/>
        <v>0</v>
      </c>
      <c r="GI40" s="273"/>
      <c r="GJ40" s="273"/>
      <c r="GK40" s="273"/>
      <c r="GL40" s="273"/>
      <c r="GM40" s="273"/>
      <c r="GN40" s="273"/>
      <c r="GO40" s="273"/>
      <c r="GP40" s="52">
        <f>volume!GP40</f>
        <v>0</v>
      </c>
      <c r="GQ40" s="53">
        <f>volume!GQ40</f>
        <v>0</v>
      </c>
      <c r="GR40" s="53">
        <f>volume!GR40</f>
        <v>0</v>
      </c>
      <c r="GS40" s="53">
        <f>volume!GS40</f>
        <v>0</v>
      </c>
      <c r="GT40" s="53">
        <f>volume!GT40</f>
        <v>0</v>
      </c>
      <c r="GU40" s="54">
        <f>volume!GU40</f>
        <v>0</v>
      </c>
      <c r="GV40" s="50">
        <f t="shared" si="25"/>
        <v>0</v>
      </c>
      <c r="GW40" s="52">
        <f>volume!GW40</f>
        <v>0</v>
      </c>
      <c r="GX40" s="53">
        <f>volume!GX40</f>
        <v>0</v>
      </c>
      <c r="GY40" s="53">
        <f>volume!GY40</f>
        <v>0</v>
      </c>
      <c r="GZ40" s="53">
        <f>volume!GZ40</f>
        <v>0</v>
      </c>
      <c r="HA40" s="53">
        <f>volume!HA40</f>
        <v>0</v>
      </c>
      <c r="HB40" s="54">
        <f>volume!HB40</f>
        <v>0</v>
      </c>
      <c r="HC40" s="50">
        <f t="shared" si="26"/>
        <v>0</v>
      </c>
      <c r="HD40" s="52">
        <f>volume!HD40</f>
        <v>0</v>
      </c>
      <c r="HE40" s="53">
        <f>volume!HE40</f>
        <v>0</v>
      </c>
      <c r="HF40" s="53">
        <f>volume!HF40</f>
        <v>0</v>
      </c>
      <c r="HG40" s="53">
        <f>volume!HG40</f>
        <v>0</v>
      </c>
      <c r="HH40" s="53">
        <f>volume!HH40</f>
        <v>0</v>
      </c>
      <c r="HI40" s="54">
        <f>volume!HI40</f>
        <v>0</v>
      </c>
      <c r="HJ40" s="50">
        <f t="shared" si="27"/>
        <v>0</v>
      </c>
    </row>
    <row r="41" spans="1:218" ht="21.75" customHeight="1" x14ac:dyDescent="0.6">
      <c r="A41" s="51" t="s">
        <v>96</v>
      </c>
      <c r="B41" s="52">
        <f>volume!B41</f>
        <v>52</v>
      </c>
      <c r="C41" s="53">
        <f>volume!C41</f>
        <v>5</v>
      </c>
      <c r="D41" s="53">
        <f>volume!D41</f>
        <v>0</v>
      </c>
      <c r="E41" s="53">
        <f>volume!E41</f>
        <v>0</v>
      </c>
      <c r="F41" s="53">
        <f>volume!F41</f>
        <v>0</v>
      </c>
      <c r="G41" s="54">
        <f>volume!G41</f>
        <v>0</v>
      </c>
      <c r="H41" s="48">
        <f t="shared" si="0"/>
        <v>57</v>
      </c>
      <c r="I41" s="52">
        <f>volume!I41</f>
        <v>39</v>
      </c>
      <c r="J41" s="53">
        <f>volume!J41</f>
        <v>12</v>
      </c>
      <c r="K41" s="53">
        <f>volume!K41</f>
        <v>0</v>
      </c>
      <c r="L41" s="53">
        <f>volume!L41</f>
        <v>0</v>
      </c>
      <c r="M41" s="53">
        <f>volume!M41</f>
        <v>0</v>
      </c>
      <c r="N41" s="54">
        <f>volume!N41</f>
        <v>0</v>
      </c>
      <c r="O41" s="49">
        <f t="shared" si="1"/>
        <v>51</v>
      </c>
      <c r="P41" s="52">
        <f>volume!P41</f>
        <v>28</v>
      </c>
      <c r="Q41" s="53">
        <f>volume!Q41</f>
        <v>10</v>
      </c>
      <c r="R41" s="53">
        <f>volume!R41</f>
        <v>0</v>
      </c>
      <c r="S41" s="53">
        <f>volume!S41</f>
        <v>0</v>
      </c>
      <c r="T41" s="53">
        <f>volume!T41</f>
        <v>0</v>
      </c>
      <c r="U41" s="54">
        <f>volume!U41</f>
        <v>0</v>
      </c>
      <c r="V41" s="49">
        <f t="shared" si="2"/>
        <v>38</v>
      </c>
      <c r="W41" s="52">
        <f>volume!W41</f>
        <v>0</v>
      </c>
      <c r="X41" s="53">
        <f>volume!X41</f>
        <v>0</v>
      </c>
      <c r="Y41" s="53">
        <f>volume!Y41</f>
        <v>0</v>
      </c>
      <c r="Z41" s="53">
        <f>volume!Z41</f>
        <v>0</v>
      </c>
      <c r="AA41" s="53">
        <f>volume!AA41</f>
        <v>0</v>
      </c>
      <c r="AB41" s="54">
        <f>volume!AB41</f>
        <v>0</v>
      </c>
      <c r="AC41" s="49">
        <f t="shared" si="3"/>
        <v>0</v>
      </c>
      <c r="AD41" s="52">
        <f>volume!AD41</f>
        <v>63</v>
      </c>
      <c r="AE41" s="53">
        <f>volume!AE41</f>
        <v>18</v>
      </c>
      <c r="AF41" s="53">
        <f>volume!AF41</f>
        <v>0</v>
      </c>
      <c r="AG41" s="53">
        <f>volume!AG41</f>
        <v>0</v>
      </c>
      <c r="AH41" s="53">
        <f>volume!AH41</f>
        <v>1</v>
      </c>
      <c r="AI41" s="54">
        <f>volume!AI41</f>
        <v>0</v>
      </c>
      <c r="AJ41" s="49">
        <f t="shared" si="4"/>
        <v>82</v>
      </c>
      <c r="AK41" s="52">
        <f>volume!AK41</f>
        <v>151</v>
      </c>
      <c r="AL41" s="53">
        <f>volume!AL41</f>
        <v>43</v>
      </c>
      <c r="AM41" s="53">
        <f>volume!AM41</f>
        <v>3</v>
      </c>
      <c r="AN41" s="53">
        <f>volume!AN41</f>
        <v>1</v>
      </c>
      <c r="AO41" s="53">
        <f>volume!AO41</f>
        <v>3</v>
      </c>
      <c r="AP41" s="54">
        <f>volume!AP41</f>
        <v>0</v>
      </c>
      <c r="AQ41" s="49">
        <f t="shared" si="5"/>
        <v>201</v>
      </c>
      <c r="AR41" s="52">
        <f>volume!AR41</f>
        <v>42</v>
      </c>
      <c r="AS41" s="53">
        <f>volume!AS41</f>
        <v>6</v>
      </c>
      <c r="AT41" s="53">
        <f>volume!AT41</f>
        <v>0</v>
      </c>
      <c r="AU41" s="53">
        <f>volume!AU41</f>
        <v>0</v>
      </c>
      <c r="AV41" s="53">
        <f>volume!AV41</f>
        <v>0</v>
      </c>
      <c r="AW41" s="54">
        <f>volume!AW41</f>
        <v>0</v>
      </c>
      <c r="AX41" s="49">
        <f t="shared" si="6"/>
        <v>48</v>
      </c>
      <c r="AY41" s="52">
        <f>volume!AY41</f>
        <v>63</v>
      </c>
      <c r="AZ41" s="53">
        <f>volume!AZ41</f>
        <v>31</v>
      </c>
      <c r="BA41" s="53">
        <f>volume!BA41</f>
        <v>0</v>
      </c>
      <c r="BB41" s="53">
        <f>volume!BB41</f>
        <v>0</v>
      </c>
      <c r="BC41" s="53">
        <f>volume!BC41</f>
        <v>0</v>
      </c>
      <c r="BD41" s="54">
        <f>volume!BD41</f>
        <v>0</v>
      </c>
      <c r="BE41" s="49">
        <f t="shared" si="7"/>
        <v>94</v>
      </c>
      <c r="BF41" s="52">
        <f>volume!BF41</f>
        <v>3</v>
      </c>
      <c r="BG41" s="53">
        <f>volume!BG41</f>
        <v>1</v>
      </c>
      <c r="BH41" s="53">
        <f>volume!BH41</f>
        <v>0</v>
      </c>
      <c r="BI41" s="53">
        <f>volume!BI41</f>
        <v>0</v>
      </c>
      <c r="BJ41" s="53">
        <f>volume!BJ41</f>
        <v>0</v>
      </c>
      <c r="BK41" s="54">
        <f>volume!BK41</f>
        <v>0</v>
      </c>
      <c r="BL41" s="49">
        <f t="shared" si="8"/>
        <v>4</v>
      </c>
      <c r="BM41" s="52">
        <f>volume!BM41</f>
        <v>58</v>
      </c>
      <c r="BN41" s="53">
        <f>volume!BN41</f>
        <v>16</v>
      </c>
      <c r="BO41" s="53">
        <f>volume!BO41</f>
        <v>0</v>
      </c>
      <c r="BP41" s="53">
        <f>volume!BP41</f>
        <v>0</v>
      </c>
      <c r="BQ41" s="53">
        <f>volume!BQ41</f>
        <v>1</v>
      </c>
      <c r="BR41" s="54">
        <f>volume!BR41</f>
        <v>0</v>
      </c>
      <c r="BS41" s="49">
        <f t="shared" si="9"/>
        <v>75</v>
      </c>
      <c r="BT41" s="52">
        <f>volume!BT41</f>
        <v>56</v>
      </c>
      <c r="BU41" s="53">
        <f>volume!BU41</f>
        <v>19</v>
      </c>
      <c r="BV41" s="53">
        <f>volume!BV41</f>
        <v>0</v>
      </c>
      <c r="BW41" s="53">
        <f>volume!BW41</f>
        <v>0</v>
      </c>
      <c r="BX41" s="53">
        <f>volume!BX41</f>
        <v>0</v>
      </c>
      <c r="BY41" s="54">
        <f>volume!BY41</f>
        <v>0</v>
      </c>
      <c r="BZ41" s="49">
        <f t="shared" si="10"/>
        <v>75</v>
      </c>
      <c r="CA41" s="52">
        <f>volume!CA41</f>
        <v>0</v>
      </c>
      <c r="CB41" s="53">
        <f>volume!CB41</f>
        <v>0</v>
      </c>
      <c r="CC41" s="53">
        <f>volume!CC41</f>
        <v>0</v>
      </c>
      <c r="CD41" s="53">
        <f>volume!CD41</f>
        <v>0</v>
      </c>
      <c r="CE41" s="53">
        <f>volume!CE41</f>
        <v>0</v>
      </c>
      <c r="CF41" s="54">
        <f>volume!CF41</f>
        <v>0</v>
      </c>
      <c r="CG41" s="49">
        <f t="shared" si="11"/>
        <v>0</v>
      </c>
      <c r="CH41" s="52">
        <f>volume!CH41</f>
        <v>51</v>
      </c>
      <c r="CI41" s="53">
        <f>volume!CI41</f>
        <v>8</v>
      </c>
      <c r="CJ41" s="53">
        <f>volume!CJ41</f>
        <v>0</v>
      </c>
      <c r="CK41" s="53">
        <f>volume!CK41</f>
        <v>0</v>
      </c>
      <c r="CL41" s="53">
        <f>volume!CL41</f>
        <v>2</v>
      </c>
      <c r="CM41" s="54">
        <f>volume!CM41</f>
        <v>0</v>
      </c>
      <c r="CN41" s="49">
        <f t="shared" si="12"/>
        <v>61</v>
      </c>
      <c r="CO41" s="52">
        <f>volume!CO41</f>
        <v>104</v>
      </c>
      <c r="CP41" s="53">
        <f>volume!CP41</f>
        <v>34</v>
      </c>
      <c r="CQ41" s="53">
        <f>volume!CQ41</f>
        <v>0</v>
      </c>
      <c r="CR41" s="53">
        <f>volume!CR41</f>
        <v>0</v>
      </c>
      <c r="CS41" s="53">
        <f>volume!CS41</f>
        <v>0</v>
      </c>
      <c r="CT41" s="54">
        <f>volume!CT41</f>
        <v>0</v>
      </c>
      <c r="CU41" s="49">
        <f t="shared" si="13"/>
        <v>138</v>
      </c>
      <c r="CV41" s="52">
        <f>volume!CV41</f>
        <v>0</v>
      </c>
      <c r="CW41" s="53">
        <f>volume!CW41</f>
        <v>0</v>
      </c>
      <c r="CX41" s="53">
        <f>volume!CX41</f>
        <v>0</v>
      </c>
      <c r="CY41" s="53">
        <f>volume!CY41</f>
        <v>0</v>
      </c>
      <c r="CZ41" s="53">
        <f>volume!CZ41</f>
        <v>0</v>
      </c>
      <c r="DA41" s="54">
        <f>volume!DA41</f>
        <v>0</v>
      </c>
      <c r="DB41" s="49">
        <f t="shared" si="14"/>
        <v>0</v>
      </c>
      <c r="DC41" s="52">
        <f>volume!DC41</f>
        <v>0</v>
      </c>
      <c r="DD41" s="53">
        <f>volume!DD41</f>
        <v>0</v>
      </c>
      <c r="DE41" s="53">
        <f>volume!DE41</f>
        <v>0</v>
      </c>
      <c r="DF41" s="53">
        <f>volume!DF41</f>
        <v>0</v>
      </c>
      <c r="DG41" s="53">
        <f>volume!DG41</f>
        <v>0</v>
      </c>
      <c r="DH41" s="54">
        <f>volume!DH41</f>
        <v>0</v>
      </c>
      <c r="DI41" s="49">
        <f t="shared" si="15"/>
        <v>0</v>
      </c>
      <c r="DJ41" s="52">
        <f>volume!DJ41</f>
        <v>0</v>
      </c>
      <c r="DK41" s="53">
        <f>volume!DK41</f>
        <v>0</v>
      </c>
      <c r="DL41" s="53">
        <f>volume!DL41</f>
        <v>0</v>
      </c>
      <c r="DM41" s="53">
        <f>volume!DM41</f>
        <v>0</v>
      </c>
      <c r="DN41" s="53">
        <f>volume!DN41</f>
        <v>0</v>
      </c>
      <c r="DO41" s="54">
        <f>volume!DO41</f>
        <v>0</v>
      </c>
      <c r="DP41" s="50">
        <f t="shared" si="16"/>
        <v>0</v>
      </c>
      <c r="DQ41" s="52">
        <f>volume!DQ41</f>
        <v>0</v>
      </c>
      <c r="DR41" s="53">
        <f>volume!DR41</f>
        <v>0</v>
      </c>
      <c r="DS41" s="53">
        <f>volume!DS41</f>
        <v>0</v>
      </c>
      <c r="DT41" s="53">
        <f>volume!DT41</f>
        <v>0</v>
      </c>
      <c r="DU41" s="53">
        <f>volume!DU41</f>
        <v>0</v>
      </c>
      <c r="DV41" s="54">
        <f>volume!DV41</f>
        <v>0</v>
      </c>
      <c r="DW41" s="50">
        <f t="shared" si="17"/>
        <v>0</v>
      </c>
      <c r="DX41" s="52">
        <f>volume!DX41</f>
        <v>0</v>
      </c>
      <c r="DY41" s="53">
        <f>volume!DY41</f>
        <v>0</v>
      </c>
      <c r="DZ41" s="53">
        <f>volume!DZ41</f>
        <v>0</v>
      </c>
      <c r="EA41" s="53">
        <f>volume!EA41</f>
        <v>0</v>
      </c>
      <c r="EB41" s="53">
        <f>volume!EB41</f>
        <v>0</v>
      </c>
      <c r="EC41" s="54">
        <f>volume!EC41</f>
        <v>0</v>
      </c>
      <c r="ED41" s="50">
        <f t="shared" si="18"/>
        <v>0</v>
      </c>
      <c r="EE41" s="273"/>
      <c r="EF41" s="273"/>
      <c r="EG41" s="273"/>
      <c r="EH41" s="273"/>
      <c r="EI41" s="273"/>
      <c r="EJ41" s="273"/>
      <c r="EK41" s="273"/>
      <c r="EL41" s="52">
        <f>volume!EL41</f>
        <v>0</v>
      </c>
      <c r="EM41" s="53">
        <f>volume!EM41</f>
        <v>0</v>
      </c>
      <c r="EN41" s="53">
        <f>volume!EN41</f>
        <v>0</v>
      </c>
      <c r="EO41" s="53">
        <f>volume!EO41</f>
        <v>0</v>
      </c>
      <c r="EP41" s="53">
        <f>volume!EP41</f>
        <v>0</v>
      </c>
      <c r="EQ41" s="54">
        <f>volume!EQ41</f>
        <v>0</v>
      </c>
      <c r="ER41" s="50">
        <f t="shared" si="19"/>
        <v>0</v>
      </c>
      <c r="ES41" s="52">
        <f>volume!ES41</f>
        <v>0</v>
      </c>
      <c r="ET41" s="53">
        <f>volume!ET41</f>
        <v>0</v>
      </c>
      <c r="EU41" s="53">
        <f>volume!EU41</f>
        <v>0</v>
      </c>
      <c r="EV41" s="53">
        <f>volume!EV41</f>
        <v>0</v>
      </c>
      <c r="EW41" s="53">
        <f>volume!EW41</f>
        <v>0</v>
      </c>
      <c r="EX41" s="54">
        <f>volume!EX41</f>
        <v>0</v>
      </c>
      <c r="EY41" s="50">
        <f t="shared" si="20"/>
        <v>0</v>
      </c>
      <c r="EZ41" s="52">
        <f>volume!EZ41</f>
        <v>0</v>
      </c>
      <c r="FA41" s="53">
        <f>volume!FA41</f>
        <v>0</v>
      </c>
      <c r="FB41" s="53">
        <f>volume!FB41</f>
        <v>0</v>
      </c>
      <c r="FC41" s="53">
        <f>volume!FC41</f>
        <v>0</v>
      </c>
      <c r="FD41" s="53">
        <f>volume!FD41</f>
        <v>0</v>
      </c>
      <c r="FE41" s="54">
        <f>volume!FE41</f>
        <v>0</v>
      </c>
      <c r="FF41" s="50">
        <f t="shared" si="21"/>
        <v>0</v>
      </c>
      <c r="FG41" s="273"/>
      <c r="FH41" s="273"/>
      <c r="FI41" s="273"/>
      <c r="FJ41" s="273"/>
      <c r="FK41" s="273"/>
      <c r="FL41" s="273"/>
      <c r="FM41" s="273"/>
      <c r="FN41" s="52">
        <f>volume!FN41</f>
        <v>0</v>
      </c>
      <c r="FO41" s="53">
        <f>volume!FO41</f>
        <v>0</v>
      </c>
      <c r="FP41" s="53">
        <f>volume!FP41</f>
        <v>0</v>
      </c>
      <c r="FQ41" s="53">
        <f>volume!FQ41</f>
        <v>0</v>
      </c>
      <c r="FR41" s="53">
        <f>volume!FR41</f>
        <v>0</v>
      </c>
      <c r="FS41" s="54">
        <f>volume!FS41</f>
        <v>0</v>
      </c>
      <c r="FT41" s="50">
        <f t="shared" si="22"/>
        <v>0</v>
      </c>
      <c r="FU41" s="52">
        <f>volume!FU41</f>
        <v>0</v>
      </c>
      <c r="FV41" s="53">
        <f>volume!FV41</f>
        <v>0</v>
      </c>
      <c r="FW41" s="53">
        <f>volume!FW41</f>
        <v>0</v>
      </c>
      <c r="FX41" s="53">
        <f>volume!FX41</f>
        <v>0</v>
      </c>
      <c r="FY41" s="53">
        <f>volume!FY41</f>
        <v>0</v>
      </c>
      <c r="FZ41" s="54">
        <f>volume!FZ41</f>
        <v>0</v>
      </c>
      <c r="GA41" s="50">
        <f t="shared" si="23"/>
        <v>0</v>
      </c>
      <c r="GB41" s="52">
        <f>volume!GB41</f>
        <v>0</v>
      </c>
      <c r="GC41" s="53">
        <f>volume!GC41</f>
        <v>0</v>
      </c>
      <c r="GD41" s="53">
        <f>volume!GD41</f>
        <v>0</v>
      </c>
      <c r="GE41" s="53">
        <f>volume!GE41</f>
        <v>0</v>
      </c>
      <c r="GF41" s="53">
        <f>volume!GF41</f>
        <v>0</v>
      </c>
      <c r="GG41" s="54">
        <f>volume!GG41</f>
        <v>0</v>
      </c>
      <c r="GH41" s="50">
        <f t="shared" si="24"/>
        <v>0</v>
      </c>
      <c r="GI41" s="273"/>
      <c r="GJ41" s="273"/>
      <c r="GK41" s="273"/>
      <c r="GL41" s="273"/>
      <c r="GM41" s="273"/>
      <c r="GN41" s="273"/>
      <c r="GO41" s="273"/>
      <c r="GP41" s="52">
        <f>volume!GP41</f>
        <v>0</v>
      </c>
      <c r="GQ41" s="53">
        <f>volume!GQ41</f>
        <v>0</v>
      </c>
      <c r="GR41" s="53">
        <f>volume!GR41</f>
        <v>0</v>
      </c>
      <c r="GS41" s="53">
        <f>volume!GS41</f>
        <v>0</v>
      </c>
      <c r="GT41" s="53">
        <f>volume!GT41</f>
        <v>0</v>
      </c>
      <c r="GU41" s="54">
        <f>volume!GU41</f>
        <v>0</v>
      </c>
      <c r="GV41" s="50">
        <f t="shared" si="25"/>
        <v>0</v>
      </c>
      <c r="GW41" s="52">
        <f>volume!GW41</f>
        <v>0</v>
      </c>
      <c r="GX41" s="53">
        <f>volume!GX41</f>
        <v>0</v>
      </c>
      <c r="GY41" s="53">
        <f>volume!GY41</f>
        <v>0</v>
      </c>
      <c r="GZ41" s="53">
        <f>volume!GZ41</f>
        <v>0</v>
      </c>
      <c r="HA41" s="53">
        <f>volume!HA41</f>
        <v>0</v>
      </c>
      <c r="HB41" s="54">
        <f>volume!HB41</f>
        <v>0</v>
      </c>
      <c r="HC41" s="50">
        <f t="shared" si="26"/>
        <v>0</v>
      </c>
      <c r="HD41" s="52">
        <f>volume!HD41</f>
        <v>0</v>
      </c>
      <c r="HE41" s="53">
        <f>volume!HE41</f>
        <v>0</v>
      </c>
      <c r="HF41" s="53">
        <f>volume!HF41</f>
        <v>0</v>
      </c>
      <c r="HG41" s="53">
        <f>volume!HG41</f>
        <v>0</v>
      </c>
      <c r="HH41" s="53">
        <f>volume!HH41</f>
        <v>0</v>
      </c>
      <c r="HI41" s="54">
        <f>volume!HI41</f>
        <v>0</v>
      </c>
      <c r="HJ41" s="50">
        <f t="shared" si="27"/>
        <v>0</v>
      </c>
    </row>
    <row r="42" spans="1:218" ht="21.75" customHeight="1" x14ac:dyDescent="0.6">
      <c r="A42" s="55" t="s">
        <v>97</v>
      </c>
      <c r="B42" s="52">
        <f>volume!B42</f>
        <v>55</v>
      </c>
      <c r="C42" s="53">
        <f>volume!C42</f>
        <v>8</v>
      </c>
      <c r="D42" s="53">
        <f>volume!D42</f>
        <v>0</v>
      </c>
      <c r="E42" s="53">
        <f>volume!E42</f>
        <v>0</v>
      </c>
      <c r="F42" s="53">
        <f>volume!F42</f>
        <v>1</v>
      </c>
      <c r="G42" s="54">
        <f>volume!G42</f>
        <v>1</v>
      </c>
      <c r="H42" s="48">
        <f t="shared" si="0"/>
        <v>65</v>
      </c>
      <c r="I42" s="52">
        <f>volume!I42</f>
        <v>30</v>
      </c>
      <c r="J42" s="53">
        <f>volume!J42</f>
        <v>10</v>
      </c>
      <c r="K42" s="53">
        <f>volume!K42</f>
        <v>0</v>
      </c>
      <c r="L42" s="53">
        <f>volume!L42</f>
        <v>0</v>
      </c>
      <c r="M42" s="53">
        <f>volume!M42</f>
        <v>0</v>
      </c>
      <c r="N42" s="54">
        <f>volume!N42</f>
        <v>0</v>
      </c>
      <c r="O42" s="49">
        <f t="shared" si="1"/>
        <v>40</v>
      </c>
      <c r="P42" s="52">
        <f>volume!P42</f>
        <v>33</v>
      </c>
      <c r="Q42" s="53">
        <f>volume!Q42</f>
        <v>15</v>
      </c>
      <c r="R42" s="53">
        <f>volume!R42</f>
        <v>0</v>
      </c>
      <c r="S42" s="53">
        <f>volume!S42</f>
        <v>0</v>
      </c>
      <c r="T42" s="53">
        <f>volume!T42</f>
        <v>1</v>
      </c>
      <c r="U42" s="54">
        <f>volume!U42</f>
        <v>0</v>
      </c>
      <c r="V42" s="49">
        <f t="shared" si="2"/>
        <v>49</v>
      </c>
      <c r="W42" s="52">
        <f>volume!W42</f>
        <v>0</v>
      </c>
      <c r="X42" s="53">
        <f>volume!X42</f>
        <v>0</v>
      </c>
      <c r="Y42" s="53">
        <f>volume!Y42</f>
        <v>0</v>
      </c>
      <c r="Z42" s="53">
        <f>volume!Z42</f>
        <v>0</v>
      </c>
      <c r="AA42" s="53">
        <f>volume!AA42</f>
        <v>0</v>
      </c>
      <c r="AB42" s="54">
        <f>volume!AB42</f>
        <v>0</v>
      </c>
      <c r="AC42" s="49">
        <f t="shared" si="3"/>
        <v>0</v>
      </c>
      <c r="AD42" s="52">
        <f>volume!AD42</f>
        <v>70</v>
      </c>
      <c r="AE42" s="53">
        <f>volume!AE42</f>
        <v>22</v>
      </c>
      <c r="AF42" s="53">
        <f>volume!AF42</f>
        <v>0</v>
      </c>
      <c r="AG42" s="53">
        <f>volume!AG42</f>
        <v>0</v>
      </c>
      <c r="AH42" s="53">
        <f>volume!AH42</f>
        <v>2</v>
      </c>
      <c r="AI42" s="54">
        <f>volume!AI42</f>
        <v>0</v>
      </c>
      <c r="AJ42" s="49">
        <f t="shared" si="4"/>
        <v>94</v>
      </c>
      <c r="AK42" s="52">
        <f>volume!AK42</f>
        <v>160</v>
      </c>
      <c r="AL42" s="53">
        <f>volume!AL42</f>
        <v>38</v>
      </c>
      <c r="AM42" s="53">
        <f>volume!AM42</f>
        <v>2</v>
      </c>
      <c r="AN42" s="53">
        <f>volume!AN42</f>
        <v>0</v>
      </c>
      <c r="AO42" s="53">
        <f>volume!AO42</f>
        <v>1</v>
      </c>
      <c r="AP42" s="54">
        <f>volume!AP42</f>
        <v>1</v>
      </c>
      <c r="AQ42" s="49">
        <f t="shared" si="5"/>
        <v>202</v>
      </c>
      <c r="AR42" s="52">
        <f>volume!AR42</f>
        <v>45</v>
      </c>
      <c r="AS42" s="53">
        <f>volume!AS42</f>
        <v>6</v>
      </c>
      <c r="AT42" s="53">
        <f>volume!AT42</f>
        <v>0</v>
      </c>
      <c r="AU42" s="53">
        <f>volume!AU42</f>
        <v>0</v>
      </c>
      <c r="AV42" s="53">
        <f>volume!AV42</f>
        <v>0</v>
      </c>
      <c r="AW42" s="54">
        <f>volume!AW42</f>
        <v>1</v>
      </c>
      <c r="AX42" s="49">
        <f t="shared" si="6"/>
        <v>52</v>
      </c>
      <c r="AY42" s="52">
        <f>volume!AY42</f>
        <v>55</v>
      </c>
      <c r="AZ42" s="53">
        <f>volume!AZ42</f>
        <v>22</v>
      </c>
      <c r="BA42" s="53">
        <f>volume!BA42</f>
        <v>1</v>
      </c>
      <c r="BB42" s="53">
        <f>volume!BB42</f>
        <v>0</v>
      </c>
      <c r="BC42" s="53">
        <f>volume!BC42</f>
        <v>1</v>
      </c>
      <c r="BD42" s="54">
        <f>volume!BD42</f>
        <v>0</v>
      </c>
      <c r="BE42" s="49">
        <f t="shared" si="7"/>
        <v>79</v>
      </c>
      <c r="BF42" s="52">
        <f>volume!BF42</f>
        <v>9</v>
      </c>
      <c r="BG42" s="53">
        <f>volume!BG42</f>
        <v>0</v>
      </c>
      <c r="BH42" s="53">
        <f>volume!BH42</f>
        <v>0</v>
      </c>
      <c r="BI42" s="53">
        <f>volume!BI42</f>
        <v>0</v>
      </c>
      <c r="BJ42" s="53">
        <f>volume!BJ42</f>
        <v>0</v>
      </c>
      <c r="BK42" s="54">
        <f>volume!BK42</f>
        <v>0</v>
      </c>
      <c r="BL42" s="49">
        <f t="shared" si="8"/>
        <v>9</v>
      </c>
      <c r="BM42" s="52">
        <f>volume!BM42</f>
        <v>59</v>
      </c>
      <c r="BN42" s="53">
        <f>volume!BN42</f>
        <v>12</v>
      </c>
      <c r="BO42" s="53">
        <f>volume!BO42</f>
        <v>0</v>
      </c>
      <c r="BP42" s="53">
        <f>volume!BP42</f>
        <v>0</v>
      </c>
      <c r="BQ42" s="53">
        <f>volume!BQ42</f>
        <v>0</v>
      </c>
      <c r="BR42" s="54">
        <f>volume!BR42</f>
        <v>0</v>
      </c>
      <c r="BS42" s="49">
        <f t="shared" si="9"/>
        <v>71</v>
      </c>
      <c r="BT42" s="52">
        <f>volume!BT42</f>
        <v>69</v>
      </c>
      <c r="BU42" s="53">
        <f>volume!BU42</f>
        <v>8</v>
      </c>
      <c r="BV42" s="53">
        <f>volume!BV42</f>
        <v>0</v>
      </c>
      <c r="BW42" s="53">
        <f>volume!BW42</f>
        <v>0</v>
      </c>
      <c r="BX42" s="53">
        <f>volume!BX42</f>
        <v>0</v>
      </c>
      <c r="BY42" s="54">
        <f>volume!BY42</f>
        <v>0</v>
      </c>
      <c r="BZ42" s="49">
        <f t="shared" si="10"/>
        <v>77</v>
      </c>
      <c r="CA42" s="52">
        <f>volume!CA42</f>
        <v>0</v>
      </c>
      <c r="CB42" s="53">
        <f>volume!CB42</f>
        <v>0</v>
      </c>
      <c r="CC42" s="53">
        <f>volume!CC42</f>
        <v>0</v>
      </c>
      <c r="CD42" s="53">
        <f>volume!CD42</f>
        <v>0</v>
      </c>
      <c r="CE42" s="53">
        <f>volume!CE42</f>
        <v>0</v>
      </c>
      <c r="CF42" s="54">
        <f>volume!CF42</f>
        <v>0</v>
      </c>
      <c r="CG42" s="49">
        <f t="shared" si="11"/>
        <v>0</v>
      </c>
      <c r="CH42" s="52">
        <f>volume!CH42</f>
        <v>59</v>
      </c>
      <c r="CI42" s="53">
        <f>volume!CI42</f>
        <v>9</v>
      </c>
      <c r="CJ42" s="53">
        <f>volume!CJ42</f>
        <v>0</v>
      </c>
      <c r="CK42" s="53">
        <f>volume!CK42</f>
        <v>0</v>
      </c>
      <c r="CL42" s="53">
        <f>volume!CL42</f>
        <v>1</v>
      </c>
      <c r="CM42" s="54">
        <f>volume!CM42</f>
        <v>1</v>
      </c>
      <c r="CN42" s="49">
        <f t="shared" si="12"/>
        <v>70</v>
      </c>
      <c r="CO42" s="52">
        <f>volume!CO42</f>
        <v>128</v>
      </c>
      <c r="CP42" s="53">
        <f>volume!CP42</f>
        <v>30</v>
      </c>
      <c r="CQ42" s="53">
        <f>volume!CQ42</f>
        <v>0</v>
      </c>
      <c r="CR42" s="53">
        <f>volume!CR42</f>
        <v>0</v>
      </c>
      <c r="CS42" s="53">
        <f>volume!CS42</f>
        <v>1</v>
      </c>
      <c r="CT42" s="54">
        <f>volume!CT42</f>
        <v>0</v>
      </c>
      <c r="CU42" s="49">
        <f t="shared" si="13"/>
        <v>159</v>
      </c>
      <c r="CV42" s="52">
        <f>volume!CV42</f>
        <v>0</v>
      </c>
      <c r="CW42" s="53">
        <f>volume!CW42</f>
        <v>0</v>
      </c>
      <c r="CX42" s="53">
        <f>volume!CX42</f>
        <v>0</v>
      </c>
      <c r="CY42" s="53">
        <f>volume!CY42</f>
        <v>0</v>
      </c>
      <c r="CZ42" s="53">
        <f>volume!CZ42</f>
        <v>0</v>
      </c>
      <c r="DA42" s="54">
        <f>volume!DA42</f>
        <v>0</v>
      </c>
      <c r="DB42" s="49">
        <f t="shared" si="14"/>
        <v>0</v>
      </c>
      <c r="DC42" s="52">
        <f>volume!DC42</f>
        <v>0</v>
      </c>
      <c r="DD42" s="53">
        <f>volume!DD42</f>
        <v>0</v>
      </c>
      <c r="DE42" s="53">
        <f>volume!DE42</f>
        <v>0</v>
      </c>
      <c r="DF42" s="53">
        <f>volume!DF42</f>
        <v>0</v>
      </c>
      <c r="DG42" s="53">
        <f>volume!DG42</f>
        <v>0</v>
      </c>
      <c r="DH42" s="54">
        <f>volume!DH42</f>
        <v>0</v>
      </c>
      <c r="DI42" s="49">
        <f t="shared" si="15"/>
        <v>0</v>
      </c>
      <c r="DJ42" s="52">
        <f>volume!DJ42</f>
        <v>0</v>
      </c>
      <c r="DK42" s="53">
        <f>volume!DK42</f>
        <v>0</v>
      </c>
      <c r="DL42" s="53">
        <f>volume!DL42</f>
        <v>0</v>
      </c>
      <c r="DM42" s="53">
        <f>volume!DM42</f>
        <v>0</v>
      </c>
      <c r="DN42" s="53">
        <f>volume!DN42</f>
        <v>0</v>
      </c>
      <c r="DO42" s="54">
        <f>volume!DO42</f>
        <v>0</v>
      </c>
      <c r="DP42" s="50">
        <f t="shared" si="16"/>
        <v>0</v>
      </c>
      <c r="DQ42" s="52">
        <f>volume!DQ42</f>
        <v>0</v>
      </c>
      <c r="DR42" s="53">
        <f>volume!DR42</f>
        <v>0</v>
      </c>
      <c r="DS42" s="53">
        <f>volume!DS42</f>
        <v>0</v>
      </c>
      <c r="DT42" s="53">
        <f>volume!DT42</f>
        <v>0</v>
      </c>
      <c r="DU42" s="53">
        <f>volume!DU42</f>
        <v>0</v>
      </c>
      <c r="DV42" s="54">
        <f>volume!DV42</f>
        <v>0</v>
      </c>
      <c r="DW42" s="50">
        <f t="shared" si="17"/>
        <v>0</v>
      </c>
      <c r="DX42" s="52">
        <f>volume!DX42</f>
        <v>0</v>
      </c>
      <c r="DY42" s="53">
        <f>volume!DY42</f>
        <v>0</v>
      </c>
      <c r="DZ42" s="53">
        <f>volume!DZ42</f>
        <v>0</v>
      </c>
      <c r="EA42" s="53">
        <f>volume!EA42</f>
        <v>0</v>
      </c>
      <c r="EB42" s="53">
        <f>volume!EB42</f>
        <v>0</v>
      </c>
      <c r="EC42" s="54">
        <f>volume!EC42</f>
        <v>0</v>
      </c>
      <c r="ED42" s="50">
        <f t="shared" si="18"/>
        <v>0</v>
      </c>
      <c r="EE42" s="273"/>
      <c r="EF42" s="273"/>
      <c r="EG42" s="273"/>
      <c r="EH42" s="273"/>
      <c r="EI42" s="273"/>
      <c r="EJ42" s="273"/>
      <c r="EK42" s="273"/>
      <c r="EL42" s="52">
        <f>volume!EL42</f>
        <v>0</v>
      </c>
      <c r="EM42" s="53">
        <f>volume!EM42</f>
        <v>0</v>
      </c>
      <c r="EN42" s="53">
        <f>volume!EN42</f>
        <v>0</v>
      </c>
      <c r="EO42" s="53">
        <f>volume!EO42</f>
        <v>0</v>
      </c>
      <c r="EP42" s="53">
        <f>volume!EP42</f>
        <v>0</v>
      </c>
      <c r="EQ42" s="54">
        <f>volume!EQ42</f>
        <v>0</v>
      </c>
      <c r="ER42" s="50">
        <f t="shared" si="19"/>
        <v>0</v>
      </c>
      <c r="ES42" s="52">
        <f>volume!ES42</f>
        <v>0</v>
      </c>
      <c r="ET42" s="53">
        <f>volume!ET42</f>
        <v>0</v>
      </c>
      <c r="EU42" s="53">
        <f>volume!EU42</f>
        <v>0</v>
      </c>
      <c r="EV42" s="53">
        <f>volume!EV42</f>
        <v>0</v>
      </c>
      <c r="EW42" s="53">
        <f>volume!EW42</f>
        <v>0</v>
      </c>
      <c r="EX42" s="54">
        <f>volume!EX42</f>
        <v>0</v>
      </c>
      <c r="EY42" s="50">
        <f t="shared" si="20"/>
        <v>0</v>
      </c>
      <c r="EZ42" s="52">
        <f>volume!EZ42</f>
        <v>0</v>
      </c>
      <c r="FA42" s="53">
        <f>volume!FA42</f>
        <v>0</v>
      </c>
      <c r="FB42" s="53">
        <f>volume!FB42</f>
        <v>0</v>
      </c>
      <c r="FC42" s="53">
        <f>volume!FC42</f>
        <v>0</v>
      </c>
      <c r="FD42" s="53">
        <f>volume!FD42</f>
        <v>0</v>
      </c>
      <c r="FE42" s="54">
        <f>volume!FE42</f>
        <v>0</v>
      </c>
      <c r="FF42" s="50">
        <f t="shared" si="21"/>
        <v>0</v>
      </c>
      <c r="FG42" s="273"/>
      <c r="FH42" s="273"/>
      <c r="FI42" s="273"/>
      <c r="FJ42" s="273"/>
      <c r="FK42" s="273"/>
      <c r="FL42" s="273"/>
      <c r="FM42" s="273"/>
      <c r="FN42" s="52">
        <f>volume!FN42</f>
        <v>0</v>
      </c>
      <c r="FO42" s="53">
        <f>volume!FO42</f>
        <v>0</v>
      </c>
      <c r="FP42" s="53">
        <f>volume!FP42</f>
        <v>0</v>
      </c>
      <c r="FQ42" s="53">
        <f>volume!FQ42</f>
        <v>0</v>
      </c>
      <c r="FR42" s="53">
        <f>volume!FR42</f>
        <v>0</v>
      </c>
      <c r="FS42" s="54">
        <f>volume!FS42</f>
        <v>0</v>
      </c>
      <c r="FT42" s="50">
        <f t="shared" si="22"/>
        <v>0</v>
      </c>
      <c r="FU42" s="52">
        <f>volume!FU42</f>
        <v>0</v>
      </c>
      <c r="FV42" s="53">
        <f>volume!FV42</f>
        <v>0</v>
      </c>
      <c r="FW42" s="53">
        <f>volume!FW42</f>
        <v>0</v>
      </c>
      <c r="FX42" s="53">
        <f>volume!FX42</f>
        <v>0</v>
      </c>
      <c r="FY42" s="53">
        <f>volume!FY42</f>
        <v>0</v>
      </c>
      <c r="FZ42" s="54">
        <f>volume!FZ42</f>
        <v>0</v>
      </c>
      <c r="GA42" s="50">
        <f t="shared" si="23"/>
        <v>0</v>
      </c>
      <c r="GB42" s="52">
        <f>volume!GB42</f>
        <v>0</v>
      </c>
      <c r="GC42" s="53">
        <f>volume!GC42</f>
        <v>0</v>
      </c>
      <c r="GD42" s="53">
        <f>volume!GD42</f>
        <v>0</v>
      </c>
      <c r="GE42" s="53">
        <f>volume!GE42</f>
        <v>0</v>
      </c>
      <c r="GF42" s="53">
        <f>volume!GF42</f>
        <v>0</v>
      </c>
      <c r="GG42" s="54">
        <f>volume!GG42</f>
        <v>0</v>
      </c>
      <c r="GH42" s="50">
        <f t="shared" si="24"/>
        <v>0</v>
      </c>
      <c r="GI42" s="273"/>
      <c r="GJ42" s="273"/>
      <c r="GK42" s="273"/>
      <c r="GL42" s="273"/>
      <c r="GM42" s="273"/>
      <c r="GN42" s="273"/>
      <c r="GO42" s="273"/>
      <c r="GP42" s="52">
        <f>volume!GP42</f>
        <v>0</v>
      </c>
      <c r="GQ42" s="53">
        <f>volume!GQ42</f>
        <v>0</v>
      </c>
      <c r="GR42" s="53">
        <f>volume!GR42</f>
        <v>0</v>
      </c>
      <c r="GS42" s="53">
        <f>volume!GS42</f>
        <v>0</v>
      </c>
      <c r="GT42" s="53">
        <f>volume!GT42</f>
        <v>0</v>
      </c>
      <c r="GU42" s="54">
        <f>volume!GU42</f>
        <v>0</v>
      </c>
      <c r="GV42" s="50">
        <f t="shared" si="25"/>
        <v>0</v>
      </c>
      <c r="GW42" s="52">
        <f>volume!GW42</f>
        <v>0</v>
      </c>
      <c r="GX42" s="53">
        <f>volume!GX42</f>
        <v>0</v>
      </c>
      <c r="GY42" s="53">
        <f>volume!GY42</f>
        <v>0</v>
      </c>
      <c r="GZ42" s="53">
        <f>volume!GZ42</f>
        <v>0</v>
      </c>
      <c r="HA42" s="53">
        <f>volume!HA42</f>
        <v>0</v>
      </c>
      <c r="HB42" s="54">
        <f>volume!HB42</f>
        <v>0</v>
      </c>
      <c r="HC42" s="50">
        <f t="shared" si="26"/>
        <v>0</v>
      </c>
      <c r="HD42" s="52">
        <f>volume!HD42</f>
        <v>0</v>
      </c>
      <c r="HE42" s="53">
        <f>volume!HE42</f>
        <v>0</v>
      </c>
      <c r="HF42" s="53">
        <f>volume!HF42</f>
        <v>0</v>
      </c>
      <c r="HG42" s="53">
        <f>volume!HG42</f>
        <v>0</v>
      </c>
      <c r="HH42" s="53">
        <f>volume!HH42</f>
        <v>0</v>
      </c>
      <c r="HI42" s="54">
        <f>volume!HI42</f>
        <v>0</v>
      </c>
      <c r="HJ42" s="50">
        <f t="shared" si="27"/>
        <v>0</v>
      </c>
    </row>
    <row r="43" spans="1:218" ht="21.75" customHeight="1" x14ac:dyDescent="0.6">
      <c r="A43" s="44" t="s">
        <v>98</v>
      </c>
      <c r="B43" s="45">
        <f>volume!B43</f>
        <v>49</v>
      </c>
      <c r="C43" s="46">
        <f>volume!C43</f>
        <v>6</v>
      </c>
      <c r="D43" s="46">
        <f>volume!D43</f>
        <v>0</v>
      </c>
      <c r="E43" s="46">
        <f>volume!E43</f>
        <v>0</v>
      </c>
      <c r="F43" s="46">
        <f>volume!F43</f>
        <v>0</v>
      </c>
      <c r="G43" s="47">
        <f>volume!G43</f>
        <v>0</v>
      </c>
      <c r="H43" s="48">
        <f t="shared" si="0"/>
        <v>55</v>
      </c>
      <c r="I43" s="45">
        <f>volume!I43</f>
        <v>28</v>
      </c>
      <c r="J43" s="46">
        <f>volume!J43</f>
        <v>8</v>
      </c>
      <c r="K43" s="46">
        <f>volume!K43</f>
        <v>0</v>
      </c>
      <c r="L43" s="46">
        <f>volume!L43</f>
        <v>0</v>
      </c>
      <c r="M43" s="46">
        <f>volume!M43</f>
        <v>0</v>
      </c>
      <c r="N43" s="47">
        <f>volume!N43</f>
        <v>0</v>
      </c>
      <c r="O43" s="49">
        <f t="shared" si="1"/>
        <v>36</v>
      </c>
      <c r="P43" s="45">
        <f>volume!P43</f>
        <v>24</v>
      </c>
      <c r="Q43" s="46">
        <f>volume!Q43</f>
        <v>8</v>
      </c>
      <c r="R43" s="46">
        <f>volume!R43</f>
        <v>0</v>
      </c>
      <c r="S43" s="46">
        <f>volume!S43</f>
        <v>0</v>
      </c>
      <c r="T43" s="46">
        <f>volume!T43</f>
        <v>0</v>
      </c>
      <c r="U43" s="47">
        <f>volume!U43</f>
        <v>0</v>
      </c>
      <c r="V43" s="49">
        <f t="shared" si="2"/>
        <v>32</v>
      </c>
      <c r="W43" s="45">
        <f>volume!W43</f>
        <v>0</v>
      </c>
      <c r="X43" s="46">
        <f>volume!X43</f>
        <v>0</v>
      </c>
      <c r="Y43" s="46">
        <f>volume!Y43</f>
        <v>0</v>
      </c>
      <c r="Z43" s="46">
        <f>volume!Z43</f>
        <v>0</v>
      </c>
      <c r="AA43" s="46">
        <f>volume!AA43</f>
        <v>0</v>
      </c>
      <c r="AB43" s="47">
        <f>volume!AB43</f>
        <v>0</v>
      </c>
      <c r="AC43" s="49">
        <f t="shared" si="3"/>
        <v>0</v>
      </c>
      <c r="AD43" s="45">
        <f>volume!AD43</f>
        <v>52</v>
      </c>
      <c r="AE43" s="46">
        <f>volume!AE43</f>
        <v>20</v>
      </c>
      <c r="AF43" s="46">
        <f>volume!AF43</f>
        <v>0</v>
      </c>
      <c r="AG43" s="46">
        <f>volume!AG43</f>
        <v>0</v>
      </c>
      <c r="AH43" s="46">
        <f>volume!AH43</f>
        <v>0</v>
      </c>
      <c r="AI43" s="47">
        <f>volume!AI43</f>
        <v>1</v>
      </c>
      <c r="AJ43" s="49">
        <f t="shared" si="4"/>
        <v>73</v>
      </c>
      <c r="AK43" s="45">
        <f>volume!AK43</f>
        <v>148</v>
      </c>
      <c r="AL43" s="46">
        <f>volume!AL43</f>
        <v>42</v>
      </c>
      <c r="AM43" s="46">
        <f>volume!AM43</f>
        <v>1</v>
      </c>
      <c r="AN43" s="46">
        <f>volume!AN43</f>
        <v>0</v>
      </c>
      <c r="AO43" s="46">
        <f>volume!AO43</f>
        <v>4</v>
      </c>
      <c r="AP43" s="47">
        <f>volume!AP43</f>
        <v>1</v>
      </c>
      <c r="AQ43" s="49">
        <f t="shared" si="5"/>
        <v>196</v>
      </c>
      <c r="AR43" s="45">
        <f>volume!AR43</f>
        <v>38</v>
      </c>
      <c r="AS43" s="46">
        <f>volume!AS43</f>
        <v>4</v>
      </c>
      <c r="AT43" s="46">
        <f>volume!AT43</f>
        <v>0</v>
      </c>
      <c r="AU43" s="46">
        <f>volume!AU43</f>
        <v>0</v>
      </c>
      <c r="AV43" s="46">
        <f>volume!AV43</f>
        <v>0</v>
      </c>
      <c r="AW43" s="47">
        <f>volume!AW43</f>
        <v>0</v>
      </c>
      <c r="AX43" s="49">
        <f t="shared" si="6"/>
        <v>42</v>
      </c>
      <c r="AY43" s="45">
        <f>volume!AY43</f>
        <v>61</v>
      </c>
      <c r="AZ43" s="46">
        <f>volume!AZ43</f>
        <v>19</v>
      </c>
      <c r="BA43" s="46">
        <f>volume!BA43</f>
        <v>0</v>
      </c>
      <c r="BB43" s="46">
        <f>volume!BB43</f>
        <v>0</v>
      </c>
      <c r="BC43" s="46">
        <f>volume!BC43</f>
        <v>0</v>
      </c>
      <c r="BD43" s="47">
        <f>volume!BD43</f>
        <v>2</v>
      </c>
      <c r="BE43" s="49">
        <f t="shared" si="7"/>
        <v>82</v>
      </c>
      <c r="BF43" s="45">
        <f>volume!BF43</f>
        <v>2</v>
      </c>
      <c r="BG43" s="46">
        <f>volume!BG43</f>
        <v>2</v>
      </c>
      <c r="BH43" s="46">
        <f>volume!BH43</f>
        <v>0</v>
      </c>
      <c r="BI43" s="46">
        <f>volume!BI43</f>
        <v>0</v>
      </c>
      <c r="BJ43" s="46">
        <f>volume!BJ43</f>
        <v>0</v>
      </c>
      <c r="BK43" s="47">
        <f>volume!BK43</f>
        <v>0</v>
      </c>
      <c r="BL43" s="49">
        <f t="shared" si="8"/>
        <v>4</v>
      </c>
      <c r="BM43" s="45">
        <f>volume!BM43</f>
        <v>61</v>
      </c>
      <c r="BN43" s="46">
        <f>volume!BN43</f>
        <v>17</v>
      </c>
      <c r="BO43" s="46">
        <f>volume!BO43</f>
        <v>0</v>
      </c>
      <c r="BP43" s="46">
        <f>volume!BP43</f>
        <v>0</v>
      </c>
      <c r="BQ43" s="46">
        <f>volume!BQ43</f>
        <v>0</v>
      </c>
      <c r="BR43" s="47">
        <f>volume!BR43</f>
        <v>0</v>
      </c>
      <c r="BS43" s="49">
        <f t="shared" si="9"/>
        <v>78</v>
      </c>
      <c r="BT43" s="45">
        <f>volume!BT43</f>
        <v>78</v>
      </c>
      <c r="BU43" s="46">
        <f>volume!BU43</f>
        <v>14</v>
      </c>
      <c r="BV43" s="46">
        <f>volume!BV43</f>
        <v>0</v>
      </c>
      <c r="BW43" s="46">
        <f>volume!BW43</f>
        <v>0</v>
      </c>
      <c r="BX43" s="46">
        <f>volume!BX43</f>
        <v>0</v>
      </c>
      <c r="BY43" s="47">
        <f>volume!BY43</f>
        <v>0</v>
      </c>
      <c r="BZ43" s="49">
        <f t="shared" si="10"/>
        <v>92</v>
      </c>
      <c r="CA43" s="45">
        <f>volume!CA43</f>
        <v>0</v>
      </c>
      <c r="CB43" s="46">
        <f>volume!CB43</f>
        <v>0</v>
      </c>
      <c r="CC43" s="46">
        <f>volume!CC43</f>
        <v>0</v>
      </c>
      <c r="CD43" s="46">
        <f>volume!CD43</f>
        <v>0</v>
      </c>
      <c r="CE43" s="46">
        <f>volume!CE43</f>
        <v>0</v>
      </c>
      <c r="CF43" s="47">
        <f>volume!CF43</f>
        <v>0</v>
      </c>
      <c r="CG43" s="49">
        <f t="shared" si="11"/>
        <v>0</v>
      </c>
      <c r="CH43" s="45">
        <f>volume!CH43</f>
        <v>65</v>
      </c>
      <c r="CI43" s="46">
        <f>volume!CI43</f>
        <v>12</v>
      </c>
      <c r="CJ43" s="46">
        <f>volume!CJ43</f>
        <v>0</v>
      </c>
      <c r="CK43" s="46">
        <f>volume!CK43</f>
        <v>0</v>
      </c>
      <c r="CL43" s="46">
        <f>volume!CL43</f>
        <v>0</v>
      </c>
      <c r="CM43" s="47">
        <f>volume!CM43</f>
        <v>1</v>
      </c>
      <c r="CN43" s="49">
        <f t="shared" si="12"/>
        <v>78</v>
      </c>
      <c r="CO43" s="45">
        <f>volume!CO43</f>
        <v>133</v>
      </c>
      <c r="CP43" s="46">
        <f>volume!CP43</f>
        <v>47</v>
      </c>
      <c r="CQ43" s="46">
        <f>volume!CQ43</f>
        <v>0</v>
      </c>
      <c r="CR43" s="46">
        <f>volume!CR43</f>
        <v>0</v>
      </c>
      <c r="CS43" s="46">
        <f>volume!CS43</f>
        <v>3</v>
      </c>
      <c r="CT43" s="47">
        <f>volume!CT43</f>
        <v>0</v>
      </c>
      <c r="CU43" s="49">
        <f t="shared" si="13"/>
        <v>183</v>
      </c>
      <c r="CV43" s="45">
        <f>volume!CV43</f>
        <v>0</v>
      </c>
      <c r="CW43" s="46">
        <f>volume!CW43</f>
        <v>0</v>
      </c>
      <c r="CX43" s="46">
        <f>volume!CX43</f>
        <v>0</v>
      </c>
      <c r="CY43" s="46">
        <f>volume!CY43</f>
        <v>0</v>
      </c>
      <c r="CZ43" s="46">
        <f>volume!CZ43</f>
        <v>0</v>
      </c>
      <c r="DA43" s="47">
        <f>volume!DA43</f>
        <v>0</v>
      </c>
      <c r="DB43" s="49">
        <f t="shared" si="14"/>
        <v>0</v>
      </c>
      <c r="DC43" s="45">
        <f>volume!DC43</f>
        <v>0</v>
      </c>
      <c r="DD43" s="46">
        <f>volume!DD43</f>
        <v>0</v>
      </c>
      <c r="DE43" s="46">
        <f>volume!DE43</f>
        <v>0</v>
      </c>
      <c r="DF43" s="46">
        <f>volume!DF43</f>
        <v>0</v>
      </c>
      <c r="DG43" s="46">
        <f>volume!DG43</f>
        <v>0</v>
      </c>
      <c r="DH43" s="47">
        <f>volume!DH43</f>
        <v>0</v>
      </c>
      <c r="DI43" s="49">
        <f t="shared" si="15"/>
        <v>0</v>
      </c>
      <c r="DJ43" s="45">
        <f>volume!DJ43</f>
        <v>0</v>
      </c>
      <c r="DK43" s="46">
        <f>volume!DK43</f>
        <v>0</v>
      </c>
      <c r="DL43" s="46">
        <f>volume!DL43</f>
        <v>0</v>
      </c>
      <c r="DM43" s="46">
        <f>volume!DM43</f>
        <v>0</v>
      </c>
      <c r="DN43" s="46">
        <f>volume!DN43</f>
        <v>0</v>
      </c>
      <c r="DO43" s="47">
        <f>volume!DO43</f>
        <v>0</v>
      </c>
      <c r="DP43" s="50">
        <f t="shared" si="16"/>
        <v>0</v>
      </c>
      <c r="DQ43" s="45">
        <f>volume!DQ43</f>
        <v>0</v>
      </c>
      <c r="DR43" s="46">
        <f>volume!DR43</f>
        <v>0</v>
      </c>
      <c r="DS43" s="46">
        <f>volume!DS43</f>
        <v>0</v>
      </c>
      <c r="DT43" s="46">
        <f>volume!DT43</f>
        <v>0</v>
      </c>
      <c r="DU43" s="46">
        <f>volume!DU43</f>
        <v>0</v>
      </c>
      <c r="DV43" s="47">
        <f>volume!DV43</f>
        <v>0</v>
      </c>
      <c r="DW43" s="50">
        <f t="shared" si="17"/>
        <v>0</v>
      </c>
      <c r="DX43" s="45">
        <f>volume!DX43</f>
        <v>0</v>
      </c>
      <c r="DY43" s="46">
        <f>volume!DY43</f>
        <v>0</v>
      </c>
      <c r="DZ43" s="46">
        <f>volume!DZ43</f>
        <v>0</v>
      </c>
      <c r="EA43" s="46">
        <f>volume!EA43</f>
        <v>0</v>
      </c>
      <c r="EB43" s="46">
        <f>volume!EB43</f>
        <v>0</v>
      </c>
      <c r="EC43" s="47">
        <f>volume!EC43</f>
        <v>0</v>
      </c>
      <c r="ED43" s="50">
        <f t="shared" si="18"/>
        <v>0</v>
      </c>
      <c r="EE43" s="272"/>
      <c r="EF43" s="272"/>
      <c r="EG43" s="272"/>
      <c r="EH43" s="272"/>
      <c r="EI43" s="272"/>
      <c r="EJ43" s="272"/>
      <c r="EK43" s="272"/>
      <c r="EL43" s="45">
        <f>volume!EL43</f>
        <v>0</v>
      </c>
      <c r="EM43" s="46">
        <f>volume!EM43</f>
        <v>0</v>
      </c>
      <c r="EN43" s="46">
        <f>volume!EN43</f>
        <v>0</v>
      </c>
      <c r="EO43" s="46">
        <f>volume!EO43</f>
        <v>0</v>
      </c>
      <c r="EP43" s="46">
        <f>volume!EP43</f>
        <v>0</v>
      </c>
      <c r="EQ43" s="47">
        <f>volume!EQ43</f>
        <v>0</v>
      </c>
      <c r="ER43" s="50">
        <f t="shared" si="19"/>
        <v>0</v>
      </c>
      <c r="ES43" s="45">
        <f>volume!ES43</f>
        <v>0</v>
      </c>
      <c r="ET43" s="46">
        <f>volume!ET43</f>
        <v>0</v>
      </c>
      <c r="EU43" s="46">
        <f>volume!EU43</f>
        <v>0</v>
      </c>
      <c r="EV43" s="46">
        <f>volume!EV43</f>
        <v>0</v>
      </c>
      <c r="EW43" s="46">
        <f>volume!EW43</f>
        <v>0</v>
      </c>
      <c r="EX43" s="47">
        <f>volume!EX43</f>
        <v>0</v>
      </c>
      <c r="EY43" s="50">
        <f t="shared" si="20"/>
        <v>0</v>
      </c>
      <c r="EZ43" s="45">
        <f>volume!EZ43</f>
        <v>0</v>
      </c>
      <c r="FA43" s="46">
        <f>volume!FA43</f>
        <v>0</v>
      </c>
      <c r="FB43" s="46">
        <f>volume!FB43</f>
        <v>0</v>
      </c>
      <c r="FC43" s="46">
        <f>volume!FC43</f>
        <v>0</v>
      </c>
      <c r="FD43" s="46">
        <f>volume!FD43</f>
        <v>0</v>
      </c>
      <c r="FE43" s="47">
        <f>volume!FE43</f>
        <v>0</v>
      </c>
      <c r="FF43" s="50">
        <f t="shared" si="21"/>
        <v>0</v>
      </c>
      <c r="FG43" s="272"/>
      <c r="FH43" s="272"/>
      <c r="FI43" s="272"/>
      <c r="FJ43" s="272"/>
      <c r="FK43" s="272"/>
      <c r="FL43" s="272"/>
      <c r="FM43" s="272"/>
      <c r="FN43" s="45">
        <f>volume!FN43</f>
        <v>0</v>
      </c>
      <c r="FO43" s="46">
        <f>volume!FO43</f>
        <v>0</v>
      </c>
      <c r="FP43" s="46">
        <f>volume!FP43</f>
        <v>0</v>
      </c>
      <c r="FQ43" s="46">
        <f>volume!FQ43</f>
        <v>0</v>
      </c>
      <c r="FR43" s="46">
        <f>volume!FR43</f>
        <v>0</v>
      </c>
      <c r="FS43" s="47">
        <f>volume!FS43</f>
        <v>0</v>
      </c>
      <c r="FT43" s="50">
        <f t="shared" si="22"/>
        <v>0</v>
      </c>
      <c r="FU43" s="45">
        <f>volume!FU43</f>
        <v>0</v>
      </c>
      <c r="FV43" s="46">
        <f>volume!FV43</f>
        <v>0</v>
      </c>
      <c r="FW43" s="46">
        <f>volume!FW43</f>
        <v>0</v>
      </c>
      <c r="FX43" s="46">
        <f>volume!FX43</f>
        <v>0</v>
      </c>
      <c r="FY43" s="46">
        <f>volume!FY43</f>
        <v>0</v>
      </c>
      <c r="FZ43" s="47">
        <f>volume!FZ43</f>
        <v>0</v>
      </c>
      <c r="GA43" s="50">
        <f t="shared" si="23"/>
        <v>0</v>
      </c>
      <c r="GB43" s="45">
        <f>volume!GB43</f>
        <v>0</v>
      </c>
      <c r="GC43" s="46">
        <f>volume!GC43</f>
        <v>0</v>
      </c>
      <c r="GD43" s="46">
        <f>volume!GD43</f>
        <v>0</v>
      </c>
      <c r="GE43" s="46">
        <f>volume!GE43</f>
        <v>0</v>
      </c>
      <c r="GF43" s="46">
        <f>volume!GF43</f>
        <v>0</v>
      </c>
      <c r="GG43" s="47">
        <f>volume!GG43</f>
        <v>0</v>
      </c>
      <c r="GH43" s="50">
        <f t="shared" si="24"/>
        <v>0</v>
      </c>
      <c r="GI43" s="272"/>
      <c r="GJ43" s="272"/>
      <c r="GK43" s="272"/>
      <c r="GL43" s="272"/>
      <c r="GM43" s="272"/>
      <c r="GN43" s="272"/>
      <c r="GO43" s="272"/>
      <c r="GP43" s="45">
        <f>volume!GP43</f>
        <v>0</v>
      </c>
      <c r="GQ43" s="46">
        <f>volume!GQ43</f>
        <v>0</v>
      </c>
      <c r="GR43" s="46">
        <f>volume!GR43</f>
        <v>0</v>
      </c>
      <c r="GS43" s="46">
        <f>volume!GS43</f>
        <v>0</v>
      </c>
      <c r="GT43" s="46">
        <f>volume!GT43</f>
        <v>0</v>
      </c>
      <c r="GU43" s="47">
        <f>volume!GU43</f>
        <v>0</v>
      </c>
      <c r="GV43" s="50">
        <f t="shared" si="25"/>
        <v>0</v>
      </c>
      <c r="GW43" s="45">
        <f>volume!GW43</f>
        <v>0</v>
      </c>
      <c r="GX43" s="46">
        <f>volume!GX43</f>
        <v>0</v>
      </c>
      <c r="GY43" s="46">
        <f>volume!GY43</f>
        <v>0</v>
      </c>
      <c r="GZ43" s="46">
        <f>volume!GZ43</f>
        <v>0</v>
      </c>
      <c r="HA43" s="46">
        <f>volume!HA43</f>
        <v>0</v>
      </c>
      <c r="HB43" s="47">
        <f>volume!HB43</f>
        <v>0</v>
      </c>
      <c r="HC43" s="50">
        <f t="shared" si="26"/>
        <v>0</v>
      </c>
      <c r="HD43" s="45">
        <f>volume!HD43</f>
        <v>0</v>
      </c>
      <c r="HE43" s="46">
        <f>volume!HE43</f>
        <v>0</v>
      </c>
      <c r="HF43" s="46">
        <f>volume!HF43</f>
        <v>0</v>
      </c>
      <c r="HG43" s="46">
        <f>volume!HG43</f>
        <v>0</v>
      </c>
      <c r="HH43" s="46">
        <f>volume!HH43</f>
        <v>0</v>
      </c>
      <c r="HI43" s="47">
        <f>volume!HI43</f>
        <v>0</v>
      </c>
      <c r="HJ43" s="50">
        <f t="shared" si="27"/>
        <v>0</v>
      </c>
    </row>
    <row r="44" spans="1:218" ht="21.75" customHeight="1" x14ac:dyDescent="0.6">
      <c r="A44" s="51" t="s">
        <v>99</v>
      </c>
      <c r="B44" s="52">
        <f>volume!B44</f>
        <v>51</v>
      </c>
      <c r="C44" s="53">
        <f>volume!C44</f>
        <v>4</v>
      </c>
      <c r="D44" s="53">
        <f>volume!D44</f>
        <v>0</v>
      </c>
      <c r="E44" s="53">
        <f>volume!E44</f>
        <v>0</v>
      </c>
      <c r="F44" s="53">
        <f>volume!F44</f>
        <v>2</v>
      </c>
      <c r="G44" s="54">
        <f>volume!G44</f>
        <v>0</v>
      </c>
      <c r="H44" s="48">
        <f t="shared" si="0"/>
        <v>57</v>
      </c>
      <c r="I44" s="52">
        <f>volume!I44</f>
        <v>20</v>
      </c>
      <c r="J44" s="53">
        <f>volume!J44</f>
        <v>10</v>
      </c>
      <c r="K44" s="53">
        <f>volume!K44</f>
        <v>0</v>
      </c>
      <c r="L44" s="53">
        <f>volume!L44</f>
        <v>0</v>
      </c>
      <c r="M44" s="53">
        <f>volume!M44</f>
        <v>0</v>
      </c>
      <c r="N44" s="54">
        <f>volume!N44</f>
        <v>0</v>
      </c>
      <c r="O44" s="49">
        <f t="shared" si="1"/>
        <v>30</v>
      </c>
      <c r="P44" s="52">
        <f>volume!P44</f>
        <v>30</v>
      </c>
      <c r="Q44" s="53">
        <f>volume!Q44</f>
        <v>10</v>
      </c>
      <c r="R44" s="53">
        <f>volume!R44</f>
        <v>0</v>
      </c>
      <c r="S44" s="53">
        <f>volume!S44</f>
        <v>0</v>
      </c>
      <c r="T44" s="53">
        <f>volume!T44</f>
        <v>0</v>
      </c>
      <c r="U44" s="54">
        <f>volume!U44</f>
        <v>0</v>
      </c>
      <c r="V44" s="49">
        <f t="shared" si="2"/>
        <v>40</v>
      </c>
      <c r="W44" s="52">
        <f>volume!W44</f>
        <v>0</v>
      </c>
      <c r="X44" s="53">
        <f>volume!X44</f>
        <v>0</v>
      </c>
      <c r="Y44" s="53">
        <f>volume!Y44</f>
        <v>0</v>
      </c>
      <c r="Z44" s="53">
        <f>volume!Z44</f>
        <v>0</v>
      </c>
      <c r="AA44" s="53">
        <f>volume!AA44</f>
        <v>0</v>
      </c>
      <c r="AB44" s="54">
        <f>volume!AB44</f>
        <v>0</v>
      </c>
      <c r="AC44" s="49">
        <f t="shared" si="3"/>
        <v>0</v>
      </c>
      <c r="AD44" s="52">
        <f>volume!AD44</f>
        <v>58</v>
      </c>
      <c r="AE44" s="53">
        <f>volume!AE44</f>
        <v>28</v>
      </c>
      <c r="AF44" s="53">
        <f>volume!AF44</f>
        <v>1</v>
      </c>
      <c r="AG44" s="53">
        <f>volume!AG44</f>
        <v>0</v>
      </c>
      <c r="AH44" s="53">
        <f>volume!AH44</f>
        <v>0</v>
      </c>
      <c r="AI44" s="54">
        <f>volume!AI44</f>
        <v>0</v>
      </c>
      <c r="AJ44" s="49">
        <f t="shared" si="4"/>
        <v>87</v>
      </c>
      <c r="AK44" s="52">
        <f>volume!AK44</f>
        <v>174</v>
      </c>
      <c r="AL44" s="53">
        <f>volume!AL44</f>
        <v>37</v>
      </c>
      <c r="AM44" s="53">
        <f>volume!AM44</f>
        <v>0</v>
      </c>
      <c r="AN44" s="53">
        <f>volume!AN44</f>
        <v>1</v>
      </c>
      <c r="AO44" s="53">
        <f>volume!AO44</f>
        <v>2</v>
      </c>
      <c r="AP44" s="54">
        <f>volume!AP44</f>
        <v>0</v>
      </c>
      <c r="AQ44" s="49">
        <f t="shared" si="5"/>
        <v>214</v>
      </c>
      <c r="AR44" s="52">
        <f>volume!AR44</f>
        <v>46</v>
      </c>
      <c r="AS44" s="53">
        <f>volume!AS44</f>
        <v>7</v>
      </c>
      <c r="AT44" s="53">
        <f>volume!AT44</f>
        <v>0</v>
      </c>
      <c r="AU44" s="53">
        <f>volume!AU44</f>
        <v>0</v>
      </c>
      <c r="AV44" s="53">
        <f>volume!AV44</f>
        <v>2</v>
      </c>
      <c r="AW44" s="54">
        <f>volume!AW44</f>
        <v>1</v>
      </c>
      <c r="AX44" s="49">
        <f t="shared" si="6"/>
        <v>56</v>
      </c>
      <c r="AY44" s="52">
        <f>volume!AY44</f>
        <v>40</v>
      </c>
      <c r="AZ44" s="53">
        <f>volume!AZ44</f>
        <v>18</v>
      </c>
      <c r="BA44" s="53">
        <f>volume!BA44</f>
        <v>0</v>
      </c>
      <c r="BB44" s="53">
        <f>volume!BB44</f>
        <v>0</v>
      </c>
      <c r="BC44" s="53">
        <f>volume!BC44</f>
        <v>3</v>
      </c>
      <c r="BD44" s="54">
        <f>volume!BD44</f>
        <v>0</v>
      </c>
      <c r="BE44" s="49">
        <f t="shared" si="7"/>
        <v>61</v>
      </c>
      <c r="BF44" s="52">
        <f>volume!BF44</f>
        <v>4</v>
      </c>
      <c r="BG44" s="53">
        <f>volume!BG44</f>
        <v>0</v>
      </c>
      <c r="BH44" s="53">
        <f>volume!BH44</f>
        <v>0</v>
      </c>
      <c r="BI44" s="53">
        <f>volume!BI44</f>
        <v>0</v>
      </c>
      <c r="BJ44" s="53">
        <f>volume!BJ44</f>
        <v>1</v>
      </c>
      <c r="BK44" s="54">
        <f>volume!BK44</f>
        <v>0</v>
      </c>
      <c r="BL44" s="49">
        <f t="shared" si="8"/>
        <v>5</v>
      </c>
      <c r="BM44" s="52">
        <f>volume!BM44</f>
        <v>54</v>
      </c>
      <c r="BN44" s="53">
        <f>volume!BN44</f>
        <v>14</v>
      </c>
      <c r="BO44" s="53">
        <f>volume!BO44</f>
        <v>0</v>
      </c>
      <c r="BP44" s="53">
        <f>volume!BP44</f>
        <v>0</v>
      </c>
      <c r="BQ44" s="53">
        <f>volume!BQ44</f>
        <v>2</v>
      </c>
      <c r="BR44" s="54">
        <f>volume!BR44</f>
        <v>0</v>
      </c>
      <c r="BS44" s="49">
        <f t="shared" si="9"/>
        <v>70</v>
      </c>
      <c r="BT44" s="52">
        <f>volume!BT44</f>
        <v>70</v>
      </c>
      <c r="BU44" s="53">
        <f>volume!BU44</f>
        <v>19</v>
      </c>
      <c r="BV44" s="53">
        <f>volume!BV44</f>
        <v>0</v>
      </c>
      <c r="BW44" s="53">
        <f>volume!BW44</f>
        <v>0</v>
      </c>
      <c r="BX44" s="53">
        <f>volume!BX44</f>
        <v>0</v>
      </c>
      <c r="BY44" s="54">
        <f>volume!BY44</f>
        <v>0</v>
      </c>
      <c r="BZ44" s="49">
        <f t="shared" si="10"/>
        <v>89</v>
      </c>
      <c r="CA44" s="52">
        <f>volume!CA44</f>
        <v>0</v>
      </c>
      <c r="CB44" s="53">
        <f>volume!CB44</f>
        <v>0</v>
      </c>
      <c r="CC44" s="53">
        <f>volume!CC44</f>
        <v>0</v>
      </c>
      <c r="CD44" s="53">
        <f>volume!CD44</f>
        <v>0</v>
      </c>
      <c r="CE44" s="53">
        <f>volume!CE44</f>
        <v>0</v>
      </c>
      <c r="CF44" s="54">
        <f>volume!CF44</f>
        <v>0</v>
      </c>
      <c r="CG44" s="49">
        <f t="shared" si="11"/>
        <v>0</v>
      </c>
      <c r="CH44" s="52">
        <f>volume!CH44</f>
        <v>71</v>
      </c>
      <c r="CI44" s="53">
        <f>volume!CI44</f>
        <v>12</v>
      </c>
      <c r="CJ44" s="53">
        <f>volume!CJ44</f>
        <v>0</v>
      </c>
      <c r="CK44" s="53">
        <f>volume!CK44</f>
        <v>0</v>
      </c>
      <c r="CL44" s="53">
        <f>volume!CL44</f>
        <v>1</v>
      </c>
      <c r="CM44" s="54">
        <f>volume!CM44</f>
        <v>0</v>
      </c>
      <c r="CN44" s="49">
        <f t="shared" si="12"/>
        <v>84</v>
      </c>
      <c r="CO44" s="52">
        <f>volume!CO44</f>
        <v>140</v>
      </c>
      <c r="CP44" s="53">
        <f>volume!CP44</f>
        <v>52</v>
      </c>
      <c r="CQ44" s="53">
        <f>volume!CQ44</f>
        <v>0</v>
      </c>
      <c r="CR44" s="53">
        <f>volume!CR44</f>
        <v>0</v>
      </c>
      <c r="CS44" s="53">
        <f>volume!CS44</f>
        <v>0</v>
      </c>
      <c r="CT44" s="54">
        <f>volume!CT44</f>
        <v>0</v>
      </c>
      <c r="CU44" s="49">
        <f t="shared" si="13"/>
        <v>192</v>
      </c>
      <c r="CV44" s="52">
        <f>volume!CV44</f>
        <v>0</v>
      </c>
      <c r="CW44" s="53">
        <f>volume!CW44</f>
        <v>0</v>
      </c>
      <c r="CX44" s="53">
        <f>volume!CX44</f>
        <v>0</v>
      </c>
      <c r="CY44" s="53">
        <f>volume!CY44</f>
        <v>0</v>
      </c>
      <c r="CZ44" s="53">
        <f>volume!CZ44</f>
        <v>0</v>
      </c>
      <c r="DA44" s="54">
        <f>volume!DA44</f>
        <v>0</v>
      </c>
      <c r="DB44" s="49">
        <f t="shared" si="14"/>
        <v>0</v>
      </c>
      <c r="DC44" s="52">
        <f>volume!DC44</f>
        <v>0</v>
      </c>
      <c r="DD44" s="53">
        <f>volume!DD44</f>
        <v>0</v>
      </c>
      <c r="DE44" s="53">
        <f>volume!DE44</f>
        <v>0</v>
      </c>
      <c r="DF44" s="53">
        <f>volume!DF44</f>
        <v>0</v>
      </c>
      <c r="DG44" s="53">
        <f>volume!DG44</f>
        <v>0</v>
      </c>
      <c r="DH44" s="54">
        <f>volume!DH44</f>
        <v>0</v>
      </c>
      <c r="DI44" s="49">
        <f t="shared" si="15"/>
        <v>0</v>
      </c>
      <c r="DJ44" s="52">
        <f>volume!DJ44</f>
        <v>0</v>
      </c>
      <c r="DK44" s="53">
        <f>volume!DK44</f>
        <v>0</v>
      </c>
      <c r="DL44" s="53">
        <f>volume!DL44</f>
        <v>0</v>
      </c>
      <c r="DM44" s="53">
        <f>volume!DM44</f>
        <v>0</v>
      </c>
      <c r="DN44" s="53">
        <f>volume!DN44</f>
        <v>0</v>
      </c>
      <c r="DO44" s="54">
        <f>volume!DO44</f>
        <v>0</v>
      </c>
      <c r="DP44" s="50">
        <f t="shared" si="16"/>
        <v>0</v>
      </c>
      <c r="DQ44" s="52">
        <f>volume!DQ44</f>
        <v>0</v>
      </c>
      <c r="DR44" s="53">
        <f>volume!DR44</f>
        <v>0</v>
      </c>
      <c r="DS44" s="53">
        <f>volume!DS44</f>
        <v>0</v>
      </c>
      <c r="DT44" s="53">
        <f>volume!DT44</f>
        <v>0</v>
      </c>
      <c r="DU44" s="53">
        <f>volume!DU44</f>
        <v>0</v>
      </c>
      <c r="DV44" s="54">
        <f>volume!DV44</f>
        <v>0</v>
      </c>
      <c r="DW44" s="50">
        <f t="shared" si="17"/>
        <v>0</v>
      </c>
      <c r="DX44" s="52">
        <f>volume!DX44</f>
        <v>0</v>
      </c>
      <c r="DY44" s="53">
        <f>volume!DY44</f>
        <v>0</v>
      </c>
      <c r="DZ44" s="53">
        <f>volume!DZ44</f>
        <v>0</v>
      </c>
      <c r="EA44" s="53">
        <f>volume!EA44</f>
        <v>0</v>
      </c>
      <c r="EB44" s="53">
        <f>volume!EB44</f>
        <v>0</v>
      </c>
      <c r="EC44" s="54">
        <f>volume!EC44</f>
        <v>0</v>
      </c>
      <c r="ED44" s="50">
        <f t="shared" si="18"/>
        <v>0</v>
      </c>
      <c r="EE44" s="273"/>
      <c r="EF44" s="273"/>
      <c r="EG44" s="273"/>
      <c r="EH44" s="273"/>
      <c r="EI44" s="273"/>
      <c r="EJ44" s="273"/>
      <c r="EK44" s="273"/>
      <c r="EL44" s="52">
        <f>volume!EL44</f>
        <v>0</v>
      </c>
      <c r="EM44" s="53">
        <f>volume!EM44</f>
        <v>0</v>
      </c>
      <c r="EN44" s="53">
        <f>volume!EN44</f>
        <v>0</v>
      </c>
      <c r="EO44" s="53">
        <f>volume!EO44</f>
        <v>0</v>
      </c>
      <c r="EP44" s="53">
        <f>volume!EP44</f>
        <v>0</v>
      </c>
      <c r="EQ44" s="54">
        <f>volume!EQ44</f>
        <v>0</v>
      </c>
      <c r="ER44" s="50">
        <f t="shared" si="19"/>
        <v>0</v>
      </c>
      <c r="ES44" s="52">
        <f>volume!ES44</f>
        <v>0</v>
      </c>
      <c r="ET44" s="53">
        <f>volume!ET44</f>
        <v>0</v>
      </c>
      <c r="EU44" s="53">
        <f>volume!EU44</f>
        <v>0</v>
      </c>
      <c r="EV44" s="53">
        <f>volume!EV44</f>
        <v>0</v>
      </c>
      <c r="EW44" s="53">
        <f>volume!EW44</f>
        <v>0</v>
      </c>
      <c r="EX44" s="54">
        <f>volume!EX44</f>
        <v>0</v>
      </c>
      <c r="EY44" s="50">
        <f t="shared" si="20"/>
        <v>0</v>
      </c>
      <c r="EZ44" s="52">
        <f>volume!EZ44</f>
        <v>0</v>
      </c>
      <c r="FA44" s="53">
        <f>volume!FA44</f>
        <v>0</v>
      </c>
      <c r="FB44" s="53">
        <f>volume!FB44</f>
        <v>0</v>
      </c>
      <c r="FC44" s="53">
        <f>volume!FC44</f>
        <v>0</v>
      </c>
      <c r="FD44" s="53">
        <f>volume!FD44</f>
        <v>0</v>
      </c>
      <c r="FE44" s="54">
        <f>volume!FE44</f>
        <v>0</v>
      </c>
      <c r="FF44" s="50">
        <f t="shared" si="21"/>
        <v>0</v>
      </c>
      <c r="FG44" s="273"/>
      <c r="FH44" s="273"/>
      <c r="FI44" s="273"/>
      <c r="FJ44" s="273"/>
      <c r="FK44" s="273"/>
      <c r="FL44" s="273"/>
      <c r="FM44" s="273"/>
      <c r="FN44" s="52">
        <f>volume!FN44</f>
        <v>0</v>
      </c>
      <c r="FO44" s="53">
        <f>volume!FO44</f>
        <v>0</v>
      </c>
      <c r="FP44" s="53">
        <f>volume!FP44</f>
        <v>0</v>
      </c>
      <c r="FQ44" s="53">
        <f>volume!FQ44</f>
        <v>0</v>
      </c>
      <c r="FR44" s="53">
        <f>volume!FR44</f>
        <v>0</v>
      </c>
      <c r="FS44" s="54">
        <f>volume!FS44</f>
        <v>0</v>
      </c>
      <c r="FT44" s="50">
        <f t="shared" si="22"/>
        <v>0</v>
      </c>
      <c r="FU44" s="52">
        <f>volume!FU44</f>
        <v>0</v>
      </c>
      <c r="FV44" s="53">
        <f>volume!FV44</f>
        <v>0</v>
      </c>
      <c r="FW44" s="53">
        <f>volume!FW44</f>
        <v>0</v>
      </c>
      <c r="FX44" s="53">
        <f>volume!FX44</f>
        <v>0</v>
      </c>
      <c r="FY44" s="53">
        <f>volume!FY44</f>
        <v>0</v>
      </c>
      <c r="FZ44" s="54">
        <f>volume!FZ44</f>
        <v>0</v>
      </c>
      <c r="GA44" s="50">
        <f t="shared" si="23"/>
        <v>0</v>
      </c>
      <c r="GB44" s="52">
        <f>volume!GB44</f>
        <v>0</v>
      </c>
      <c r="GC44" s="53">
        <f>volume!GC44</f>
        <v>0</v>
      </c>
      <c r="GD44" s="53">
        <f>volume!GD44</f>
        <v>0</v>
      </c>
      <c r="GE44" s="53">
        <f>volume!GE44</f>
        <v>0</v>
      </c>
      <c r="GF44" s="53">
        <f>volume!GF44</f>
        <v>0</v>
      </c>
      <c r="GG44" s="54">
        <f>volume!GG44</f>
        <v>0</v>
      </c>
      <c r="GH44" s="50">
        <f t="shared" si="24"/>
        <v>0</v>
      </c>
      <c r="GI44" s="273"/>
      <c r="GJ44" s="273"/>
      <c r="GK44" s="273"/>
      <c r="GL44" s="273"/>
      <c r="GM44" s="273"/>
      <c r="GN44" s="273"/>
      <c r="GO44" s="273"/>
      <c r="GP44" s="52">
        <f>volume!GP44</f>
        <v>0</v>
      </c>
      <c r="GQ44" s="53">
        <f>volume!GQ44</f>
        <v>0</v>
      </c>
      <c r="GR44" s="53">
        <f>volume!GR44</f>
        <v>0</v>
      </c>
      <c r="GS44" s="53">
        <f>volume!GS44</f>
        <v>0</v>
      </c>
      <c r="GT44" s="53">
        <f>volume!GT44</f>
        <v>0</v>
      </c>
      <c r="GU44" s="54">
        <f>volume!GU44</f>
        <v>0</v>
      </c>
      <c r="GV44" s="50">
        <f t="shared" si="25"/>
        <v>0</v>
      </c>
      <c r="GW44" s="52">
        <f>volume!GW44</f>
        <v>0</v>
      </c>
      <c r="GX44" s="53">
        <f>volume!GX44</f>
        <v>0</v>
      </c>
      <c r="GY44" s="53">
        <f>volume!GY44</f>
        <v>0</v>
      </c>
      <c r="GZ44" s="53">
        <f>volume!GZ44</f>
        <v>0</v>
      </c>
      <c r="HA44" s="53">
        <f>volume!HA44</f>
        <v>0</v>
      </c>
      <c r="HB44" s="54">
        <f>volume!HB44</f>
        <v>0</v>
      </c>
      <c r="HC44" s="50">
        <f t="shared" si="26"/>
        <v>0</v>
      </c>
      <c r="HD44" s="52">
        <f>volume!HD44</f>
        <v>0</v>
      </c>
      <c r="HE44" s="53">
        <f>volume!HE44</f>
        <v>0</v>
      </c>
      <c r="HF44" s="53">
        <f>volume!HF44</f>
        <v>0</v>
      </c>
      <c r="HG44" s="53">
        <f>volume!HG44</f>
        <v>0</v>
      </c>
      <c r="HH44" s="53">
        <f>volume!HH44</f>
        <v>0</v>
      </c>
      <c r="HI44" s="54">
        <f>volume!HI44</f>
        <v>0</v>
      </c>
      <c r="HJ44" s="50">
        <f t="shared" si="27"/>
        <v>0</v>
      </c>
    </row>
    <row r="45" spans="1:218" ht="21.75" customHeight="1" x14ac:dyDescent="0.6">
      <c r="A45" s="51" t="s">
        <v>100</v>
      </c>
      <c r="B45" s="52">
        <f>volume!B45</f>
        <v>55</v>
      </c>
      <c r="C45" s="53">
        <f>volume!C45</f>
        <v>10</v>
      </c>
      <c r="D45" s="53">
        <f>volume!D45</f>
        <v>1</v>
      </c>
      <c r="E45" s="53">
        <f>volume!E45</f>
        <v>0</v>
      </c>
      <c r="F45" s="53">
        <f>volume!F45</f>
        <v>0</v>
      </c>
      <c r="G45" s="54">
        <f>volume!G45</f>
        <v>2</v>
      </c>
      <c r="H45" s="48">
        <f t="shared" si="0"/>
        <v>68</v>
      </c>
      <c r="I45" s="52">
        <f>volume!I45</f>
        <v>25</v>
      </c>
      <c r="J45" s="53">
        <f>volume!J45</f>
        <v>9</v>
      </c>
      <c r="K45" s="53">
        <f>volume!K45</f>
        <v>0</v>
      </c>
      <c r="L45" s="53">
        <f>volume!L45</f>
        <v>0</v>
      </c>
      <c r="M45" s="53">
        <f>volume!M45</f>
        <v>0</v>
      </c>
      <c r="N45" s="54">
        <f>volume!N45</f>
        <v>0</v>
      </c>
      <c r="O45" s="49">
        <f t="shared" si="1"/>
        <v>34</v>
      </c>
      <c r="P45" s="52">
        <f>volume!P45</f>
        <v>16</v>
      </c>
      <c r="Q45" s="53">
        <f>volume!Q45</f>
        <v>3</v>
      </c>
      <c r="R45" s="53">
        <f>volume!R45</f>
        <v>0</v>
      </c>
      <c r="S45" s="53">
        <f>volume!S45</f>
        <v>0</v>
      </c>
      <c r="T45" s="53">
        <f>volume!T45</f>
        <v>0</v>
      </c>
      <c r="U45" s="54">
        <f>volume!U45</f>
        <v>0</v>
      </c>
      <c r="V45" s="49">
        <f t="shared" si="2"/>
        <v>19</v>
      </c>
      <c r="W45" s="52">
        <f>volume!W45</f>
        <v>0</v>
      </c>
      <c r="X45" s="53">
        <f>volume!X45</f>
        <v>0</v>
      </c>
      <c r="Y45" s="53">
        <f>volume!Y45</f>
        <v>0</v>
      </c>
      <c r="Z45" s="53">
        <f>volume!Z45</f>
        <v>0</v>
      </c>
      <c r="AA45" s="53">
        <f>volume!AA45</f>
        <v>0</v>
      </c>
      <c r="AB45" s="54">
        <f>volume!AB45</f>
        <v>0</v>
      </c>
      <c r="AC45" s="49">
        <f t="shared" si="3"/>
        <v>0</v>
      </c>
      <c r="AD45" s="52">
        <f>volume!AD45</f>
        <v>47</v>
      </c>
      <c r="AE45" s="53">
        <f>volume!AE45</f>
        <v>19</v>
      </c>
      <c r="AF45" s="53">
        <f>volume!AF45</f>
        <v>0</v>
      </c>
      <c r="AG45" s="53">
        <f>volume!AG45</f>
        <v>0</v>
      </c>
      <c r="AH45" s="53">
        <f>volume!AH45</f>
        <v>0</v>
      </c>
      <c r="AI45" s="54">
        <f>volume!AI45</f>
        <v>0</v>
      </c>
      <c r="AJ45" s="49">
        <f t="shared" si="4"/>
        <v>66</v>
      </c>
      <c r="AK45" s="52">
        <f>volume!AK45</f>
        <v>163</v>
      </c>
      <c r="AL45" s="53">
        <f>volume!AL45</f>
        <v>43</v>
      </c>
      <c r="AM45" s="53">
        <f>volume!AM45</f>
        <v>2</v>
      </c>
      <c r="AN45" s="53">
        <f>volume!AN45</f>
        <v>1</v>
      </c>
      <c r="AO45" s="53">
        <f>volume!AO45</f>
        <v>1</v>
      </c>
      <c r="AP45" s="54">
        <f>volume!AP45</f>
        <v>0</v>
      </c>
      <c r="AQ45" s="49">
        <f t="shared" si="5"/>
        <v>210</v>
      </c>
      <c r="AR45" s="52">
        <f>volume!AR45</f>
        <v>40</v>
      </c>
      <c r="AS45" s="53">
        <f>volume!AS45</f>
        <v>11</v>
      </c>
      <c r="AT45" s="53">
        <f>volume!AT45</f>
        <v>0</v>
      </c>
      <c r="AU45" s="53">
        <f>volume!AU45</f>
        <v>0</v>
      </c>
      <c r="AV45" s="53">
        <f>volume!AV45</f>
        <v>0</v>
      </c>
      <c r="AW45" s="54">
        <f>volume!AW45</f>
        <v>1</v>
      </c>
      <c r="AX45" s="49">
        <f t="shared" si="6"/>
        <v>52</v>
      </c>
      <c r="AY45" s="52">
        <f>volume!AY45</f>
        <v>52</v>
      </c>
      <c r="AZ45" s="53">
        <f>volume!AZ45</f>
        <v>16</v>
      </c>
      <c r="BA45" s="53">
        <f>volume!BA45</f>
        <v>1</v>
      </c>
      <c r="BB45" s="53">
        <f>volume!BB45</f>
        <v>0</v>
      </c>
      <c r="BC45" s="53">
        <f>volume!BC45</f>
        <v>2</v>
      </c>
      <c r="BD45" s="54">
        <f>volume!BD45</f>
        <v>0</v>
      </c>
      <c r="BE45" s="49">
        <f t="shared" si="7"/>
        <v>71</v>
      </c>
      <c r="BF45" s="52">
        <f>volume!BF45</f>
        <v>6</v>
      </c>
      <c r="BG45" s="53">
        <f>volume!BG45</f>
        <v>4</v>
      </c>
      <c r="BH45" s="53">
        <f>volume!BH45</f>
        <v>0</v>
      </c>
      <c r="BI45" s="53">
        <f>volume!BI45</f>
        <v>0</v>
      </c>
      <c r="BJ45" s="53">
        <f>volume!BJ45</f>
        <v>0</v>
      </c>
      <c r="BK45" s="54">
        <f>volume!BK45</f>
        <v>0</v>
      </c>
      <c r="BL45" s="49">
        <f t="shared" si="8"/>
        <v>10</v>
      </c>
      <c r="BM45" s="52">
        <f>volume!BM45</f>
        <v>62</v>
      </c>
      <c r="BN45" s="53">
        <f>volume!BN45</f>
        <v>12</v>
      </c>
      <c r="BO45" s="53">
        <f>volume!BO45</f>
        <v>1</v>
      </c>
      <c r="BP45" s="53">
        <f>volume!BP45</f>
        <v>0</v>
      </c>
      <c r="BQ45" s="53">
        <f>volume!BQ45</f>
        <v>0</v>
      </c>
      <c r="BR45" s="54">
        <f>volume!BR45</f>
        <v>0</v>
      </c>
      <c r="BS45" s="49">
        <f t="shared" si="9"/>
        <v>75</v>
      </c>
      <c r="BT45" s="52">
        <f>volume!BT45</f>
        <v>52</v>
      </c>
      <c r="BU45" s="53">
        <f>volume!BU45</f>
        <v>23</v>
      </c>
      <c r="BV45" s="53">
        <f>volume!BV45</f>
        <v>0</v>
      </c>
      <c r="BW45" s="53">
        <f>volume!BW45</f>
        <v>0</v>
      </c>
      <c r="BX45" s="53">
        <f>volume!BX45</f>
        <v>0</v>
      </c>
      <c r="BY45" s="54">
        <f>volume!BY45</f>
        <v>0</v>
      </c>
      <c r="BZ45" s="49">
        <f t="shared" si="10"/>
        <v>75</v>
      </c>
      <c r="CA45" s="52">
        <f>volume!CA45</f>
        <v>0</v>
      </c>
      <c r="CB45" s="53">
        <f>volume!CB45</f>
        <v>0</v>
      </c>
      <c r="CC45" s="53">
        <f>volume!CC45</f>
        <v>0</v>
      </c>
      <c r="CD45" s="53">
        <f>volume!CD45</f>
        <v>0</v>
      </c>
      <c r="CE45" s="53">
        <f>volume!CE45</f>
        <v>0</v>
      </c>
      <c r="CF45" s="54">
        <f>volume!CF45</f>
        <v>0</v>
      </c>
      <c r="CG45" s="49">
        <f t="shared" si="11"/>
        <v>0</v>
      </c>
      <c r="CH45" s="52">
        <f>volume!CH45</f>
        <v>68</v>
      </c>
      <c r="CI45" s="53">
        <f>volume!CI45</f>
        <v>8</v>
      </c>
      <c r="CJ45" s="53">
        <f>volume!CJ45</f>
        <v>0</v>
      </c>
      <c r="CK45" s="53">
        <f>volume!CK45</f>
        <v>0</v>
      </c>
      <c r="CL45" s="53">
        <f>volume!CL45</f>
        <v>0</v>
      </c>
      <c r="CM45" s="54">
        <f>volume!CM45</f>
        <v>0</v>
      </c>
      <c r="CN45" s="49">
        <f t="shared" si="12"/>
        <v>76</v>
      </c>
      <c r="CO45" s="52">
        <f>volume!CO45</f>
        <v>103</v>
      </c>
      <c r="CP45" s="53">
        <f>volume!CP45</f>
        <v>42</v>
      </c>
      <c r="CQ45" s="53">
        <f>volume!CQ45</f>
        <v>0</v>
      </c>
      <c r="CR45" s="53">
        <f>volume!CR45</f>
        <v>1</v>
      </c>
      <c r="CS45" s="53">
        <f>volume!CS45</f>
        <v>1</v>
      </c>
      <c r="CT45" s="54">
        <f>volume!CT45</f>
        <v>1</v>
      </c>
      <c r="CU45" s="49">
        <f t="shared" si="13"/>
        <v>148</v>
      </c>
      <c r="CV45" s="52">
        <f>volume!CV45</f>
        <v>0</v>
      </c>
      <c r="CW45" s="53">
        <f>volume!CW45</f>
        <v>0</v>
      </c>
      <c r="CX45" s="53">
        <f>volume!CX45</f>
        <v>0</v>
      </c>
      <c r="CY45" s="53">
        <f>volume!CY45</f>
        <v>0</v>
      </c>
      <c r="CZ45" s="53">
        <f>volume!CZ45</f>
        <v>0</v>
      </c>
      <c r="DA45" s="54">
        <f>volume!DA45</f>
        <v>0</v>
      </c>
      <c r="DB45" s="49">
        <f t="shared" si="14"/>
        <v>0</v>
      </c>
      <c r="DC45" s="52">
        <f>volume!DC45</f>
        <v>0</v>
      </c>
      <c r="DD45" s="53">
        <f>volume!DD45</f>
        <v>0</v>
      </c>
      <c r="DE45" s="53">
        <f>volume!DE45</f>
        <v>0</v>
      </c>
      <c r="DF45" s="53">
        <f>volume!DF45</f>
        <v>0</v>
      </c>
      <c r="DG45" s="53">
        <f>volume!DG45</f>
        <v>0</v>
      </c>
      <c r="DH45" s="54">
        <f>volume!DH45</f>
        <v>0</v>
      </c>
      <c r="DI45" s="49">
        <f t="shared" si="15"/>
        <v>0</v>
      </c>
      <c r="DJ45" s="52">
        <f>volume!DJ45</f>
        <v>0</v>
      </c>
      <c r="DK45" s="53">
        <f>volume!DK45</f>
        <v>0</v>
      </c>
      <c r="DL45" s="53">
        <f>volume!DL45</f>
        <v>0</v>
      </c>
      <c r="DM45" s="53">
        <f>volume!DM45</f>
        <v>0</v>
      </c>
      <c r="DN45" s="53">
        <f>volume!DN45</f>
        <v>0</v>
      </c>
      <c r="DO45" s="54">
        <f>volume!DO45</f>
        <v>0</v>
      </c>
      <c r="DP45" s="50">
        <f t="shared" si="16"/>
        <v>0</v>
      </c>
      <c r="DQ45" s="52">
        <f>volume!DQ45</f>
        <v>0</v>
      </c>
      <c r="DR45" s="53">
        <f>volume!DR45</f>
        <v>0</v>
      </c>
      <c r="DS45" s="53">
        <f>volume!DS45</f>
        <v>0</v>
      </c>
      <c r="DT45" s="53">
        <f>volume!DT45</f>
        <v>0</v>
      </c>
      <c r="DU45" s="53">
        <f>volume!DU45</f>
        <v>0</v>
      </c>
      <c r="DV45" s="54">
        <f>volume!DV45</f>
        <v>0</v>
      </c>
      <c r="DW45" s="50">
        <f t="shared" si="17"/>
        <v>0</v>
      </c>
      <c r="DX45" s="52">
        <f>volume!DX45</f>
        <v>0</v>
      </c>
      <c r="DY45" s="53">
        <f>volume!DY45</f>
        <v>0</v>
      </c>
      <c r="DZ45" s="53">
        <f>volume!DZ45</f>
        <v>0</v>
      </c>
      <c r="EA45" s="53">
        <f>volume!EA45</f>
        <v>0</v>
      </c>
      <c r="EB45" s="53">
        <f>volume!EB45</f>
        <v>0</v>
      </c>
      <c r="EC45" s="54">
        <f>volume!EC45</f>
        <v>0</v>
      </c>
      <c r="ED45" s="50">
        <f t="shared" si="18"/>
        <v>0</v>
      </c>
      <c r="EE45" s="273"/>
      <c r="EF45" s="273"/>
      <c r="EG45" s="273"/>
      <c r="EH45" s="273"/>
      <c r="EI45" s="273"/>
      <c r="EJ45" s="273"/>
      <c r="EK45" s="273"/>
      <c r="EL45" s="52">
        <f>volume!EL45</f>
        <v>0</v>
      </c>
      <c r="EM45" s="53">
        <f>volume!EM45</f>
        <v>0</v>
      </c>
      <c r="EN45" s="53">
        <f>volume!EN45</f>
        <v>0</v>
      </c>
      <c r="EO45" s="53">
        <f>volume!EO45</f>
        <v>0</v>
      </c>
      <c r="EP45" s="53">
        <f>volume!EP45</f>
        <v>0</v>
      </c>
      <c r="EQ45" s="54">
        <f>volume!EQ45</f>
        <v>0</v>
      </c>
      <c r="ER45" s="50">
        <f t="shared" si="19"/>
        <v>0</v>
      </c>
      <c r="ES45" s="52">
        <f>volume!ES45</f>
        <v>0</v>
      </c>
      <c r="ET45" s="53">
        <f>volume!ET45</f>
        <v>0</v>
      </c>
      <c r="EU45" s="53">
        <f>volume!EU45</f>
        <v>0</v>
      </c>
      <c r="EV45" s="53">
        <f>volume!EV45</f>
        <v>0</v>
      </c>
      <c r="EW45" s="53">
        <f>volume!EW45</f>
        <v>0</v>
      </c>
      <c r="EX45" s="54">
        <f>volume!EX45</f>
        <v>0</v>
      </c>
      <c r="EY45" s="50">
        <f t="shared" si="20"/>
        <v>0</v>
      </c>
      <c r="EZ45" s="52">
        <f>volume!EZ45</f>
        <v>0</v>
      </c>
      <c r="FA45" s="53">
        <f>volume!FA45</f>
        <v>0</v>
      </c>
      <c r="FB45" s="53">
        <f>volume!FB45</f>
        <v>0</v>
      </c>
      <c r="FC45" s="53">
        <f>volume!FC45</f>
        <v>0</v>
      </c>
      <c r="FD45" s="53">
        <f>volume!FD45</f>
        <v>0</v>
      </c>
      <c r="FE45" s="54">
        <f>volume!FE45</f>
        <v>0</v>
      </c>
      <c r="FF45" s="50">
        <f t="shared" si="21"/>
        <v>0</v>
      </c>
      <c r="FG45" s="273"/>
      <c r="FH45" s="273"/>
      <c r="FI45" s="273"/>
      <c r="FJ45" s="273"/>
      <c r="FK45" s="273"/>
      <c r="FL45" s="273"/>
      <c r="FM45" s="273"/>
      <c r="FN45" s="52">
        <f>volume!FN45</f>
        <v>0</v>
      </c>
      <c r="FO45" s="53">
        <f>volume!FO45</f>
        <v>0</v>
      </c>
      <c r="FP45" s="53">
        <f>volume!FP45</f>
        <v>0</v>
      </c>
      <c r="FQ45" s="53">
        <f>volume!FQ45</f>
        <v>0</v>
      </c>
      <c r="FR45" s="53">
        <f>volume!FR45</f>
        <v>0</v>
      </c>
      <c r="FS45" s="54">
        <f>volume!FS45</f>
        <v>0</v>
      </c>
      <c r="FT45" s="50">
        <f t="shared" si="22"/>
        <v>0</v>
      </c>
      <c r="FU45" s="52">
        <f>volume!FU45</f>
        <v>0</v>
      </c>
      <c r="FV45" s="53">
        <f>volume!FV45</f>
        <v>0</v>
      </c>
      <c r="FW45" s="53">
        <f>volume!FW45</f>
        <v>0</v>
      </c>
      <c r="FX45" s="53">
        <f>volume!FX45</f>
        <v>0</v>
      </c>
      <c r="FY45" s="53">
        <f>volume!FY45</f>
        <v>0</v>
      </c>
      <c r="FZ45" s="54">
        <f>volume!FZ45</f>
        <v>0</v>
      </c>
      <c r="GA45" s="50">
        <f t="shared" si="23"/>
        <v>0</v>
      </c>
      <c r="GB45" s="52">
        <f>volume!GB45</f>
        <v>0</v>
      </c>
      <c r="GC45" s="53">
        <f>volume!GC45</f>
        <v>0</v>
      </c>
      <c r="GD45" s="53">
        <f>volume!GD45</f>
        <v>0</v>
      </c>
      <c r="GE45" s="53">
        <f>volume!GE45</f>
        <v>0</v>
      </c>
      <c r="GF45" s="53">
        <f>volume!GF45</f>
        <v>0</v>
      </c>
      <c r="GG45" s="54">
        <f>volume!GG45</f>
        <v>0</v>
      </c>
      <c r="GH45" s="50">
        <f t="shared" si="24"/>
        <v>0</v>
      </c>
      <c r="GI45" s="273"/>
      <c r="GJ45" s="273"/>
      <c r="GK45" s="273"/>
      <c r="GL45" s="273"/>
      <c r="GM45" s="273"/>
      <c r="GN45" s="273"/>
      <c r="GO45" s="273"/>
      <c r="GP45" s="52">
        <f>volume!GP45</f>
        <v>0</v>
      </c>
      <c r="GQ45" s="53">
        <f>volume!GQ45</f>
        <v>0</v>
      </c>
      <c r="GR45" s="53">
        <f>volume!GR45</f>
        <v>0</v>
      </c>
      <c r="GS45" s="53">
        <f>volume!GS45</f>
        <v>0</v>
      </c>
      <c r="GT45" s="53">
        <f>volume!GT45</f>
        <v>0</v>
      </c>
      <c r="GU45" s="54">
        <f>volume!GU45</f>
        <v>0</v>
      </c>
      <c r="GV45" s="50">
        <f t="shared" si="25"/>
        <v>0</v>
      </c>
      <c r="GW45" s="52">
        <f>volume!GW45</f>
        <v>0</v>
      </c>
      <c r="GX45" s="53">
        <f>volume!GX45</f>
        <v>0</v>
      </c>
      <c r="GY45" s="53">
        <f>volume!GY45</f>
        <v>0</v>
      </c>
      <c r="GZ45" s="53">
        <f>volume!GZ45</f>
        <v>0</v>
      </c>
      <c r="HA45" s="53">
        <f>volume!HA45</f>
        <v>0</v>
      </c>
      <c r="HB45" s="54">
        <f>volume!HB45</f>
        <v>0</v>
      </c>
      <c r="HC45" s="50">
        <f t="shared" si="26"/>
        <v>0</v>
      </c>
      <c r="HD45" s="52">
        <f>volume!HD45</f>
        <v>0</v>
      </c>
      <c r="HE45" s="53">
        <f>volume!HE45</f>
        <v>0</v>
      </c>
      <c r="HF45" s="53">
        <f>volume!HF45</f>
        <v>0</v>
      </c>
      <c r="HG45" s="53">
        <f>volume!HG45</f>
        <v>0</v>
      </c>
      <c r="HH45" s="53">
        <f>volume!HH45</f>
        <v>0</v>
      </c>
      <c r="HI45" s="54">
        <f>volume!HI45</f>
        <v>0</v>
      </c>
      <c r="HJ45" s="50">
        <f t="shared" si="27"/>
        <v>0</v>
      </c>
    </row>
    <row r="46" spans="1:218" ht="21.75" customHeight="1" x14ac:dyDescent="0.6">
      <c r="A46" s="55" t="s">
        <v>101</v>
      </c>
      <c r="B46" s="52">
        <f>volume!B46</f>
        <v>43</v>
      </c>
      <c r="C46" s="53">
        <f>volume!C46</f>
        <v>8</v>
      </c>
      <c r="D46" s="53">
        <f>volume!D46</f>
        <v>0</v>
      </c>
      <c r="E46" s="53">
        <f>volume!E46</f>
        <v>0</v>
      </c>
      <c r="F46" s="53">
        <f>volume!F46</f>
        <v>1</v>
      </c>
      <c r="G46" s="54">
        <f>volume!G46</f>
        <v>0</v>
      </c>
      <c r="H46" s="48">
        <f t="shared" si="0"/>
        <v>52</v>
      </c>
      <c r="I46" s="52">
        <f>volume!I46</f>
        <v>31</v>
      </c>
      <c r="J46" s="53">
        <f>volume!J46</f>
        <v>9</v>
      </c>
      <c r="K46" s="53">
        <f>volume!K46</f>
        <v>0</v>
      </c>
      <c r="L46" s="53">
        <f>volume!L46</f>
        <v>0</v>
      </c>
      <c r="M46" s="53">
        <f>volume!M46</f>
        <v>0</v>
      </c>
      <c r="N46" s="54">
        <f>volume!N46</f>
        <v>0</v>
      </c>
      <c r="O46" s="49">
        <f t="shared" si="1"/>
        <v>40</v>
      </c>
      <c r="P46" s="52">
        <f>volume!P46</f>
        <v>23</v>
      </c>
      <c r="Q46" s="53">
        <f>volume!Q46</f>
        <v>7</v>
      </c>
      <c r="R46" s="53">
        <f>volume!R46</f>
        <v>0</v>
      </c>
      <c r="S46" s="53">
        <f>volume!S46</f>
        <v>0</v>
      </c>
      <c r="T46" s="53">
        <f>volume!T46</f>
        <v>0</v>
      </c>
      <c r="U46" s="54">
        <f>volume!U46</f>
        <v>0</v>
      </c>
      <c r="V46" s="49">
        <f t="shared" si="2"/>
        <v>30</v>
      </c>
      <c r="W46" s="52">
        <f>volume!W46</f>
        <v>0</v>
      </c>
      <c r="X46" s="53">
        <f>volume!X46</f>
        <v>0</v>
      </c>
      <c r="Y46" s="53">
        <f>volume!Y46</f>
        <v>0</v>
      </c>
      <c r="Z46" s="53">
        <f>volume!Z46</f>
        <v>0</v>
      </c>
      <c r="AA46" s="53">
        <f>volume!AA46</f>
        <v>0</v>
      </c>
      <c r="AB46" s="54">
        <f>volume!AB46</f>
        <v>0</v>
      </c>
      <c r="AC46" s="49">
        <f t="shared" si="3"/>
        <v>0</v>
      </c>
      <c r="AD46" s="52">
        <f>volume!AD46</f>
        <v>62</v>
      </c>
      <c r="AE46" s="53">
        <f>volume!AE46</f>
        <v>16</v>
      </c>
      <c r="AF46" s="53">
        <f>volume!AF46</f>
        <v>0</v>
      </c>
      <c r="AG46" s="53">
        <f>volume!AG46</f>
        <v>0</v>
      </c>
      <c r="AH46" s="53">
        <f>volume!AH46</f>
        <v>0</v>
      </c>
      <c r="AI46" s="54">
        <f>volume!AI46</f>
        <v>0</v>
      </c>
      <c r="AJ46" s="49">
        <f t="shared" si="4"/>
        <v>78</v>
      </c>
      <c r="AK46" s="52">
        <f>volume!AK46</f>
        <v>148</v>
      </c>
      <c r="AL46" s="53">
        <f>volume!AL46</f>
        <v>40</v>
      </c>
      <c r="AM46" s="53">
        <f>volume!AM46</f>
        <v>0</v>
      </c>
      <c r="AN46" s="53">
        <f>volume!AN46</f>
        <v>0</v>
      </c>
      <c r="AO46" s="53">
        <f>volume!AO46</f>
        <v>1</v>
      </c>
      <c r="AP46" s="54">
        <f>volume!AP46</f>
        <v>0</v>
      </c>
      <c r="AQ46" s="49">
        <f t="shared" si="5"/>
        <v>189</v>
      </c>
      <c r="AR46" s="52">
        <f>volume!AR46</f>
        <v>37</v>
      </c>
      <c r="AS46" s="53">
        <f>volume!AS46</f>
        <v>9</v>
      </c>
      <c r="AT46" s="53">
        <f>volume!AT46</f>
        <v>0</v>
      </c>
      <c r="AU46" s="53">
        <f>volume!AU46</f>
        <v>0</v>
      </c>
      <c r="AV46" s="53">
        <f>volume!AV46</f>
        <v>0</v>
      </c>
      <c r="AW46" s="54">
        <f>volume!AW46</f>
        <v>0</v>
      </c>
      <c r="AX46" s="49">
        <f t="shared" si="6"/>
        <v>46</v>
      </c>
      <c r="AY46" s="52">
        <f>volume!AY46</f>
        <v>38</v>
      </c>
      <c r="AZ46" s="53">
        <f>volume!AZ46</f>
        <v>25</v>
      </c>
      <c r="BA46" s="53">
        <f>volume!BA46</f>
        <v>0</v>
      </c>
      <c r="BB46" s="53">
        <f>volume!BB46</f>
        <v>0</v>
      </c>
      <c r="BC46" s="53">
        <f>volume!BC46</f>
        <v>4</v>
      </c>
      <c r="BD46" s="54">
        <f>volume!BD46</f>
        <v>1</v>
      </c>
      <c r="BE46" s="49">
        <f t="shared" si="7"/>
        <v>68</v>
      </c>
      <c r="BF46" s="52">
        <f>volume!BF46</f>
        <v>3</v>
      </c>
      <c r="BG46" s="53">
        <f>volume!BG46</f>
        <v>1</v>
      </c>
      <c r="BH46" s="53">
        <f>volume!BH46</f>
        <v>0</v>
      </c>
      <c r="BI46" s="53">
        <f>volume!BI46</f>
        <v>0</v>
      </c>
      <c r="BJ46" s="53">
        <f>volume!BJ46</f>
        <v>0</v>
      </c>
      <c r="BK46" s="54">
        <f>volume!BK46</f>
        <v>0</v>
      </c>
      <c r="BL46" s="49">
        <f t="shared" si="8"/>
        <v>4</v>
      </c>
      <c r="BM46" s="52">
        <f>volume!BM46</f>
        <v>59</v>
      </c>
      <c r="BN46" s="53">
        <f>volume!BN46</f>
        <v>17</v>
      </c>
      <c r="BO46" s="53">
        <f>volume!BO46</f>
        <v>0</v>
      </c>
      <c r="BP46" s="53">
        <f>volume!BP46</f>
        <v>0</v>
      </c>
      <c r="BQ46" s="53">
        <f>volume!BQ46</f>
        <v>1</v>
      </c>
      <c r="BR46" s="54">
        <f>volume!BR46</f>
        <v>0</v>
      </c>
      <c r="BS46" s="49">
        <f t="shared" si="9"/>
        <v>77</v>
      </c>
      <c r="BT46" s="52">
        <f>volume!BT46</f>
        <v>84</v>
      </c>
      <c r="BU46" s="53">
        <f>volume!BU46</f>
        <v>6</v>
      </c>
      <c r="BV46" s="53">
        <f>volume!BV46</f>
        <v>0</v>
      </c>
      <c r="BW46" s="53">
        <f>volume!BW46</f>
        <v>0</v>
      </c>
      <c r="BX46" s="53">
        <f>volume!BX46</f>
        <v>0</v>
      </c>
      <c r="BY46" s="54">
        <f>volume!BY46</f>
        <v>0</v>
      </c>
      <c r="BZ46" s="49">
        <f t="shared" si="10"/>
        <v>90</v>
      </c>
      <c r="CA46" s="52">
        <f>volume!CA46</f>
        <v>0</v>
      </c>
      <c r="CB46" s="53">
        <f>volume!CB46</f>
        <v>0</v>
      </c>
      <c r="CC46" s="53">
        <f>volume!CC46</f>
        <v>0</v>
      </c>
      <c r="CD46" s="53">
        <f>volume!CD46</f>
        <v>0</v>
      </c>
      <c r="CE46" s="53">
        <f>volume!CE46</f>
        <v>0</v>
      </c>
      <c r="CF46" s="54">
        <f>volume!CF46</f>
        <v>0</v>
      </c>
      <c r="CG46" s="49">
        <f t="shared" si="11"/>
        <v>0</v>
      </c>
      <c r="CH46" s="52">
        <f>volume!CH46</f>
        <v>73</v>
      </c>
      <c r="CI46" s="53">
        <f>volume!CI46</f>
        <v>10</v>
      </c>
      <c r="CJ46" s="53">
        <f>volume!CJ46</f>
        <v>0</v>
      </c>
      <c r="CK46" s="53">
        <f>volume!CK46</f>
        <v>0</v>
      </c>
      <c r="CL46" s="53">
        <f>volume!CL46</f>
        <v>0</v>
      </c>
      <c r="CM46" s="54">
        <f>volume!CM46</f>
        <v>1</v>
      </c>
      <c r="CN46" s="49">
        <f t="shared" si="12"/>
        <v>84</v>
      </c>
      <c r="CO46" s="52">
        <f>volume!CO46</f>
        <v>176</v>
      </c>
      <c r="CP46" s="53">
        <f>volume!CP46</f>
        <v>58</v>
      </c>
      <c r="CQ46" s="53">
        <f>volume!CQ46</f>
        <v>1</v>
      </c>
      <c r="CR46" s="53">
        <f>volume!CR46</f>
        <v>0</v>
      </c>
      <c r="CS46" s="53">
        <f>volume!CS46</f>
        <v>1</v>
      </c>
      <c r="CT46" s="54">
        <f>volume!CT46</f>
        <v>1</v>
      </c>
      <c r="CU46" s="49">
        <f t="shared" si="13"/>
        <v>237</v>
      </c>
      <c r="CV46" s="52">
        <f>volume!CV46</f>
        <v>0</v>
      </c>
      <c r="CW46" s="53">
        <f>volume!CW46</f>
        <v>0</v>
      </c>
      <c r="CX46" s="53">
        <f>volume!CX46</f>
        <v>0</v>
      </c>
      <c r="CY46" s="53">
        <f>volume!CY46</f>
        <v>0</v>
      </c>
      <c r="CZ46" s="53">
        <f>volume!CZ46</f>
        <v>0</v>
      </c>
      <c r="DA46" s="54">
        <f>volume!DA46</f>
        <v>0</v>
      </c>
      <c r="DB46" s="49">
        <f t="shared" si="14"/>
        <v>0</v>
      </c>
      <c r="DC46" s="52">
        <f>volume!DC46</f>
        <v>0</v>
      </c>
      <c r="DD46" s="53">
        <f>volume!DD46</f>
        <v>0</v>
      </c>
      <c r="DE46" s="53">
        <f>volume!DE46</f>
        <v>0</v>
      </c>
      <c r="DF46" s="53">
        <f>volume!DF46</f>
        <v>0</v>
      </c>
      <c r="DG46" s="53">
        <f>volume!DG46</f>
        <v>0</v>
      </c>
      <c r="DH46" s="54">
        <f>volume!DH46</f>
        <v>0</v>
      </c>
      <c r="DI46" s="49">
        <f t="shared" si="15"/>
        <v>0</v>
      </c>
      <c r="DJ46" s="52">
        <f>volume!DJ46</f>
        <v>0</v>
      </c>
      <c r="DK46" s="53">
        <f>volume!DK46</f>
        <v>0</v>
      </c>
      <c r="DL46" s="53">
        <f>volume!DL46</f>
        <v>0</v>
      </c>
      <c r="DM46" s="53">
        <f>volume!DM46</f>
        <v>0</v>
      </c>
      <c r="DN46" s="53">
        <f>volume!DN46</f>
        <v>0</v>
      </c>
      <c r="DO46" s="54">
        <f>volume!DO46</f>
        <v>0</v>
      </c>
      <c r="DP46" s="50">
        <f t="shared" si="16"/>
        <v>0</v>
      </c>
      <c r="DQ46" s="52">
        <f>volume!DQ46</f>
        <v>0</v>
      </c>
      <c r="DR46" s="53">
        <f>volume!DR46</f>
        <v>0</v>
      </c>
      <c r="DS46" s="53">
        <f>volume!DS46</f>
        <v>0</v>
      </c>
      <c r="DT46" s="53">
        <f>volume!DT46</f>
        <v>0</v>
      </c>
      <c r="DU46" s="53">
        <f>volume!DU46</f>
        <v>0</v>
      </c>
      <c r="DV46" s="54">
        <f>volume!DV46</f>
        <v>0</v>
      </c>
      <c r="DW46" s="50">
        <f t="shared" si="17"/>
        <v>0</v>
      </c>
      <c r="DX46" s="52">
        <f>volume!DX46</f>
        <v>0</v>
      </c>
      <c r="DY46" s="53">
        <f>volume!DY46</f>
        <v>0</v>
      </c>
      <c r="DZ46" s="53">
        <f>volume!DZ46</f>
        <v>0</v>
      </c>
      <c r="EA46" s="53">
        <f>volume!EA46</f>
        <v>0</v>
      </c>
      <c r="EB46" s="53">
        <f>volume!EB46</f>
        <v>0</v>
      </c>
      <c r="EC46" s="54">
        <f>volume!EC46</f>
        <v>0</v>
      </c>
      <c r="ED46" s="50">
        <f t="shared" si="18"/>
        <v>0</v>
      </c>
      <c r="EE46" s="273"/>
      <c r="EF46" s="273"/>
      <c r="EG46" s="273"/>
      <c r="EH46" s="273"/>
      <c r="EI46" s="273"/>
      <c r="EJ46" s="273"/>
      <c r="EK46" s="273"/>
      <c r="EL46" s="52">
        <f>volume!EL46</f>
        <v>0</v>
      </c>
      <c r="EM46" s="53">
        <f>volume!EM46</f>
        <v>0</v>
      </c>
      <c r="EN46" s="53">
        <f>volume!EN46</f>
        <v>0</v>
      </c>
      <c r="EO46" s="53">
        <f>volume!EO46</f>
        <v>0</v>
      </c>
      <c r="EP46" s="53">
        <f>volume!EP46</f>
        <v>0</v>
      </c>
      <c r="EQ46" s="54">
        <f>volume!EQ46</f>
        <v>0</v>
      </c>
      <c r="ER46" s="50">
        <f t="shared" si="19"/>
        <v>0</v>
      </c>
      <c r="ES46" s="52">
        <f>volume!ES46</f>
        <v>0</v>
      </c>
      <c r="ET46" s="53">
        <f>volume!ET46</f>
        <v>0</v>
      </c>
      <c r="EU46" s="53">
        <f>volume!EU46</f>
        <v>0</v>
      </c>
      <c r="EV46" s="53">
        <f>volume!EV46</f>
        <v>0</v>
      </c>
      <c r="EW46" s="53">
        <f>volume!EW46</f>
        <v>0</v>
      </c>
      <c r="EX46" s="54">
        <f>volume!EX46</f>
        <v>0</v>
      </c>
      <c r="EY46" s="50">
        <f t="shared" si="20"/>
        <v>0</v>
      </c>
      <c r="EZ46" s="52">
        <f>volume!EZ46</f>
        <v>0</v>
      </c>
      <c r="FA46" s="53">
        <f>volume!FA46</f>
        <v>0</v>
      </c>
      <c r="FB46" s="53">
        <f>volume!FB46</f>
        <v>0</v>
      </c>
      <c r="FC46" s="53">
        <f>volume!FC46</f>
        <v>0</v>
      </c>
      <c r="FD46" s="53">
        <f>volume!FD46</f>
        <v>0</v>
      </c>
      <c r="FE46" s="54">
        <f>volume!FE46</f>
        <v>0</v>
      </c>
      <c r="FF46" s="50">
        <f t="shared" si="21"/>
        <v>0</v>
      </c>
      <c r="FG46" s="273"/>
      <c r="FH46" s="273"/>
      <c r="FI46" s="273"/>
      <c r="FJ46" s="273"/>
      <c r="FK46" s="273"/>
      <c r="FL46" s="273"/>
      <c r="FM46" s="273"/>
      <c r="FN46" s="52">
        <f>volume!FN46</f>
        <v>0</v>
      </c>
      <c r="FO46" s="53">
        <f>volume!FO46</f>
        <v>0</v>
      </c>
      <c r="FP46" s="53">
        <f>volume!FP46</f>
        <v>0</v>
      </c>
      <c r="FQ46" s="53">
        <f>volume!FQ46</f>
        <v>0</v>
      </c>
      <c r="FR46" s="53">
        <f>volume!FR46</f>
        <v>0</v>
      </c>
      <c r="FS46" s="54">
        <f>volume!FS46</f>
        <v>0</v>
      </c>
      <c r="FT46" s="50">
        <f t="shared" si="22"/>
        <v>0</v>
      </c>
      <c r="FU46" s="52">
        <f>volume!FU46</f>
        <v>0</v>
      </c>
      <c r="FV46" s="53">
        <f>volume!FV46</f>
        <v>0</v>
      </c>
      <c r="FW46" s="53">
        <f>volume!FW46</f>
        <v>0</v>
      </c>
      <c r="FX46" s="53">
        <f>volume!FX46</f>
        <v>0</v>
      </c>
      <c r="FY46" s="53">
        <f>volume!FY46</f>
        <v>0</v>
      </c>
      <c r="FZ46" s="54">
        <f>volume!FZ46</f>
        <v>0</v>
      </c>
      <c r="GA46" s="50">
        <f t="shared" si="23"/>
        <v>0</v>
      </c>
      <c r="GB46" s="52">
        <f>volume!GB46</f>
        <v>0</v>
      </c>
      <c r="GC46" s="53">
        <f>volume!GC46</f>
        <v>0</v>
      </c>
      <c r="GD46" s="53">
        <f>volume!GD46</f>
        <v>0</v>
      </c>
      <c r="GE46" s="53">
        <f>volume!GE46</f>
        <v>0</v>
      </c>
      <c r="GF46" s="53">
        <f>volume!GF46</f>
        <v>0</v>
      </c>
      <c r="GG46" s="54">
        <f>volume!GG46</f>
        <v>0</v>
      </c>
      <c r="GH46" s="50">
        <f t="shared" si="24"/>
        <v>0</v>
      </c>
      <c r="GI46" s="273"/>
      <c r="GJ46" s="273"/>
      <c r="GK46" s="273"/>
      <c r="GL46" s="273"/>
      <c r="GM46" s="273"/>
      <c r="GN46" s="273"/>
      <c r="GO46" s="273"/>
      <c r="GP46" s="52">
        <f>volume!GP46</f>
        <v>0</v>
      </c>
      <c r="GQ46" s="53">
        <f>volume!GQ46</f>
        <v>0</v>
      </c>
      <c r="GR46" s="53">
        <f>volume!GR46</f>
        <v>0</v>
      </c>
      <c r="GS46" s="53">
        <f>volume!GS46</f>
        <v>0</v>
      </c>
      <c r="GT46" s="53">
        <f>volume!GT46</f>
        <v>0</v>
      </c>
      <c r="GU46" s="54">
        <f>volume!GU46</f>
        <v>0</v>
      </c>
      <c r="GV46" s="50">
        <f t="shared" si="25"/>
        <v>0</v>
      </c>
      <c r="GW46" s="52">
        <f>volume!GW46</f>
        <v>0</v>
      </c>
      <c r="GX46" s="53">
        <f>volume!GX46</f>
        <v>0</v>
      </c>
      <c r="GY46" s="53">
        <f>volume!GY46</f>
        <v>0</v>
      </c>
      <c r="GZ46" s="53">
        <f>volume!GZ46</f>
        <v>0</v>
      </c>
      <c r="HA46" s="53">
        <f>volume!HA46</f>
        <v>0</v>
      </c>
      <c r="HB46" s="54">
        <f>volume!HB46</f>
        <v>0</v>
      </c>
      <c r="HC46" s="50">
        <f t="shared" si="26"/>
        <v>0</v>
      </c>
      <c r="HD46" s="52">
        <f>volume!HD46</f>
        <v>0</v>
      </c>
      <c r="HE46" s="53">
        <f>volume!HE46</f>
        <v>0</v>
      </c>
      <c r="HF46" s="53">
        <f>volume!HF46</f>
        <v>0</v>
      </c>
      <c r="HG46" s="53">
        <f>volume!HG46</f>
        <v>0</v>
      </c>
      <c r="HH46" s="53">
        <f>volume!HH46</f>
        <v>0</v>
      </c>
      <c r="HI46" s="54">
        <f>volume!HI46</f>
        <v>0</v>
      </c>
      <c r="HJ46" s="50">
        <f t="shared" si="27"/>
        <v>0</v>
      </c>
    </row>
    <row r="47" spans="1:218" ht="21.75" customHeight="1" x14ac:dyDescent="0.6">
      <c r="A47" s="44" t="s">
        <v>102</v>
      </c>
      <c r="B47" s="45">
        <f>volume!B47</f>
        <v>46</v>
      </c>
      <c r="C47" s="46">
        <f>volume!C47</f>
        <v>5</v>
      </c>
      <c r="D47" s="46">
        <f>volume!D47</f>
        <v>0</v>
      </c>
      <c r="E47" s="46">
        <f>volume!E47</f>
        <v>0</v>
      </c>
      <c r="F47" s="46">
        <f>volume!F47</f>
        <v>1</v>
      </c>
      <c r="G47" s="47">
        <f>volume!G47</f>
        <v>0</v>
      </c>
      <c r="H47" s="48">
        <f t="shared" si="0"/>
        <v>52</v>
      </c>
      <c r="I47" s="45">
        <f>volume!I47</f>
        <v>26</v>
      </c>
      <c r="J47" s="46">
        <f>volume!J47</f>
        <v>11</v>
      </c>
      <c r="K47" s="46">
        <f>volume!K47</f>
        <v>0</v>
      </c>
      <c r="L47" s="46">
        <f>volume!L47</f>
        <v>0</v>
      </c>
      <c r="M47" s="46">
        <f>volume!M47</f>
        <v>0</v>
      </c>
      <c r="N47" s="47">
        <f>volume!N47</f>
        <v>0</v>
      </c>
      <c r="O47" s="49">
        <f t="shared" si="1"/>
        <v>37</v>
      </c>
      <c r="P47" s="45">
        <f>volume!P47</f>
        <v>19</v>
      </c>
      <c r="Q47" s="46">
        <f>volume!Q47</f>
        <v>6</v>
      </c>
      <c r="R47" s="46">
        <f>volume!R47</f>
        <v>0</v>
      </c>
      <c r="S47" s="46">
        <f>volume!S47</f>
        <v>0</v>
      </c>
      <c r="T47" s="46">
        <f>volume!T47</f>
        <v>0</v>
      </c>
      <c r="U47" s="47">
        <f>volume!U47</f>
        <v>0</v>
      </c>
      <c r="V47" s="49">
        <f t="shared" si="2"/>
        <v>25</v>
      </c>
      <c r="W47" s="45">
        <f>volume!W47</f>
        <v>0</v>
      </c>
      <c r="X47" s="46">
        <f>volume!X47</f>
        <v>0</v>
      </c>
      <c r="Y47" s="46">
        <f>volume!Y47</f>
        <v>0</v>
      </c>
      <c r="Z47" s="46">
        <f>volume!Z47</f>
        <v>0</v>
      </c>
      <c r="AA47" s="46">
        <f>volume!AA47</f>
        <v>0</v>
      </c>
      <c r="AB47" s="47">
        <f>volume!AB47</f>
        <v>0</v>
      </c>
      <c r="AC47" s="49">
        <f t="shared" si="3"/>
        <v>0</v>
      </c>
      <c r="AD47" s="45">
        <f>volume!AD47</f>
        <v>56</v>
      </c>
      <c r="AE47" s="46">
        <f>volume!AE47</f>
        <v>15</v>
      </c>
      <c r="AF47" s="46">
        <f>volume!AF47</f>
        <v>0</v>
      </c>
      <c r="AG47" s="46">
        <f>volume!AG47</f>
        <v>0</v>
      </c>
      <c r="AH47" s="46">
        <f>volume!AH47</f>
        <v>1</v>
      </c>
      <c r="AI47" s="47">
        <f>volume!AI47</f>
        <v>0</v>
      </c>
      <c r="AJ47" s="49">
        <f t="shared" si="4"/>
        <v>72</v>
      </c>
      <c r="AK47" s="45">
        <f>volume!AK47</f>
        <v>159</v>
      </c>
      <c r="AL47" s="46">
        <f>volume!AL47</f>
        <v>35</v>
      </c>
      <c r="AM47" s="46">
        <f>volume!AM47</f>
        <v>1</v>
      </c>
      <c r="AN47" s="46">
        <f>volume!AN47</f>
        <v>0</v>
      </c>
      <c r="AO47" s="46">
        <f>volume!AO47</f>
        <v>2</v>
      </c>
      <c r="AP47" s="47">
        <f>volume!AP47</f>
        <v>0</v>
      </c>
      <c r="AQ47" s="49">
        <f t="shared" si="5"/>
        <v>197</v>
      </c>
      <c r="AR47" s="45">
        <f>volume!AR47</f>
        <v>45</v>
      </c>
      <c r="AS47" s="46">
        <f>volume!AS47</f>
        <v>6</v>
      </c>
      <c r="AT47" s="46">
        <f>volume!AT47</f>
        <v>0</v>
      </c>
      <c r="AU47" s="46">
        <f>volume!AU47</f>
        <v>0</v>
      </c>
      <c r="AV47" s="46">
        <f>volume!AV47</f>
        <v>0</v>
      </c>
      <c r="AW47" s="47">
        <f>volume!AW47</f>
        <v>0</v>
      </c>
      <c r="AX47" s="49">
        <f t="shared" si="6"/>
        <v>51</v>
      </c>
      <c r="AY47" s="45">
        <f>volume!AY47</f>
        <v>53</v>
      </c>
      <c r="AZ47" s="46">
        <f>volume!AZ47</f>
        <v>12</v>
      </c>
      <c r="BA47" s="46">
        <f>volume!BA47</f>
        <v>0</v>
      </c>
      <c r="BB47" s="46">
        <f>volume!BB47</f>
        <v>0</v>
      </c>
      <c r="BC47" s="46">
        <f>volume!BC47</f>
        <v>0</v>
      </c>
      <c r="BD47" s="47">
        <f>volume!BD47</f>
        <v>0</v>
      </c>
      <c r="BE47" s="49">
        <f t="shared" si="7"/>
        <v>65</v>
      </c>
      <c r="BF47" s="45">
        <f>volume!BF47</f>
        <v>2</v>
      </c>
      <c r="BG47" s="46">
        <f>volume!BG47</f>
        <v>0</v>
      </c>
      <c r="BH47" s="46">
        <f>volume!BH47</f>
        <v>0</v>
      </c>
      <c r="BI47" s="46">
        <f>volume!BI47</f>
        <v>0</v>
      </c>
      <c r="BJ47" s="46">
        <f>volume!BJ47</f>
        <v>0</v>
      </c>
      <c r="BK47" s="47">
        <f>volume!BK47</f>
        <v>0</v>
      </c>
      <c r="BL47" s="49">
        <f t="shared" si="8"/>
        <v>2</v>
      </c>
      <c r="BM47" s="45">
        <f>volume!BM47</f>
        <v>49</v>
      </c>
      <c r="BN47" s="46">
        <f>volume!BN47</f>
        <v>14</v>
      </c>
      <c r="BO47" s="46">
        <f>volume!BO47</f>
        <v>1</v>
      </c>
      <c r="BP47" s="46">
        <f>volume!BP47</f>
        <v>0</v>
      </c>
      <c r="BQ47" s="46">
        <f>volume!BQ47</f>
        <v>0</v>
      </c>
      <c r="BR47" s="47">
        <f>volume!BR47</f>
        <v>0</v>
      </c>
      <c r="BS47" s="49">
        <f t="shared" si="9"/>
        <v>64</v>
      </c>
      <c r="BT47" s="45">
        <f>volume!BT47</f>
        <v>75</v>
      </c>
      <c r="BU47" s="46">
        <f>volume!BU47</f>
        <v>10</v>
      </c>
      <c r="BV47" s="46">
        <f>volume!BV47</f>
        <v>0</v>
      </c>
      <c r="BW47" s="46">
        <f>volume!BW47</f>
        <v>0</v>
      </c>
      <c r="BX47" s="46">
        <f>volume!BX47</f>
        <v>0</v>
      </c>
      <c r="BY47" s="47">
        <f>volume!BY47</f>
        <v>0</v>
      </c>
      <c r="BZ47" s="49">
        <f t="shared" si="10"/>
        <v>85</v>
      </c>
      <c r="CA47" s="45">
        <f>volume!CA47</f>
        <v>0</v>
      </c>
      <c r="CB47" s="46">
        <f>volume!CB47</f>
        <v>0</v>
      </c>
      <c r="CC47" s="46">
        <f>volume!CC47</f>
        <v>0</v>
      </c>
      <c r="CD47" s="46">
        <f>volume!CD47</f>
        <v>0</v>
      </c>
      <c r="CE47" s="46">
        <f>volume!CE47</f>
        <v>0</v>
      </c>
      <c r="CF47" s="47">
        <f>volume!CF47</f>
        <v>0</v>
      </c>
      <c r="CG47" s="49">
        <f t="shared" si="11"/>
        <v>0</v>
      </c>
      <c r="CH47" s="45">
        <f>volume!CH47</f>
        <v>67</v>
      </c>
      <c r="CI47" s="46">
        <f>volume!CI47</f>
        <v>13</v>
      </c>
      <c r="CJ47" s="46">
        <f>volume!CJ47</f>
        <v>0</v>
      </c>
      <c r="CK47" s="46">
        <f>volume!CK47</f>
        <v>0</v>
      </c>
      <c r="CL47" s="46">
        <f>volume!CL47</f>
        <v>0</v>
      </c>
      <c r="CM47" s="47">
        <f>volume!CM47</f>
        <v>0</v>
      </c>
      <c r="CN47" s="49">
        <f t="shared" si="12"/>
        <v>80</v>
      </c>
      <c r="CO47" s="45">
        <f>volume!CO47</f>
        <v>166</v>
      </c>
      <c r="CP47" s="46">
        <f>volume!CP47</f>
        <v>48</v>
      </c>
      <c r="CQ47" s="46">
        <f>volume!CQ47</f>
        <v>1</v>
      </c>
      <c r="CR47" s="46">
        <f>volume!CR47</f>
        <v>2</v>
      </c>
      <c r="CS47" s="46">
        <f>volume!CS47</f>
        <v>0</v>
      </c>
      <c r="CT47" s="47">
        <f>volume!CT47</f>
        <v>0</v>
      </c>
      <c r="CU47" s="49">
        <f t="shared" si="13"/>
        <v>217</v>
      </c>
      <c r="CV47" s="45">
        <f>volume!CV47</f>
        <v>0</v>
      </c>
      <c r="CW47" s="46">
        <f>volume!CW47</f>
        <v>0</v>
      </c>
      <c r="CX47" s="46">
        <f>volume!CX47</f>
        <v>0</v>
      </c>
      <c r="CY47" s="46">
        <f>volume!CY47</f>
        <v>0</v>
      </c>
      <c r="CZ47" s="46">
        <f>volume!CZ47</f>
        <v>0</v>
      </c>
      <c r="DA47" s="47">
        <f>volume!DA47</f>
        <v>0</v>
      </c>
      <c r="DB47" s="49">
        <f t="shared" si="14"/>
        <v>0</v>
      </c>
      <c r="DC47" s="45">
        <f>volume!DC47</f>
        <v>0</v>
      </c>
      <c r="DD47" s="46">
        <f>volume!DD47</f>
        <v>0</v>
      </c>
      <c r="DE47" s="46">
        <f>volume!DE47</f>
        <v>0</v>
      </c>
      <c r="DF47" s="46">
        <f>volume!DF47</f>
        <v>0</v>
      </c>
      <c r="DG47" s="46">
        <f>volume!DG47</f>
        <v>0</v>
      </c>
      <c r="DH47" s="47">
        <f>volume!DH47</f>
        <v>0</v>
      </c>
      <c r="DI47" s="49">
        <f t="shared" si="15"/>
        <v>0</v>
      </c>
      <c r="DJ47" s="45">
        <f>volume!DJ47</f>
        <v>0</v>
      </c>
      <c r="DK47" s="46">
        <f>volume!DK47</f>
        <v>0</v>
      </c>
      <c r="DL47" s="46">
        <f>volume!DL47</f>
        <v>0</v>
      </c>
      <c r="DM47" s="46">
        <f>volume!DM47</f>
        <v>0</v>
      </c>
      <c r="DN47" s="46">
        <f>volume!DN47</f>
        <v>0</v>
      </c>
      <c r="DO47" s="47">
        <f>volume!DO47</f>
        <v>0</v>
      </c>
      <c r="DP47" s="50">
        <f t="shared" si="16"/>
        <v>0</v>
      </c>
      <c r="DQ47" s="45">
        <f>volume!DQ47</f>
        <v>0</v>
      </c>
      <c r="DR47" s="46">
        <f>volume!DR47</f>
        <v>0</v>
      </c>
      <c r="DS47" s="46">
        <f>volume!DS47</f>
        <v>0</v>
      </c>
      <c r="DT47" s="46">
        <f>volume!DT47</f>
        <v>0</v>
      </c>
      <c r="DU47" s="46">
        <f>volume!DU47</f>
        <v>0</v>
      </c>
      <c r="DV47" s="47">
        <f>volume!DV47</f>
        <v>0</v>
      </c>
      <c r="DW47" s="50">
        <f t="shared" si="17"/>
        <v>0</v>
      </c>
      <c r="DX47" s="45">
        <f>volume!DX47</f>
        <v>0</v>
      </c>
      <c r="DY47" s="46">
        <f>volume!DY47</f>
        <v>0</v>
      </c>
      <c r="DZ47" s="46">
        <f>volume!DZ47</f>
        <v>0</v>
      </c>
      <c r="EA47" s="46">
        <f>volume!EA47</f>
        <v>0</v>
      </c>
      <c r="EB47" s="46">
        <f>volume!EB47</f>
        <v>0</v>
      </c>
      <c r="EC47" s="47">
        <f>volume!EC47</f>
        <v>0</v>
      </c>
      <c r="ED47" s="50">
        <f t="shared" si="18"/>
        <v>0</v>
      </c>
      <c r="EE47" s="272"/>
      <c r="EF47" s="272"/>
      <c r="EG47" s="272"/>
      <c r="EH47" s="272"/>
      <c r="EI47" s="272"/>
      <c r="EJ47" s="272"/>
      <c r="EK47" s="272"/>
      <c r="EL47" s="45">
        <f>volume!EL47</f>
        <v>0</v>
      </c>
      <c r="EM47" s="46">
        <f>volume!EM47</f>
        <v>0</v>
      </c>
      <c r="EN47" s="46">
        <f>volume!EN47</f>
        <v>0</v>
      </c>
      <c r="EO47" s="46">
        <f>volume!EO47</f>
        <v>0</v>
      </c>
      <c r="EP47" s="46">
        <f>volume!EP47</f>
        <v>0</v>
      </c>
      <c r="EQ47" s="47">
        <f>volume!EQ47</f>
        <v>0</v>
      </c>
      <c r="ER47" s="50">
        <f t="shared" si="19"/>
        <v>0</v>
      </c>
      <c r="ES47" s="45">
        <f>volume!ES47</f>
        <v>0</v>
      </c>
      <c r="ET47" s="46">
        <f>volume!ET47</f>
        <v>0</v>
      </c>
      <c r="EU47" s="46">
        <f>volume!EU47</f>
        <v>0</v>
      </c>
      <c r="EV47" s="46">
        <f>volume!EV47</f>
        <v>0</v>
      </c>
      <c r="EW47" s="46">
        <f>volume!EW47</f>
        <v>0</v>
      </c>
      <c r="EX47" s="47">
        <f>volume!EX47</f>
        <v>0</v>
      </c>
      <c r="EY47" s="50">
        <f t="shared" si="20"/>
        <v>0</v>
      </c>
      <c r="EZ47" s="45">
        <f>volume!EZ47</f>
        <v>0</v>
      </c>
      <c r="FA47" s="46">
        <f>volume!FA47</f>
        <v>0</v>
      </c>
      <c r="FB47" s="46">
        <f>volume!FB47</f>
        <v>0</v>
      </c>
      <c r="FC47" s="46">
        <f>volume!FC47</f>
        <v>0</v>
      </c>
      <c r="FD47" s="46">
        <f>volume!FD47</f>
        <v>0</v>
      </c>
      <c r="FE47" s="47">
        <f>volume!FE47</f>
        <v>0</v>
      </c>
      <c r="FF47" s="50">
        <f t="shared" si="21"/>
        <v>0</v>
      </c>
      <c r="FG47" s="272"/>
      <c r="FH47" s="272"/>
      <c r="FI47" s="272"/>
      <c r="FJ47" s="272"/>
      <c r="FK47" s="272"/>
      <c r="FL47" s="272"/>
      <c r="FM47" s="272"/>
      <c r="FN47" s="45">
        <f>volume!FN47</f>
        <v>0</v>
      </c>
      <c r="FO47" s="46">
        <f>volume!FO47</f>
        <v>0</v>
      </c>
      <c r="FP47" s="46">
        <f>volume!FP47</f>
        <v>0</v>
      </c>
      <c r="FQ47" s="46">
        <f>volume!FQ47</f>
        <v>0</v>
      </c>
      <c r="FR47" s="46">
        <f>volume!FR47</f>
        <v>0</v>
      </c>
      <c r="FS47" s="47">
        <f>volume!FS47</f>
        <v>0</v>
      </c>
      <c r="FT47" s="50">
        <f t="shared" si="22"/>
        <v>0</v>
      </c>
      <c r="FU47" s="45">
        <f>volume!FU47</f>
        <v>0</v>
      </c>
      <c r="FV47" s="46">
        <f>volume!FV47</f>
        <v>0</v>
      </c>
      <c r="FW47" s="46">
        <f>volume!FW47</f>
        <v>0</v>
      </c>
      <c r="FX47" s="46">
        <f>volume!FX47</f>
        <v>0</v>
      </c>
      <c r="FY47" s="46">
        <f>volume!FY47</f>
        <v>0</v>
      </c>
      <c r="FZ47" s="47">
        <f>volume!FZ47</f>
        <v>0</v>
      </c>
      <c r="GA47" s="50">
        <f t="shared" si="23"/>
        <v>0</v>
      </c>
      <c r="GB47" s="45">
        <f>volume!GB47</f>
        <v>0</v>
      </c>
      <c r="GC47" s="46">
        <f>volume!GC47</f>
        <v>0</v>
      </c>
      <c r="GD47" s="46">
        <f>volume!GD47</f>
        <v>0</v>
      </c>
      <c r="GE47" s="46">
        <f>volume!GE47</f>
        <v>0</v>
      </c>
      <c r="GF47" s="46">
        <f>volume!GF47</f>
        <v>0</v>
      </c>
      <c r="GG47" s="47">
        <f>volume!GG47</f>
        <v>0</v>
      </c>
      <c r="GH47" s="50">
        <f t="shared" si="24"/>
        <v>0</v>
      </c>
      <c r="GI47" s="272"/>
      <c r="GJ47" s="272"/>
      <c r="GK47" s="272"/>
      <c r="GL47" s="272"/>
      <c r="GM47" s="272"/>
      <c r="GN47" s="272"/>
      <c r="GO47" s="272"/>
      <c r="GP47" s="45">
        <f>volume!GP47</f>
        <v>0</v>
      </c>
      <c r="GQ47" s="46">
        <f>volume!GQ47</f>
        <v>0</v>
      </c>
      <c r="GR47" s="46">
        <f>volume!GR47</f>
        <v>0</v>
      </c>
      <c r="GS47" s="46">
        <f>volume!GS47</f>
        <v>0</v>
      </c>
      <c r="GT47" s="46">
        <f>volume!GT47</f>
        <v>0</v>
      </c>
      <c r="GU47" s="47">
        <f>volume!GU47</f>
        <v>0</v>
      </c>
      <c r="GV47" s="50">
        <f t="shared" si="25"/>
        <v>0</v>
      </c>
      <c r="GW47" s="45">
        <f>volume!GW47</f>
        <v>0</v>
      </c>
      <c r="GX47" s="46">
        <f>volume!GX47</f>
        <v>0</v>
      </c>
      <c r="GY47" s="46">
        <f>volume!GY47</f>
        <v>0</v>
      </c>
      <c r="GZ47" s="46">
        <f>volume!GZ47</f>
        <v>0</v>
      </c>
      <c r="HA47" s="46">
        <f>volume!HA47</f>
        <v>0</v>
      </c>
      <c r="HB47" s="47">
        <f>volume!HB47</f>
        <v>0</v>
      </c>
      <c r="HC47" s="50">
        <f t="shared" si="26"/>
        <v>0</v>
      </c>
      <c r="HD47" s="45">
        <f>volume!HD47</f>
        <v>0</v>
      </c>
      <c r="HE47" s="46">
        <f>volume!HE47</f>
        <v>0</v>
      </c>
      <c r="HF47" s="46">
        <f>volume!HF47</f>
        <v>0</v>
      </c>
      <c r="HG47" s="46">
        <f>volume!HG47</f>
        <v>0</v>
      </c>
      <c r="HH47" s="46">
        <f>volume!HH47</f>
        <v>0</v>
      </c>
      <c r="HI47" s="47">
        <f>volume!HI47</f>
        <v>0</v>
      </c>
      <c r="HJ47" s="50">
        <f t="shared" si="27"/>
        <v>0</v>
      </c>
    </row>
    <row r="48" spans="1:218" ht="21.75" customHeight="1" x14ac:dyDescent="0.6">
      <c r="A48" s="51" t="s">
        <v>103</v>
      </c>
      <c r="B48" s="52">
        <f>volume!B48</f>
        <v>38</v>
      </c>
      <c r="C48" s="53">
        <f>volume!C48</f>
        <v>5</v>
      </c>
      <c r="D48" s="53">
        <f>volume!D48</f>
        <v>0</v>
      </c>
      <c r="E48" s="53">
        <f>volume!E48</f>
        <v>0</v>
      </c>
      <c r="F48" s="53">
        <f>volume!F48</f>
        <v>0</v>
      </c>
      <c r="G48" s="54">
        <f>volume!G48</f>
        <v>1</v>
      </c>
      <c r="H48" s="48">
        <f t="shared" si="0"/>
        <v>44</v>
      </c>
      <c r="I48" s="52">
        <f>volume!I48</f>
        <v>20</v>
      </c>
      <c r="J48" s="53">
        <f>volume!J48</f>
        <v>9</v>
      </c>
      <c r="K48" s="53">
        <f>volume!K48</f>
        <v>0</v>
      </c>
      <c r="L48" s="53">
        <f>volume!L48</f>
        <v>0</v>
      </c>
      <c r="M48" s="53">
        <f>volume!M48</f>
        <v>0</v>
      </c>
      <c r="N48" s="54">
        <f>volume!N48</f>
        <v>0</v>
      </c>
      <c r="O48" s="49">
        <f t="shared" si="1"/>
        <v>29</v>
      </c>
      <c r="P48" s="52">
        <f>volume!P48</f>
        <v>15</v>
      </c>
      <c r="Q48" s="53">
        <f>volume!Q48</f>
        <v>4</v>
      </c>
      <c r="R48" s="53">
        <f>volume!R48</f>
        <v>0</v>
      </c>
      <c r="S48" s="53">
        <f>volume!S48</f>
        <v>0</v>
      </c>
      <c r="T48" s="53">
        <f>volume!T48</f>
        <v>0</v>
      </c>
      <c r="U48" s="54">
        <f>volume!U48</f>
        <v>0</v>
      </c>
      <c r="V48" s="49">
        <f t="shared" si="2"/>
        <v>19</v>
      </c>
      <c r="W48" s="52">
        <f>volume!W48</f>
        <v>0</v>
      </c>
      <c r="X48" s="53">
        <f>volume!X48</f>
        <v>0</v>
      </c>
      <c r="Y48" s="53">
        <f>volume!Y48</f>
        <v>0</v>
      </c>
      <c r="Z48" s="53">
        <f>volume!Z48</f>
        <v>0</v>
      </c>
      <c r="AA48" s="53">
        <f>volume!AA48</f>
        <v>0</v>
      </c>
      <c r="AB48" s="54">
        <f>volume!AB48</f>
        <v>0</v>
      </c>
      <c r="AC48" s="49">
        <f t="shared" si="3"/>
        <v>0</v>
      </c>
      <c r="AD48" s="52">
        <f>volume!AD48</f>
        <v>60</v>
      </c>
      <c r="AE48" s="53">
        <f>volume!AE48</f>
        <v>23</v>
      </c>
      <c r="AF48" s="53">
        <f>volume!AF48</f>
        <v>0</v>
      </c>
      <c r="AG48" s="53">
        <f>volume!AG48</f>
        <v>0</v>
      </c>
      <c r="AH48" s="53">
        <f>volume!AH48</f>
        <v>0</v>
      </c>
      <c r="AI48" s="54">
        <f>volume!AI48</f>
        <v>0</v>
      </c>
      <c r="AJ48" s="49">
        <f t="shared" si="4"/>
        <v>83</v>
      </c>
      <c r="AK48" s="52">
        <f>volume!AK48</f>
        <v>134</v>
      </c>
      <c r="AL48" s="53">
        <f>volume!AL48</f>
        <v>31</v>
      </c>
      <c r="AM48" s="53">
        <f>volume!AM48</f>
        <v>1</v>
      </c>
      <c r="AN48" s="53">
        <f>volume!AN48</f>
        <v>0</v>
      </c>
      <c r="AO48" s="53">
        <f>volume!AO48</f>
        <v>0</v>
      </c>
      <c r="AP48" s="54">
        <f>volume!AP48</f>
        <v>0</v>
      </c>
      <c r="AQ48" s="49">
        <f t="shared" si="5"/>
        <v>166</v>
      </c>
      <c r="AR48" s="52">
        <f>volume!AR48</f>
        <v>53</v>
      </c>
      <c r="AS48" s="53">
        <f>volume!AS48</f>
        <v>5</v>
      </c>
      <c r="AT48" s="53">
        <f>volume!AT48</f>
        <v>0</v>
      </c>
      <c r="AU48" s="53">
        <f>volume!AU48</f>
        <v>0</v>
      </c>
      <c r="AV48" s="53">
        <f>volume!AV48</f>
        <v>1</v>
      </c>
      <c r="AW48" s="54">
        <f>volume!AW48</f>
        <v>1</v>
      </c>
      <c r="AX48" s="49">
        <f t="shared" si="6"/>
        <v>60</v>
      </c>
      <c r="AY48" s="52">
        <f>volume!AY48</f>
        <v>46</v>
      </c>
      <c r="AZ48" s="53">
        <f>volume!AZ48</f>
        <v>24</v>
      </c>
      <c r="BA48" s="53">
        <f>volume!BA48</f>
        <v>0</v>
      </c>
      <c r="BB48" s="53">
        <f>volume!BB48</f>
        <v>0</v>
      </c>
      <c r="BC48" s="53">
        <f>volume!BC48</f>
        <v>0</v>
      </c>
      <c r="BD48" s="54">
        <f>volume!BD48</f>
        <v>0</v>
      </c>
      <c r="BE48" s="49">
        <f t="shared" si="7"/>
        <v>70</v>
      </c>
      <c r="BF48" s="52">
        <f>volume!BF48</f>
        <v>2</v>
      </c>
      <c r="BG48" s="53">
        <f>volume!BG48</f>
        <v>0</v>
      </c>
      <c r="BH48" s="53">
        <f>volume!BH48</f>
        <v>0</v>
      </c>
      <c r="BI48" s="53">
        <f>volume!BI48</f>
        <v>0</v>
      </c>
      <c r="BJ48" s="53">
        <f>volume!BJ48</f>
        <v>0</v>
      </c>
      <c r="BK48" s="54">
        <f>volume!BK48</f>
        <v>0</v>
      </c>
      <c r="BL48" s="49">
        <f t="shared" si="8"/>
        <v>2</v>
      </c>
      <c r="BM48" s="52">
        <f>volume!BM48</f>
        <v>37</v>
      </c>
      <c r="BN48" s="53">
        <f>volume!BN48</f>
        <v>12</v>
      </c>
      <c r="BO48" s="53">
        <f>volume!BO48</f>
        <v>0</v>
      </c>
      <c r="BP48" s="53">
        <f>volume!BP48</f>
        <v>0</v>
      </c>
      <c r="BQ48" s="53">
        <f>volume!BQ48</f>
        <v>1</v>
      </c>
      <c r="BR48" s="54">
        <f>volume!BR48</f>
        <v>0</v>
      </c>
      <c r="BS48" s="49">
        <f t="shared" si="9"/>
        <v>50</v>
      </c>
      <c r="BT48" s="52">
        <f>volume!BT48</f>
        <v>62</v>
      </c>
      <c r="BU48" s="53">
        <f>volume!BU48</f>
        <v>8</v>
      </c>
      <c r="BV48" s="53">
        <f>volume!BV48</f>
        <v>0</v>
      </c>
      <c r="BW48" s="53">
        <f>volume!BW48</f>
        <v>0</v>
      </c>
      <c r="BX48" s="53">
        <f>volume!BX48</f>
        <v>0</v>
      </c>
      <c r="BY48" s="54">
        <f>volume!BY48</f>
        <v>0</v>
      </c>
      <c r="BZ48" s="49">
        <f t="shared" si="10"/>
        <v>70</v>
      </c>
      <c r="CA48" s="52">
        <f>volume!CA48</f>
        <v>0</v>
      </c>
      <c r="CB48" s="53">
        <f>volume!CB48</f>
        <v>0</v>
      </c>
      <c r="CC48" s="53">
        <f>volume!CC48</f>
        <v>0</v>
      </c>
      <c r="CD48" s="53">
        <f>volume!CD48</f>
        <v>0</v>
      </c>
      <c r="CE48" s="53">
        <f>volume!CE48</f>
        <v>0</v>
      </c>
      <c r="CF48" s="54">
        <f>volume!CF48</f>
        <v>0</v>
      </c>
      <c r="CG48" s="49">
        <f t="shared" si="11"/>
        <v>0</v>
      </c>
      <c r="CH48" s="52">
        <f>volume!CH48</f>
        <v>65</v>
      </c>
      <c r="CI48" s="53">
        <f>volume!CI48</f>
        <v>9</v>
      </c>
      <c r="CJ48" s="53">
        <f>volume!CJ48</f>
        <v>0</v>
      </c>
      <c r="CK48" s="53">
        <f>volume!CK48</f>
        <v>0</v>
      </c>
      <c r="CL48" s="53">
        <f>volume!CL48</f>
        <v>0</v>
      </c>
      <c r="CM48" s="54">
        <f>volume!CM48</f>
        <v>0</v>
      </c>
      <c r="CN48" s="49">
        <f t="shared" si="12"/>
        <v>74</v>
      </c>
      <c r="CO48" s="52">
        <f>volume!CO48</f>
        <v>148</v>
      </c>
      <c r="CP48" s="53">
        <f>volume!CP48</f>
        <v>46</v>
      </c>
      <c r="CQ48" s="53">
        <f>volume!CQ48</f>
        <v>0</v>
      </c>
      <c r="CR48" s="53">
        <f>volume!CR48</f>
        <v>0</v>
      </c>
      <c r="CS48" s="53">
        <f>volume!CS48</f>
        <v>0</v>
      </c>
      <c r="CT48" s="54">
        <f>volume!CT48</f>
        <v>0</v>
      </c>
      <c r="CU48" s="49">
        <f t="shared" si="13"/>
        <v>194</v>
      </c>
      <c r="CV48" s="52">
        <f>volume!CV48</f>
        <v>0</v>
      </c>
      <c r="CW48" s="53">
        <f>volume!CW48</f>
        <v>0</v>
      </c>
      <c r="CX48" s="53">
        <f>volume!CX48</f>
        <v>0</v>
      </c>
      <c r="CY48" s="53">
        <f>volume!CY48</f>
        <v>0</v>
      </c>
      <c r="CZ48" s="53">
        <f>volume!CZ48</f>
        <v>0</v>
      </c>
      <c r="DA48" s="54">
        <f>volume!DA48</f>
        <v>0</v>
      </c>
      <c r="DB48" s="49">
        <f t="shared" si="14"/>
        <v>0</v>
      </c>
      <c r="DC48" s="52">
        <f>volume!DC48</f>
        <v>0</v>
      </c>
      <c r="DD48" s="53">
        <f>volume!DD48</f>
        <v>0</v>
      </c>
      <c r="DE48" s="53">
        <f>volume!DE48</f>
        <v>0</v>
      </c>
      <c r="DF48" s="53">
        <f>volume!DF48</f>
        <v>0</v>
      </c>
      <c r="DG48" s="53">
        <f>volume!DG48</f>
        <v>0</v>
      </c>
      <c r="DH48" s="54">
        <f>volume!DH48</f>
        <v>0</v>
      </c>
      <c r="DI48" s="49">
        <f t="shared" si="15"/>
        <v>0</v>
      </c>
      <c r="DJ48" s="52">
        <f>volume!DJ48</f>
        <v>0</v>
      </c>
      <c r="DK48" s="53">
        <f>volume!DK48</f>
        <v>0</v>
      </c>
      <c r="DL48" s="53">
        <f>volume!DL48</f>
        <v>0</v>
      </c>
      <c r="DM48" s="53">
        <f>volume!DM48</f>
        <v>0</v>
      </c>
      <c r="DN48" s="53">
        <f>volume!DN48</f>
        <v>0</v>
      </c>
      <c r="DO48" s="54">
        <f>volume!DO48</f>
        <v>0</v>
      </c>
      <c r="DP48" s="50">
        <f t="shared" si="16"/>
        <v>0</v>
      </c>
      <c r="DQ48" s="52">
        <f>volume!DQ48</f>
        <v>0</v>
      </c>
      <c r="DR48" s="53">
        <f>volume!DR48</f>
        <v>0</v>
      </c>
      <c r="DS48" s="53">
        <f>volume!DS48</f>
        <v>0</v>
      </c>
      <c r="DT48" s="53">
        <f>volume!DT48</f>
        <v>0</v>
      </c>
      <c r="DU48" s="53">
        <f>volume!DU48</f>
        <v>0</v>
      </c>
      <c r="DV48" s="54">
        <f>volume!DV48</f>
        <v>0</v>
      </c>
      <c r="DW48" s="50">
        <f t="shared" si="17"/>
        <v>0</v>
      </c>
      <c r="DX48" s="52">
        <f>volume!DX48</f>
        <v>0</v>
      </c>
      <c r="DY48" s="53">
        <f>volume!DY48</f>
        <v>0</v>
      </c>
      <c r="DZ48" s="53">
        <f>volume!DZ48</f>
        <v>0</v>
      </c>
      <c r="EA48" s="53">
        <f>volume!EA48</f>
        <v>0</v>
      </c>
      <c r="EB48" s="53">
        <f>volume!EB48</f>
        <v>0</v>
      </c>
      <c r="EC48" s="54">
        <f>volume!EC48</f>
        <v>0</v>
      </c>
      <c r="ED48" s="50">
        <f t="shared" si="18"/>
        <v>0</v>
      </c>
      <c r="EE48" s="273"/>
      <c r="EF48" s="273"/>
      <c r="EG48" s="273"/>
      <c r="EH48" s="273"/>
      <c r="EI48" s="273"/>
      <c r="EJ48" s="273"/>
      <c r="EK48" s="273"/>
      <c r="EL48" s="52">
        <f>volume!EL48</f>
        <v>0</v>
      </c>
      <c r="EM48" s="53">
        <f>volume!EM48</f>
        <v>0</v>
      </c>
      <c r="EN48" s="53">
        <f>volume!EN48</f>
        <v>0</v>
      </c>
      <c r="EO48" s="53">
        <f>volume!EO48</f>
        <v>0</v>
      </c>
      <c r="EP48" s="53">
        <f>volume!EP48</f>
        <v>0</v>
      </c>
      <c r="EQ48" s="54">
        <f>volume!EQ48</f>
        <v>0</v>
      </c>
      <c r="ER48" s="50">
        <f t="shared" si="19"/>
        <v>0</v>
      </c>
      <c r="ES48" s="52">
        <f>volume!ES48</f>
        <v>0</v>
      </c>
      <c r="ET48" s="53">
        <f>volume!ET48</f>
        <v>0</v>
      </c>
      <c r="EU48" s="53">
        <f>volume!EU48</f>
        <v>0</v>
      </c>
      <c r="EV48" s="53">
        <f>volume!EV48</f>
        <v>0</v>
      </c>
      <c r="EW48" s="53">
        <f>volume!EW48</f>
        <v>0</v>
      </c>
      <c r="EX48" s="54">
        <f>volume!EX48</f>
        <v>0</v>
      </c>
      <c r="EY48" s="50">
        <f t="shared" si="20"/>
        <v>0</v>
      </c>
      <c r="EZ48" s="52">
        <f>volume!EZ48</f>
        <v>0</v>
      </c>
      <c r="FA48" s="53">
        <f>volume!FA48</f>
        <v>0</v>
      </c>
      <c r="FB48" s="53">
        <f>volume!FB48</f>
        <v>0</v>
      </c>
      <c r="FC48" s="53">
        <f>volume!FC48</f>
        <v>0</v>
      </c>
      <c r="FD48" s="53">
        <f>volume!FD48</f>
        <v>0</v>
      </c>
      <c r="FE48" s="54">
        <f>volume!FE48</f>
        <v>0</v>
      </c>
      <c r="FF48" s="50">
        <f t="shared" si="21"/>
        <v>0</v>
      </c>
      <c r="FG48" s="273"/>
      <c r="FH48" s="273"/>
      <c r="FI48" s="273"/>
      <c r="FJ48" s="273"/>
      <c r="FK48" s="273"/>
      <c r="FL48" s="273"/>
      <c r="FM48" s="273"/>
      <c r="FN48" s="52">
        <f>volume!FN48</f>
        <v>0</v>
      </c>
      <c r="FO48" s="53">
        <f>volume!FO48</f>
        <v>0</v>
      </c>
      <c r="FP48" s="53">
        <f>volume!FP48</f>
        <v>0</v>
      </c>
      <c r="FQ48" s="53">
        <f>volume!FQ48</f>
        <v>0</v>
      </c>
      <c r="FR48" s="53">
        <f>volume!FR48</f>
        <v>0</v>
      </c>
      <c r="FS48" s="54">
        <f>volume!FS48</f>
        <v>0</v>
      </c>
      <c r="FT48" s="50">
        <f t="shared" si="22"/>
        <v>0</v>
      </c>
      <c r="FU48" s="52">
        <f>volume!FU48</f>
        <v>0</v>
      </c>
      <c r="FV48" s="53">
        <f>volume!FV48</f>
        <v>0</v>
      </c>
      <c r="FW48" s="53">
        <f>volume!FW48</f>
        <v>0</v>
      </c>
      <c r="FX48" s="53">
        <f>volume!FX48</f>
        <v>0</v>
      </c>
      <c r="FY48" s="53">
        <f>volume!FY48</f>
        <v>0</v>
      </c>
      <c r="FZ48" s="54">
        <f>volume!FZ48</f>
        <v>0</v>
      </c>
      <c r="GA48" s="50">
        <f t="shared" si="23"/>
        <v>0</v>
      </c>
      <c r="GB48" s="52">
        <f>volume!GB48</f>
        <v>0</v>
      </c>
      <c r="GC48" s="53">
        <f>volume!GC48</f>
        <v>0</v>
      </c>
      <c r="GD48" s="53">
        <f>volume!GD48</f>
        <v>0</v>
      </c>
      <c r="GE48" s="53">
        <f>volume!GE48</f>
        <v>0</v>
      </c>
      <c r="GF48" s="53">
        <f>volume!GF48</f>
        <v>0</v>
      </c>
      <c r="GG48" s="54">
        <f>volume!GG48</f>
        <v>0</v>
      </c>
      <c r="GH48" s="50">
        <f t="shared" si="24"/>
        <v>0</v>
      </c>
      <c r="GI48" s="273"/>
      <c r="GJ48" s="273"/>
      <c r="GK48" s="273"/>
      <c r="GL48" s="273"/>
      <c r="GM48" s="273"/>
      <c r="GN48" s="273"/>
      <c r="GO48" s="273"/>
      <c r="GP48" s="52">
        <f>volume!GP48</f>
        <v>0</v>
      </c>
      <c r="GQ48" s="53">
        <f>volume!GQ48</f>
        <v>0</v>
      </c>
      <c r="GR48" s="53">
        <f>volume!GR48</f>
        <v>0</v>
      </c>
      <c r="GS48" s="53">
        <f>volume!GS48</f>
        <v>0</v>
      </c>
      <c r="GT48" s="53">
        <f>volume!GT48</f>
        <v>0</v>
      </c>
      <c r="GU48" s="54">
        <f>volume!GU48</f>
        <v>0</v>
      </c>
      <c r="GV48" s="50">
        <f t="shared" si="25"/>
        <v>0</v>
      </c>
      <c r="GW48" s="52">
        <f>volume!GW48</f>
        <v>0</v>
      </c>
      <c r="GX48" s="53">
        <f>volume!GX48</f>
        <v>0</v>
      </c>
      <c r="GY48" s="53">
        <f>volume!GY48</f>
        <v>0</v>
      </c>
      <c r="GZ48" s="53">
        <f>volume!GZ48</f>
        <v>0</v>
      </c>
      <c r="HA48" s="53">
        <f>volume!HA48</f>
        <v>0</v>
      </c>
      <c r="HB48" s="54">
        <f>volume!HB48</f>
        <v>0</v>
      </c>
      <c r="HC48" s="50">
        <f t="shared" si="26"/>
        <v>0</v>
      </c>
      <c r="HD48" s="52">
        <f>volume!HD48</f>
        <v>0</v>
      </c>
      <c r="HE48" s="53">
        <f>volume!HE48</f>
        <v>0</v>
      </c>
      <c r="HF48" s="53">
        <f>volume!HF48</f>
        <v>0</v>
      </c>
      <c r="HG48" s="53">
        <f>volume!HG48</f>
        <v>0</v>
      </c>
      <c r="HH48" s="53">
        <f>volume!HH48</f>
        <v>0</v>
      </c>
      <c r="HI48" s="54">
        <f>volume!HI48</f>
        <v>0</v>
      </c>
      <c r="HJ48" s="50">
        <f t="shared" si="27"/>
        <v>0</v>
      </c>
    </row>
    <row r="49" spans="1:218" ht="21.75" customHeight="1" x14ac:dyDescent="0.6">
      <c r="A49" s="51" t="s">
        <v>104</v>
      </c>
      <c r="B49" s="52">
        <f>volume!B49</f>
        <v>41</v>
      </c>
      <c r="C49" s="53">
        <f>volume!C49</f>
        <v>7</v>
      </c>
      <c r="D49" s="53">
        <f>volume!D49</f>
        <v>0</v>
      </c>
      <c r="E49" s="53">
        <f>volume!E49</f>
        <v>0</v>
      </c>
      <c r="F49" s="53">
        <f>volume!F49</f>
        <v>0</v>
      </c>
      <c r="G49" s="54">
        <f>volume!G49</f>
        <v>0</v>
      </c>
      <c r="H49" s="48">
        <f t="shared" si="0"/>
        <v>48</v>
      </c>
      <c r="I49" s="52">
        <f>volume!I49</f>
        <v>24</v>
      </c>
      <c r="J49" s="53">
        <f>volume!J49</f>
        <v>10</v>
      </c>
      <c r="K49" s="53">
        <f>volume!K49</f>
        <v>0</v>
      </c>
      <c r="L49" s="53">
        <f>volume!L49</f>
        <v>0</v>
      </c>
      <c r="M49" s="53">
        <f>volume!M49</f>
        <v>0</v>
      </c>
      <c r="N49" s="54">
        <f>volume!N49</f>
        <v>0</v>
      </c>
      <c r="O49" s="49">
        <f t="shared" si="1"/>
        <v>34</v>
      </c>
      <c r="P49" s="52">
        <f>volume!P49</f>
        <v>17</v>
      </c>
      <c r="Q49" s="53">
        <f>volume!Q49</f>
        <v>3</v>
      </c>
      <c r="R49" s="53">
        <f>volume!R49</f>
        <v>0</v>
      </c>
      <c r="S49" s="53">
        <f>volume!S49</f>
        <v>0</v>
      </c>
      <c r="T49" s="53">
        <f>volume!T49</f>
        <v>0</v>
      </c>
      <c r="U49" s="54">
        <f>volume!U49</f>
        <v>0</v>
      </c>
      <c r="V49" s="49">
        <f t="shared" si="2"/>
        <v>20</v>
      </c>
      <c r="W49" s="52">
        <f>volume!W49</f>
        <v>0</v>
      </c>
      <c r="X49" s="53">
        <f>volume!X49</f>
        <v>0</v>
      </c>
      <c r="Y49" s="53">
        <f>volume!Y49</f>
        <v>0</v>
      </c>
      <c r="Z49" s="53">
        <f>volume!Z49</f>
        <v>0</v>
      </c>
      <c r="AA49" s="53">
        <f>volume!AA49</f>
        <v>0</v>
      </c>
      <c r="AB49" s="54">
        <f>volume!AB49</f>
        <v>0</v>
      </c>
      <c r="AC49" s="49">
        <f t="shared" si="3"/>
        <v>0</v>
      </c>
      <c r="AD49" s="52">
        <f>volume!AD49</f>
        <v>54</v>
      </c>
      <c r="AE49" s="53">
        <f>volume!AE49</f>
        <v>12</v>
      </c>
      <c r="AF49" s="53">
        <f>volume!AF49</f>
        <v>0</v>
      </c>
      <c r="AG49" s="53">
        <f>volume!AG49</f>
        <v>0</v>
      </c>
      <c r="AH49" s="53">
        <f>volume!AH49</f>
        <v>0</v>
      </c>
      <c r="AI49" s="54">
        <f>volume!AI49</f>
        <v>0</v>
      </c>
      <c r="AJ49" s="49">
        <f t="shared" si="4"/>
        <v>66</v>
      </c>
      <c r="AK49" s="52">
        <f>volume!AK49</f>
        <v>141</v>
      </c>
      <c r="AL49" s="53">
        <f>volume!AL49</f>
        <v>34</v>
      </c>
      <c r="AM49" s="53">
        <f>volume!AM49</f>
        <v>0</v>
      </c>
      <c r="AN49" s="53">
        <f>volume!AN49</f>
        <v>0</v>
      </c>
      <c r="AO49" s="53">
        <f>volume!AO49</f>
        <v>2</v>
      </c>
      <c r="AP49" s="54">
        <f>volume!AP49</f>
        <v>0</v>
      </c>
      <c r="AQ49" s="49">
        <f t="shared" si="5"/>
        <v>177</v>
      </c>
      <c r="AR49" s="52">
        <f>volume!AR49</f>
        <v>48</v>
      </c>
      <c r="AS49" s="53">
        <f>volume!AS49</f>
        <v>9</v>
      </c>
      <c r="AT49" s="53">
        <f>volume!AT49</f>
        <v>0</v>
      </c>
      <c r="AU49" s="53">
        <f>volume!AU49</f>
        <v>0</v>
      </c>
      <c r="AV49" s="53">
        <f>volume!AV49</f>
        <v>0</v>
      </c>
      <c r="AW49" s="54">
        <f>volume!AW49</f>
        <v>1</v>
      </c>
      <c r="AX49" s="49">
        <f t="shared" si="6"/>
        <v>58</v>
      </c>
      <c r="AY49" s="52">
        <f>volume!AY49</f>
        <v>56</v>
      </c>
      <c r="AZ49" s="53">
        <f>volume!AZ49</f>
        <v>15</v>
      </c>
      <c r="BA49" s="53">
        <f>volume!BA49</f>
        <v>0</v>
      </c>
      <c r="BB49" s="53">
        <f>volume!BB49</f>
        <v>0</v>
      </c>
      <c r="BC49" s="53">
        <f>volume!BC49</f>
        <v>1</v>
      </c>
      <c r="BD49" s="54">
        <f>volume!BD49</f>
        <v>0</v>
      </c>
      <c r="BE49" s="49">
        <f t="shared" si="7"/>
        <v>72</v>
      </c>
      <c r="BF49" s="52">
        <f>volume!BF49</f>
        <v>5</v>
      </c>
      <c r="BG49" s="53">
        <f>volume!BG49</f>
        <v>2</v>
      </c>
      <c r="BH49" s="53">
        <f>volume!BH49</f>
        <v>0</v>
      </c>
      <c r="BI49" s="53">
        <f>volume!BI49</f>
        <v>0</v>
      </c>
      <c r="BJ49" s="53">
        <f>volume!BJ49</f>
        <v>0</v>
      </c>
      <c r="BK49" s="54">
        <f>volume!BK49</f>
        <v>0</v>
      </c>
      <c r="BL49" s="49">
        <f t="shared" si="8"/>
        <v>7</v>
      </c>
      <c r="BM49" s="52">
        <f>volume!BM49</f>
        <v>28</v>
      </c>
      <c r="BN49" s="53">
        <f>volume!BN49</f>
        <v>13</v>
      </c>
      <c r="BO49" s="53">
        <f>volume!BO49</f>
        <v>0</v>
      </c>
      <c r="BP49" s="53">
        <f>volume!BP49</f>
        <v>0</v>
      </c>
      <c r="BQ49" s="53">
        <f>volume!BQ49</f>
        <v>0</v>
      </c>
      <c r="BR49" s="54">
        <f>volume!BR49</f>
        <v>0</v>
      </c>
      <c r="BS49" s="49">
        <f t="shared" si="9"/>
        <v>41</v>
      </c>
      <c r="BT49" s="52">
        <f>volume!BT49</f>
        <v>68</v>
      </c>
      <c r="BU49" s="53">
        <f>volume!BU49</f>
        <v>11</v>
      </c>
      <c r="BV49" s="53">
        <f>volume!BV49</f>
        <v>0</v>
      </c>
      <c r="BW49" s="53">
        <f>volume!BW49</f>
        <v>0</v>
      </c>
      <c r="BX49" s="53">
        <f>volume!BX49</f>
        <v>0</v>
      </c>
      <c r="BY49" s="54">
        <f>volume!BY49</f>
        <v>0</v>
      </c>
      <c r="BZ49" s="49">
        <f t="shared" si="10"/>
        <v>79</v>
      </c>
      <c r="CA49" s="52">
        <f>volume!CA49</f>
        <v>0</v>
      </c>
      <c r="CB49" s="53">
        <f>volume!CB49</f>
        <v>0</v>
      </c>
      <c r="CC49" s="53">
        <f>volume!CC49</f>
        <v>0</v>
      </c>
      <c r="CD49" s="53">
        <f>volume!CD49</f>
        <v>0</v>
      </c>
      <c r="CE49" s="53">
        <f>volume!CE49</f>
        <v>0</v>
      </c>
      <c r="CF49" s="54">
        <f>volume!CF49</f>
        <v>0</v>
      </c>
      <c r="CG49" s="49">
        <f t="shared" si="11"/>
        <v>0</v>
      </c>
      <c r="CH49" s="52">
        <f>volume!CH49</f>
        <v>70</v>
      </c>
      <c r="CI49" s="53">
        <f>volume!CI49</f>
        <v>6</v>
      </c>
      <c r="CJ49" s="53">
        <f>volume!CJ49</f>
        <v>0</v>
      </c>
      <c r="CK49" s="53">
        <f>volume!CK49</f>
        <v>0</v>
      </c>
      <c r="CL49" s="53">
        <f>volume!CL49</f>
        <v>0</v>
      </c>
      <c r="CM49" s="54">
        <f>volume!CM49</f>
        <v>0</v>
      </c>
      <c r="CN49" s="49">
        <f t="shared" si="12"/>
        <v>76</v>
      </c>
      <c r="CO49" s="52">
        <f>volume!CO49</f>
        <v>153</v>
      </c>
      <c r="CP49" s="53">
        <f>volume!CP49</f>
        <v>41</v>
      </c>
      <c r="CQ49" s="53">
        <f>volume!CQ49</f>
        <v>0</v>
      </c>
      <c r="CR49" s="53">
        <f>volume!CR49</f>
        <v>0</v>
      </c>
      <c r="CS49" s="53">
        <f>volume!CS49</f>
        <v>0</v>
      </c>
      <c r="CT49" s="54">
        <f>volume!CT49</f>
        <v>0</v>
      </c>
      <c r="CU49" s="49">
        <f t="shared" si="13"/>
        <v>194</v>
      </c>
      <c r="CV49" s="52">
        <f>volume!CV49</f>
        <v>0</v>
      </c>
      <c r="CW49" s="53">
        <f>volume!CW49</f>
        <v>0</v>
      </c>
      <c r="CX49" s="53">
        <f>volume!CX49</f>
        <v>0</v>
      </c>
      <c r="CY49" s="53">
        <f>volume!CY49</f>
        <v>0</v>
      </c>
      <c r="CZ49" s="53">
        <f>volume!CZ49</f>
        <v>0</v>
      </c>
      <c r="DA49" s="54">
        <f>volume!DA49</f>
        <v>0</v>
      </c>
      <c r="DB49" s="49">
        <f t="shared" si="14"/>
        <v>0</v>
      </c>
      <c r="DC49" s="52">
        <f>volume!DC49</f>
        <v>0</v>
      </c>
      <c r="DD49" s="53">
        <f>volume!DD49</f>
        <v>0</v>
      </c>
      <c r="DE49" s="53">
        <f>volume!DE49</f>
        <v>0</v>
      </c>
      <c r="DF49" s="53">
        <f>volume!DF49</f>
        <v>0</v>
      </c>
      <c r="DG49" s="53">
        <f>volume!DG49</f>
        <v>0</v>
      </c>
      <c r="DH49" s="54">
        <f>volume!DH49</f>
        <v>0</v>
      </c>
      <c r="DI49" s="49">
        <f t="shared" si="15"/>
        <v>0</v>
      </c>
      <c r="DJ49" s="52">
        <f>volume!DJ49</f>
        <v>0</v>
      </c>
      <c r="DK49" s="53">
        <f>volume!DK49</f>
        <v>0</v>
      </c>
      <c r="DL49" s="53">
        <f>volume!DL49</f>
        <v>0</v>
      </c>
      <c r="DM49" s="53">
        <f>volume!DM49</f>
        <v>0</v>
      </c>
      <c r="DN49" s="53">
        <f>volume!DN49</f>
        <v>0</v>
      </c>
      <c r="DO49" s="54">
        <f>volume!DO49</f>
        <v>0</v>
      </c>
      <c r="DP49" s="50">
        <f t="shared" si="16"/>
        <v>0</v>
      </c>
      <c r="DQ49" s="52">
        <f>volume!DQ49</f>
        <v>0</v>
      </c>
      <c r="DR49" s="53">
        <f>volume!DR49</f>
        <v>0</v>
      </c>
      <c r="DS49" s="53">
        <f>volume!DS49</f>
        <v>0</v>
      </c>
      <c r="DT49" s="53">
        <f>volume!DT49</f>
        <v>0</v>
      </c>
      <c r="DU49" s="53">
        <f>volume!DU49</f>
        <v>0</v>
      </c>
      <c r="DV49" s="54">
        <f>volume!DV49</f>
        <v>0</v>
      </c>
      <c r="DW49" s="50">
        <f t="shared" si="17"/>
        <v>0</v>
      </c>
      <c r="DX49" s="52">
        <f>volume!DX49</f>
        <v>0</v>
      </c>
      <c r="DY49" s="53">
        <f>volume!DY49</f>
        <v>0</v>
      </c>
      <c r="DZ49" s="53">
        <f>volume!DZ49</f>
        <v>0</v>
      </c>
      <c r="EA49" s="53">
        <f>volume!EA49</f>
        <v>0</v>
      </c>
      <c r="EB49" s="53">
        <f>volume!EB49</f>
        <v>0</v>
      </c>
      <c r="EC49" s="54">
        <f>volume!EC49</f>
        <v>0</v>
      </c>
      <c r="ED49" s="50">
        <f t="shared" si="18"/>
        <v>0</v>
      </c>
      <c r="EE49" s="273"/>
      <c r="EF49" s="273"/>
      <c r="EG49" s="273"/>
      <c r="EH49" s="273"/>
      <c r="EI49" s="273"/>
      <c r="EJ49" s="273"/>
      <c r="EK49" s="273"/>
      <c r="EL49" s="52">
        <f>volume!EL49</f>
        <v>0</v>
      </c>
      <c r="EM49" s="53">
        <f>volume!EM49</f>
        <v>0</v>
      </c>
      <c r="EN49" s="53">
        <f>volume!EN49</f>
        <v>0</v>
      </c>
      <c r="EO49" s="53">
        <f>volume!EO49</f>
        <v>0</v>
      </c>
      <c r="EP49" s="53">
        <f>volume!EP49</f>
        <v>0</v>
      </c>
      <c r="EQ49" s="54">
        <f>volume!EQ49</f>
        <v>0</v>
      </c>
      <c r="ER49" s="50">
        <f t="shared" si="19"/>
        <v>0</v>
      </c>
      <c r="ES49" s="52">
        <f>volume!ES49</f>
        <v>0</v>
      </c>
      <c r="ET49" s="53">
        <f>volume!ET49</f>
        <v>0</v>
      </c>
      <c r="EU49" s="53">
        <f>volume!EU49</f>
        <v>0</v>
      </c>
      <c r="EV49" s="53">
        <f>volume!EV49</f>
        <v>0</v>
      </c>
      <c r="EW49" s="53">
        <f>volume!EW49</f>
        <v>0</v>
      </c>
      <c r="EX49" s="54">
        <f>volume!EX49</f>
        <v>0</v>
      </c>
      <c r="EY49" s="50">
        <f t="shared" si="20"/>
        <v>0</v>
      </c>
      <c r="EZ49" s="52">
        <f>volume!EZ49</f>
        <v>0</v>
      </c>
      <c r="FA49" s="53">
        <f>volume!FA49</f>
        <v>0</v>
      </c>
      <c r="FB49" s="53">
        <f>volume!FB49</f>
        <v>0</v>
      </c>
      <c r="FC49" s="53">
        <f>volume!FC49</f>
        <v>0</v>
      </c>
      <c r="FD49" s="53">
        <f>volume!FD49</f>
        <v>0</v>
      </c>
      <c r="FE49" s="54">
        <f>volume!FE49</f>
        <v>0</v>
      </c>
      <c r="FF49" s="50">
        <f t="shared" si="21"/>
        <v>0</v>
      </c>
      <c r="FG49" s="273"/>
      <c r="FH49" s="273"/>
      <c r="FI49" s="273"/>
      <c r="FJ49" s="273"/>
      <c r="FK49" s="273"/>
      <c r="FL49" s="273"/>
      <c r="FM49" s="273"/>
      <c r="FN49" s="52">
        <f>volume!FN49</f>
        <v>0</v>
      </c>
      <c r="FO49" s="53">
        <f>volume!FO49</f>
        <v>0</v>
      </c>
      <c r="FP49" s="53">
        <f>volume!FP49</f>
        <v>0</v>
      </c>
      <c r="FQ49" s="53">
        <f>volume!FQ49</f>
        <v>0</v>
      </c>
      <c r="FR49" s="53">
        <f>volume!FR49</f>
        <v>0</v>
      </c>
      <c r="FS49" s="54">
        <f>volume!FS49</f>
        <v>0</v>
      </c>
      <c r="FT49" s="50">
        <f t="shared" si="22"/>
        <v>0</v>
      </c>
      <c r="FU49" s="52">
        <f>volume!FU49</f>
        <v>0</v>
      </c>
      <c r="FV49" s="53">
        <f>volume!FV49</f>
        <v>0</v>
      </c>
      <c r="FW49" s="53">
        <f>volume!FW49</f>
        <v>0</v>
      </c>
      <c r="FX49" s="53">
        <f>volume!FX49</f>
        <v>0</v>
      </c>
      <c r="FY49" s="53">
        <f>volume!FY49</f>
        <v>0</v>
      </c>
      <c r="FZ49" s="54">
        <f>volume!FZ49</f>
        <v>0</v>
      </c>
      <c r="GA49" s="50">
        <f t="shared" si="23"/>
        <v>0</v>
      </c>
      <c r="GB49" s="52">
        <f>volume!GB49</f>
        <v>0</v>
      </c>
      <c r="GC49" s="53">
        <f>volume!GC49</f>
        <v>0</v>
      </c>
      <c r="GD49" s="53">
        <f>volume!GD49</f>
        <v>0</v>
      </c>
      <c r="GE49" s="53">
        <f>volume!GE49</f>
        <v>0</v>
      </c>
      <c r="GF49" s="53">
        <f>volume!GF49</f>
        <v>0</v>
      </c>
      <c r="GG49" s="54">
        <f>volume!GG49</f>
        <v>0</v>
      </c>
      <c r="GH49" s="50">
        <f t="shared" si="24"/>
        <v>0</v>
      </c>
      <c r="GI49" s="273"/>
      <c r="GJ49" s="273"/>
      <c r="GK49" s="273"/>
      <c r="GL49" s="273"/>
      <c r="GM49" s="273"/>
      <c r="GN49" s="273"/>
      <c r="GO49" s="273"/>
      <c r="GP49" s="52">
        <f>volume!GP49</f>
        <v>0</v>
      </c>
      <c r="GQ49" s="53">
        <f>volume!GQ49</f>
        <v>0</v>
      </c>
      <c r="GR49" s="53">
        <f>volume!GR49</f>
        <v>0</v>
      </c>
      <c r="GS49" s="53">
        <f>volume!GS49</f>
        <v>0</v>
      </c>
      <c r="GT49" s="53">
        <f>volume!GT49</f>
        <v>0</v>
      </c>
      <c r="GU49" s="54">
        <f>volume!GU49</f>
        <v>0</v>
      </c>
      <c r="GV49" s="50">
        <f t="shared" si="25"/>
        <v>0</v>
      </c>
      <c r="GW49" s="52">
        <f>volume!GW49</f>
        <v>0</v>
      </c>
      <c r="GX49" s="53">
        <f>volume!GX49</f>
        <v>0</v>
      </c>
      <c r="GY49" s="53">
        <f>volume!GY49</f>
        <v>0</v>
      </c>
      <c r="GZ49" s="53">
        <f>volume!GZ49</f>
        <v>0</v>
      </c>
      <c r="HA49" s="53">
        <f>volume!HA49</f>
        <v>0</v>
      </c>
      <c r="HB49" s="54">
        <f>volume!HB49</f>
        <v>0</v>
      </c>
      <c r="HC49" s="50">
        <f t="shared" si="26"/>
        <v>0</v>
      </c>
      <c r="HD49" s="52">
        <f>volume!HD49</f>
        <v>0</v>
      </c>
      <c r="HE49" s="53">
        <f>volume!HE49</f>
        <v>0</v>
      </c>
      <c r="HF49" s="53">
        <f>volume!HF49</f>
        <v>0</v>
      </c>
      <c r="HG49" s="53">
        <f>volume!HG49</f>
        <v>0</v>
      </c>
      <c r="HH49" s="53">
        <f>volume!HH49</f>
        <v>0</v>
      </c>
      <c r="HI49" s="54">
        <f>volume!HI49</f>
        <v>0</v>
      </c>
      <c r="HJ49" s="50">
        <f t="shared" si="27"/>
        <v>0</v>
      </c>
    </row>
    <row r="50" spans="1:218" ht="21.75" customHeight="1" x14ac:dyDescent="0.6">
      <c r="A50" s="55" t="s">
        <v>105</v>
      </c>
      <c r="B50" s="56">
        <f>volume!B50</f>
        <v>35</v>
      </c>
      <c r="C50" s="57">
        <f>volume!C50</f>
        <v>4</v>
      </c>
      <c r="D50" s="57">
        <f>volume!D50</f>
        <v>0</v>
      </c>
      <c r="E50" s="57">
        <f>volume!E50</f>
        <v>0</v>
      </c>
      <c r="F50" s="57">
        <f>volume!F50</f>
        <v>1</v>
      </c>
      <c r="G50" s="58">
        <f>volume!G50</f>
        <v>0</v>
      </c>
      <c r="H50" s="59">
        <f t="shared" si="0"/>
        <v>40</v>
      </c>
      <c r="I50" s="56">
        <f>volume!I50</f>
        <v>22</v>
      </c>
      <c r="J50" s="57">
        <f>volume!J50</f>
        <v>12</v>
      </c>
      <c r="K50" s="57">
        <f>volume!K50</f>
        <v>0</v>
      </c>
      <c r="L50" s="57">
        <f>volume!L50</f>
        <v>0</v>
      </c>
      <c r="M50" s="57">
        <f>volume!M50</f>
        <v>0</v>
      </c>
      <c r="N50" s="58">
        <f>volume!N50</f>
        <v>0</v>
      </c>
      <c r="O50" s="60">
        <f t="shared" si="1"/>
        <v>34</v>
      </c>
      <c r="P50" s="56">
        <f>volume!P50</f>
        <v>13</v>
      </c>
      <c r="Q50" s="57">
        <f>volume!Q50</f>
        <v>6</v>
      </c>
      <c r="R50" s="57">
        <f>volume!R50</f>
        <v>0</v>
      </c>
      <c r="S50" s="57">
        <f>volume!S50</f>
        <v>0</v>
      </c>
      <c r="T50" s="57">
        <f>volume!T50</f>
        <v>0</v>
      </c>
      <c r="U50" s="58">
        <f>volume!U50</f>
        <v>0</v>
      </c>
      <c r="V50" s="60">
        <f t="shared" si="2"/>
        <v>19</v>
      </c>
      <c r="W50" s="56">
        <f>volume!W50</f>
        <v>0</v>
      </c>
      <c r="X50" s="57">
        <f>volume!X50</f>
        <v>0</v>
      </c>
      <c r="Y50" s="57">
        <f>volume!Y50</f>
        <v>0</v>
      </c>
      <c r="Z50" s="57">
        <f>volume!Z50</f>
        <v>0</v>
      </c>
      <c r="AA50" s="57">
        <f>volume!AA50</f>
        <v>0</v>
      </c>
      <c r="AB50" s="58">
        <f>volume!AB50</f>
        <v>0</v>
      </c>
      <c r="AC50" s="60">
        <f t="shared" si="3"/>
        <v>0</v>
      </c>
      <c r="AD50" s="56">
        <f>volume!AD50</f>
        <v>43</v>
      </c>
      <c r="AE50" s="57">
        <f>volume!AE50</f>
        <v>18</v>
      </c>
      <c r="AF50" s="57">
        <f>volume!AF50</f>
        <v>0</v>
      </c>
      <c r="AG50" s="57">
        <f>volume!AG50</f>
        <v>0</v>
      </c>
      <c r="AH50" s="57">
        <f>volume!AH50</f>
        <v>0</v>
      </c>
      <c r="AI50" s="58">
        <f>volume!AI50</f>
        <v>0</v>
      </c>
      <c r="AJ50" s="60">
        <f t="shared" si="4"/>
        <v>61</v>
      </c>
      <c r="AK50" s="56">
        <f>volume!AK50</f>
        <v>135</v>
      </c>
      <c r="AL50" s="57">
        <f>volume!AL50</f>
        <v>30</v>
      </c>
      <c r="AM50" s="57">
        <f>volume!AM50</f>
        <v>0</v>
      </c>
      <c r="AN50" s="57">
        <f>volume!AN50</f>
        <v>0</v>
      </c>
      <c r="AO50" s="57">
        <f>volume!AO50</f>
        <v>1</v>
      </c>
      <c r="AP50" s="58">
        <f>volume!AP50</f>
        <v>0</v>
      </c>
      <c r="AQ50" s="60">
        <f t="shared" si="5"/>
        <v>166</v>
      </c>
      <c r="AR50" s="56">
        <f>volume!AR50</f>
        <v>42</v>
      </c>
      <c r="AS50" s="57">
        <f>volume!AS50</f>
        <v>5</v>
      </c>
      <c r="AT50" s="57">
        <f>volume!AT50</f>
        <v>0</v>
      </c>
      <c r="AU50" s="57">
        <f>volume!AU50</f>
        <v>0</v>
      </c>
      <c r="AV50" s="57">
        <f>volume!AV50</f>
        <v>0</v>
      </c>
      <c r="AW50" s="58">
        <f>volume!AW50</f>
        <v>0</v>
      </c>
      <c r="AX50" s="60">
        <f t="shared" si="6"/>
        <v>47</v>
      </c>
      <c r="AY50" s="56">
        <f>volume!AY50</f>
        <v>37</v>
      </c>
      <c r="AZ50" s="57">
        <f>volume!AZ50</f>
        <v>21</v>
      </c>
      <c r="BA50" s="57">
        <f>volume!BA50</f>
        <v>0</v>
      </c>
      <c r="BB50" s="57">
        <f>volume!BB50</f>
        <v>0</v>
      </c>
      <c r="BC50" s="57">
        <f>volume!BC50</f>
        <v>0</v>
      </c>
      <c r="BD50" s="58">
        <f>volume!BD50</f>
        <v>0</v>
      </c>
      <c r="BE50" s="60">
        <f t="shared" si="7"/>
        <v>58</v>
      </c>
      <c r="BF50" s="56">
        <f>volume!BF50</f>
        <v>3</v>
      </c>
      <c r="BG50" s="57">
        <f>volume!BG50</f>
        <v>0</v>
      </c>
      <c r="BH50" s="57">
        <f>volume!BH50</f>
        <v>0</v>
      </c>
      <c r="BI50" s="57">
        <f>volume!BI50</f>
        <v>0</v>
      </c>
      <c r="BJ50" s="57">
        <f>volume!BJ50</f>
        <v>0</v>
      </c>
      <c r="BK50" s="58">
        <f>volume!BK50</f>
        <v>0</v>
      </c>
      <c r="BL50" s="60">
        <f t="shared" si="8"/>
        <v>3</v>
      </c>
      <c r="BM50" s="56">
        <f>volume!BM50</f>
        <v>31</v>
      </c>
      <c r="BN50" s="57">
        <f>volume!BN50</f>
        <v>13</v>
      </c>
      <c r="BO50" s="57">
        <f>volume!BO50</f>
        <v>0</v>
      </c>
      <c r="BP50" s="57">
        <f>volume!BP50</f>
        <v>0</v>
      </c>
      <c r="BQ50" s="57">
        <f>volume!BQ50</f>
        <v>0</v>
      </c>
      <c r="BR50" s="58">
        <f>volume!BR50</f>
        <v>0</v>
      </c>
      <c r="BS50" s="60">
        <f t="shared" si="9"/>
        <v>44</v>
      </c>
      <c r="BT50" s="56">
        <f>volume!BT50</f>
        <v>51</v>
      </c>
      <c r="BU50" s="57">
        <f>volume!BU50</f>
        <v>10</v>
      </c>
      <c r="BV50" s="57">
        <f>volume!BV50</f>
        <v>0</v>
      </c>
      <c r="BW50" s="57">
        <f>volume!BW50</f>
        <v>0</v>
      </c>
      <c r="BX50" s="57">
        <f>volume!BX50</f>
        <v>0</v>
      </c>
      <c r="BY50" s="58">
        <f>volume!BY50</f>
        <v>0</v>
      </c>
      <c r="BZ50" s="60">
        <f t="shared" si="10"/>
        <v>61</v>
      </c>
      <c r="CA50" s="56">
        <f>volume!CA50</f>
        <v>0</v>
      </c>
      <c r="CB50" s="57">
        <f>volume!CB50</f>
        <v>0</v>
      </c>
      <c r="CC50" s="57">
        <f>volume!CC50</f>
        <v>0</v>
      </c>
      <c r="CD50" s="57">
        <f>volume!CD50</f>
        <v>0</v>
      </c>
      <c r="CE50" s="57">
        <f>volume!CE50</f>
        <v>0</v>
      </c>
      <c r="CF50" s="58">
        <f>volume!CF50</f>
        <v>0</v>
      </c>
      <c r="CG50" s="60">
        <f t="shared" si="11"/>
        <v>0</v>
      </c>
      <c r="CH50" s="56">
        <f>volume!CH50</f>
        <v>62</v>
      </c>
      <c r="CI50" s="57">
        <f>volume!CI50</f>
        <v>5</v>
      </c>
      <c r="CJ50" s="57">
        <f>volume!CJ50</f>
        <v>0</v>
      </c>
      <c r="CK50" s="57">
        <f>volume!CK50</f>
        <v>0</v>
      </c>
      <c r="CL50" s="57">
        <f>volume!CL50</f>
        <v>1</v>
      </c>
      <c r="CM50" s="58">
        <f>volume!CM50</f>
        <v>1</v>
      </c>
      <c r="CN50" s="60">
        <f t="shared" si="12"/>
        <v>69</v>
      </c>
      <c r="CO50" s="56">
        <f>volume!CO50</f>
        <v>156</v>
      </c>
      <c r="CP50" s="57">
        <f>volume!CP50</f>
        <v>38</v>
      </c>
      <c r="CQ50" s="57">
        <f>volume!CQ50</f>
        <v>0</v>
      </c>
      <c r="CR50" s="57">
        <f>volume!CR50</f>
        <v>1</v>
      </c>
      <c r="CS50" s="57">
        <f>volume!CS50</f>
        <v>0</v>
      </c>
      <c r="CT50" s="58">
        <f>volume!CT50</f>
        <v>0</v>
      </c>
      <c r="CU50" s="60">
        <f t="shared" si="13"/>
        <v>195</v>
      </c>
      <c r="CV50" s="56">
        <f>volume!CV50</f>
        <v>0</v>
      </c>
      <c r="CW50" s="57">
        <f>volume!CW50</f>
        <v>0</v>
      </c>
      <c r="CX50" s="57">
        <f>volume!CX50</f>
        <v>0</v>
      </c>
      <c r="CY50" s="57">
        <f>volume!CY50</f>
        <v>0</v>
      </c>
      <c r="CZ50" s="57">
        <f>volume!CZ50</f>
        <v>0</v>
      </c>
      <c r="DA50" s="58">
        <f>volume!DA50</f>
        <v>0</v>
      </c>
      <c r="DB50" s="60">
        <f t="shared" si="14"/>
        <v>0</v>
      </c>
      <c r="DC50" s="56">
        <f>volume!DC50</f>
        <v>0</v>
      </c>
      <c r="DD50" s="57">
        <f>volume!DD50</f>
        <v>0</v>
      </c>
      <c r="DE50" s="57">
        <f>volume!DE50</f>
        <v>0</v>
      </c>
      <c r="DF50" s="57">
        <f>volume!DF50</f>
        <v>0</v>
      </c>
      <c r="DG50" s="57">
        <f>volume!DG50</f>
        <v>0</v>
      </c>
      <c r="DH50" s="58">
        <f>volume!DH50</f>
        <v>0</v>
      </c>
      <c r="DI50" s="60">
        <f t="shared" si="15"/>
        <v>0</v>
      </c>
      <c r="DJ50" s="56">
        <f>volume!DJ50</f>
        <v>0</v>
      </c>
      <c r="DK50" s="57">
        <f>volume!DK50</f>
        <v>0</v>
      </c>
      <c r="DL50" s="57">
        <f>volume!DL50</f>
        <v>0</v>
      </c>
      <c r="DM50" s="57">
        <f>volume!DM50</f>
        <v>0</v>
      </c>
      <c r="DN50" s="57">
        <f>volume!DN50</f>
        <v>0</v>
      </c>
      <c r="DO50" s="58">
        <f>volume!DO50</f>
        <v>0</v>
      </c>
      <c r="DP50" s="50">
        <f t="shared" si="16"/>
        <v>0</v>
      </c>
      <c r="DQ50" s="56">
        <f>volume!DQ50</f>
        <v>0</v>
      </c>
      <c r="DR50" s="57">
        <f>volume!DR50</f>
        <v>0</v>
      </c>
      <c r="DS50" s="57">
        <f>volume!DS50</f>
        <v>0</v>
      </c>
      <c r="DT50" s="57">
        <f>volume!DT50</f>
        <v>0</v>
      </c>
      <c r="DU50" s="57">
        <f>volume!DU50</f>
        <v>0</v>
      </c>
      <c r="DV50" s="58">
        <f>volume!DV50</f>
        <v>0</v>
      </c>
      <c r="DW50" s="61">
        <f t="shared" si="17"/>
        <v>0</v>
      </c>
      <c r="DX50" s="56">
        <f>volume!DX50</f>
        <v>0</v>
      </c>
      <c r="DY50" s="57">
        <f>volume!DY50</f>
        <v>0</v>
      </c>
      <c r="DZ50" s="57">
        <f>volume!DZ50</f>
        <v>0</v>
      </c>
      <c r="EA50" s="57">
        <f>volume!EA50</f>
        <v>0</v>
      </c>
      <c r="EB50" s="57">
        <f>volume!EB50</f>
        <v>0</v>
      </c>
      <c r="EC50" s="58">
        <f>volume!EC50</f>
        <v>0</v>
      </c>
      <c r="ED50" s="61">
        <f t="shared" si="18"/>
        <v>0</v>
      </c>
      <c r="EE50" s="274"/>
      <c r="EF50" s="274"/>
      <c r="EG50" s="274"/>
      <c r="EH50" s="274"/>
      <c r="EI50" s="274"/>
      <c r="EJ50" s="274"/>
      <c r="EK50" s="274"/>
      <c r="EL50" s="56">
        <f>volume!EL50</f>
        <v>0</v>
      </c>
      <c r="EM50" s="57">
        <f>volume!EM50</f>
        <v>0</v>
      </c>
      <c r="EN50" s="57">
        <f>volume!EN50</f>
        <v>0</v>
      </c>
      <c r="EO50" s="57">
        <f>volume!EO50</f>
        <v>0</v>
      </c>
      <c r="EP50" s="57">
        <f>volume!EP50</f>
        <v>0</v>
      </c>
      <c r="EQ50" s="58">
        <f>volume!EQ50</f>
        <v>0</v>
      </c>
      <c r="ER50" s="61">
        <f t="shared" si="19"/>
        <v>0</v>
      </c>
      <c r="ES50" s="56">
        <f>volume!ES50</f>
        <v>0</v>
      </c>
      <c r="ET50" s="57">
        <f>volume!ET50</f>
        <v>0</v>
      </c>
      <c r="EU50" s="57">
        <f>volume!EU50</f>
        <v>0</v>
      </c>
      <c r="EV50" s="57">
        <f>volume!EV50</f>
        <v>0</v>
      </c>
      <c r="EW50" s="57">
        <f>volume!EW50</f>
        <v>0</v>
      </c>
      <c r="EX50" s="58">
        <f>volume!EX50</f>
        <v>0</v>
      </c>
      <c r="EY50" s="61">
        <f t="shared" si="20"/>
        <v>0</v>
      </c>
      <c r="EZ50" s="56">
        <f>volume!EZ50</f>
        <v>0</v>
      </c>
      <c r="FA50" s="57">
        <f>volume!FA50</f>
        <v>0</v>
      </c>
      <c r="FB50" s="57">
        <f>volume!FB50</f>
        <v>0</v>
      </c>
      <c r="FC50" s="57">
        <f>volume!FC50</f>
        <v>0</v>
      </c>
      <c r="FD50" s="57">
        <f>volume!FD50</f>
        <v>0</v>
      </c>
      <c r="FE50" s="58">
        <f>volume!FE50</f>
        <v>0</v>
      </c>
      <c r="FF50" s="61">
        <f t="shared" si="21"/>
        <v>0</v>
      </c>
      <c r="FG50" s="274"/>
      <c r="FH50" s="274"/>
      <c r="FI50" s="274"/>
      <c r="FJ50" s="274"/>
      <c r="FK50" s="274"/>
      <c r="FL50" s="274"/>
      <c r="FM50" s="274"/>
      <c r="FN50" s="56">
        <f>volume!FN50</f>
        <v>0</v>
      </c>
      <c r="FO50" s="57">
        <f>volume!FO50</f>
        <v>0</v>
      </c>
      <c r="FP50" s="57">
        <f>volume!FP50</f>
        <v>0</v>
      </c>
      <c r="FQ50" s="57">
        <f>volume!FQ50</f>
        <v>0</v>
      </c>
      <c r="FR50" s="57">
        <f>volume!FR50</f>
        <v>0</v>
      </c>
      <c r="FS50" s="58">
        <f>volume!FS50</f>
        <v>0</v>
      </c>
      <c r="FT50" s="61">
        <f t="shared" si="22"/>
        <v>0</v>
      </c>
      <c r="FU50" s="56">
        <f>volume!FU50</f>
        <v>0</v>
      </c>
      <c r="FV50" s="57">
        <f>volume!FV50</f>
        <v>0</v>
      </c>
      <c r="FW50" s="57">
        <f>volume!FW50</f>
        <v>0</v>
      </c>
      <c r="FX50" s="57">
        <f>volume!FX50</f>
        <v>0</v>
      </c>
      <c r="FY50" s="57">
        <f>volume!FY50</f>
        <v>0</v>
      </c>
      <c r="FZ50" s="58">
        <f>volume!FZ50</f>
        <v>0</v>
      </c>
      <c r="GA50" s="61">
        <f t="shared" si="23"/>
        <v>0</v>
      </c>
      <c r="GB50" s="56">
        <f>volume!GB50</f>
        <v>0</v>
      </c>
      <c r="GC50" s="57">
        <f>volume!GC50</f>
        <v>0</v>
      </c>
      <c r="GD50" s="57">
        <f>volume!GD50</f>
        <v>0</v>
      </c>
      <c r="GE50" s="57">
        <f>volume!GE50</f>
        <v>0</v>
      </c>
      <c r="GF50" s="57">
        <f>volume!GF50</f>
        <v>0</v>
      </c>
      <c r="GG50" s="58">
        <f>volume!GG50</f>
        <v>0</v>
      </c>
      <c r="GH50" s="61">
        <f t="shared" si="24"/>
        <v>0</v>
      </c>
      <c r="GI50" s="274"/>
      <c r="GJ50" s="274"/>
      <c r="GK50" s="274"/>
      <c r="GL50" s="274"/>
      <c r="GM50" s="274"/>
      <c r="GN50" s="274"/>
      <c r="GO50" s="274"/>
      <c r="GP50" s="56">
        <f>volume!GP50</f>
        <v>0</v>
      </c>
      <c r="GQ50" s="57">
        <f>volume!GQ50</f>
        <v>0</v>
      </c>
      <c r="GR50" s="57">
        <f>volume!GR50</f>
        <v>0</v>
      </c>
      <c r="GS50" s="57">
        <f>volume!GS50</f>
        <v>0</v>
      </c>
      <c r="GT50" s="57">
        <f>volume!GT50</f>
        <v>0</v>
      </c>
      <c r="GU50" s="58">
        <f>volume!GU50</f>
        <v>0</v>
      </c>
      <c r="GV50" s="61">
        <f t="shared" si="25"/>
        <v>0</v>
      </c>
      <c r="GW50" s="56">
        <f>volume!GW50</f>
        <v>0</v>
      </c>
      <c r="GX50" s="57">
        <f>volume!GX50</f>
        <v>0</v>
      </c>
      <c r="GY50" s="57">
        <f>volume!GY50</f>
        <v>0</v>
      </c>
      <c r="GZ50" s="57">
        <f>volume!GZ50</f>
        <v>0</v>
      </c>
      <c r="HA50" s="57">
        <f>volume!HA50</f>
        <v>0</v>
      </c>
      <c r="HB50" s="58">
        <f>volume!HB50</f>
        <v>0</v>
      </c>
      <c r="HC50" s="61">
        <f t="shared" si="26"/>
        <v>0</v>
      </c>
      <c r="HD50" s="56">
        <f>volume!HD50</f>
        <v>0</v>
      </c>
      <c r="HE50" s="57">
        <f>volume!HE50</f>
        <v>0</v>
      </c>
      <c r="HF50" s="57">
        <f>volume!HF50</f>
        <v>0</v>
      </c>
      <c r="HG50" s="57">
        <f>volume!HG50</f>
        <v>0</v>
      </c>
      <c r="HH50" s="57">
        <f>volume!HH50</f>
        <v>0</v>
      </c>
      <c r="HI50" s="58">
        <f>volume!HI50</f>
        <v>0</v>
      </c>
      <c r="HJ50" s="61">
        <f t="shared" si="27"/>
        <v>0</v>
      </c>
    </row>
    <row r="51" spans="1:218" ht="21.75" customHeight="1" x14ac:dyDescent="0.6">
      <c r="A51" s="62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  <c r="FQ51" s="53"/>
      <c r="FR51" s="53"/>
      <c r="FS51" s="53"/>
      <c r="FT51" s="53"/>
      <c r="FU51" s="53"/>
      <c r="FV51" s="53"/>
      <c r="FW51" s="53"/>
      <c r="FX51" s="53"/>
      <c r="FY51" s="53"/>
      <c r="FZ51" s="53"/>
      <c r="GA51" s="53"/>
      <c r="GB51" s="53"/>
      <c r="GC51" s="53"/>
      <c r="GD51" s="53"/>
      <c r="GE51" s="53"/>
      <c r="GF51" s="53"/>
      <c r="GG51" s="53"/>
      <c r="GH51" s="53"/>
      <c r="GI51" s="53"/>
      <c r="GJ51" s="53"/>
      <c r="GK51" s="53"/>
      <c r="GL51" s="53"/>
      <c r="GM51" s="53"/>
      <c r="GN51" s="53"/>
      <c r="GO51" s="53"/>
      <c r="GP51" s="53"/>
      <c r="GQ51" s="53"/>
      <c r="GR51" s="53"/>
      <c r="GS51" s="53"/>
      <c r="GT51" s="53"/>
      <c r="GU51" s="53"/>
      <c r="GV51" s="53"/>
      <c r="GW51" s="53"/>
      <c r="GX51" s="53"/>
      <c r="GY51" s="53"/>
      <c r="GZ51" s="53"/>
      <c r="HA51" s="53"/>
      <c r="HB51" s="53"/>
      <c r="HC51" s="53"/>
      <c r="HD51" s="53"/>
      <c r="HE51" s="53"/>
      <c r="HF51" s="53"/>
      <c r="HG51" s="53"/>
      <c r="HH51" s="53"/>
      <c r="HI51" s="53"/>
      <c r="HJ51" s="53"/>
    </row>
    <row r="52" spans="1:218" ht="21.75" customHeight="1" x14ac:dyDescent="0.6">
      <c r="A52" s="63"/>
      <c r="B52" s="64"/>
      <c r="C52" s="65"/>
      <c r="D52" s="65"/>
      <c r="E52" s="66" t="s">
        <v>22</v>
      </c>
      <c r="F52" s="65"/>
      <c r="G52" s="65"/>
      <c r="H52" s="65"/>
      <c r="I52" s="64"/>
      <c r="J52" s="65"/>
      <c r="K52" s="65"/>
      <c r="L52" s="66" t="s">
        <v>23</v>
      </c>
      <c r="M52" s="65"/>
      <c r="N52" s="65"/>
      <c r="O52" s="65"/>
      <c r="P52" s="64"/>
      <c r="Q52" s="65"/>
      <c r="R52" s="65"/>
      <c r="S52" s="67" t="s">
        <v>24</v>
      </c>
      <c r="T52" s="65"/>
      <c r="U52" s="65"/>
      <c r="V52" s="65"/>
      <c r="W52" s="64"/>
      <c r="X52" s="65"/>
      <c r="Y52" s="65"/>
      <c r="Z52" s="66" t="s">
        <v>25</v>
      </c>
      <c r="AA52" s="65"/>
      <c r="AB52" s="65"/>
      <c r="AC52" s="65"/>
      <c r="AD52" s="64"/>
      <c r="AE52" s="65"/>
      <c r="AF52" s="65"/>
      <c r="AG52" s="66" t="s">
        <v>26</v>
      </c>
      <c r="AH52" s="65"/>
      <c r="AI52" s="65"/>
      <c r="AJ52" s="65"/>
      <c r="AK52" s="64"/>
      <c r="AL52" s="65"/>
      <c r="AM52" s="65"/>
      <c r="AN52" s="66" t="s">
        <v>27</v>
      </c>
      <c r="AO52" s="65"/>
      <c r="AP52" s="65"/>
      <c r="AQ52" s="65"/>
      <c r="AR52" s="64"/>
      <c r="AS52" s="65"/>
      <c r="AT52" s="65"/>
      <c r="AU52" s="67" t="s">
        <v>28</v>
      </c>
      <c r="AV52" s="65"/>
      <c r="AW52" s="65"/>
      <c r="AX52" s="65"/>
      <c r="AY52" s="64"/>
      <c r="AZ52" s="65"/>
      <c r="BA52" s="65"/>
      <c r="BB52" s="66" t="s">
        <v>29</v>
      </c>
      <c r="BC52" s="65"/>
      <c r="BD52" s="65"/>
      <c r="BE52" s="68"/>
      <c r="BF52" s="64"/>
      <c r="BG52" s="65"/>
      <c r="BH52" s="65"/>
      <c r="BI52" s="66" t="s">
        <v>30</v>
      </c>
      <c r="BJ52" s="65"/>
      <c r="BK52" s="65"/>
      <c r="BL52" s="65"/>
      <c r="BM52" s="64"/>
      <c r="BN52" s="65"/>
      <c r="BO52" s="65"/>
      <c r="BP52" s="66" t="s">
        <v>31</v>
      </c>
      <c r="BQ52" s="65"/>
      <c r="BR52" s="65"/>
      <c r="BS52" s="65"/>
      <c r="BT52" s="64"/>
      <c r="BU52" s="65"/>
      <c r="BV52" s="65"/>
      <c r="BW52" s="67" t="s">
        <v>32</v>
      </c>
      <c r="BX52" s="65"/>
      <c r="BY52" s="65"/>
      <c r="BZ52" s="65"/>
      <c r="CA52" s="64"/>
      <c r="CB52" s="65"/>
      <c r="CC52" s="65"/>
      <c r="CD52" s="66" t="s">
        <v>33</v>
      </c>
      <c r="CE52" s="65"/>
      <c r="CF52" s="65"/>
      <c r="CG52" s="68"/>
      <c r="CH52" s="64"/>
      <c r="CI52" s="65"/>
      <c r="CJ52" s="65"/>
      <c r="CK52" s="66" t="s">
        <v>34</v>
      </c>
      <c r="CL52" s="65"/>
      <c r="CM52" s="65"/>
      <c r="CN52" s="65"/>
      <c r="CO52" s="64"/>
      <c r="CP52" s="65"/>
      <c r="CQ52" s="65"/>
      <c r="CR52" s="66" t="s">
        <v>35</v>
      </c>
      <c r="CS52" s="65"/>
      <c r="CT52" s="65"/>
      <c r="CU52" s="65"/>
      <c r="CV52" s="64"/>
      <c r="CW52" s="65"/>
      <c r="CX52" s="65"/>
      <c r="CY52" s="67" t="s">
        <v>36</v>
      </c>
      <c r="CZ52" s="65"/>
      <c r="DA52" s="65"/>
      <c r="DB52" s="65"/>
      <c r="DC52" s="64"/>
      <c r="DD52" s="65"/>
      <c r="DE52" s="65"/>
      <c r="DF52" s="66" t="s">
        <v>37</v>
      </c>
      <c r="DG52" s="65"/>
      <c r="DH52" s="65"/>
      <c r="DI52" s="68"/>
      <c r="DJ52" s="69"/>
      <c r="DK52" s="70"/>
      <c r="DL52" s="70"/>
      <c r="DM52" s="71" t="s">
        <v>38</v>
      </c>
      <c r="DN52" s="70"/>
      <c r="DO52" s="70"/>
      <c r="DP52" s="70"/>
      <c r="DQ52" s="69"/>
      <c r="DR52" s="70"/>
      <c r="DS52" s="70"/>
      <c r="DT52" s="71" t="s">
        <v>39</v>
      </c>
      <c r="DU52" s="70"/>
      <c r="DV52" s="70"/>
      <c r="DW52" s="70"/>
      <c r="DX52" s="69"/>
      <c r="DY52" s="70"/>
      <c r="DZ52" s="70"/>
      <c r="EA52" s="71" t="s">
        <v>40</v>
      </c>
      <c r="EB52" s="70"/>
      <c r="EC52" s="70"/>
      <c r="ED52" s="70"/>
      <c r="EE52" s="275"/>
      <c r="EF52" s="275"/>
      <c r="EG52" s="275"/>
      <c r="EH52" s="275"/>
      <c r="EI52" s="275"/>
      <c r="EJ52" s="275"/>
      <c r="EK52" s="275"/>
      <c r="EL52" s="69"/>
      <c r="EM52" s="70"/>
      <c r="EN52" s="70"/>
      <c r="EO52" s="71" t="s">
        <v>41</v>
      </c>
      <c r="EP52" s="70"/>
      <c r="EQ52" s="70"/>
      <c r="ER52" s="70"/>
      <c r="ES52" s="69"/>
      <c r="ET52" s="70"/>
      <c r="EU52" s="70"/>
      <c r="EV52" s="71" t="s">
        <v>42</v>
      </c>
      <c r="EW52" s="70"/>
      <c r="EX52" s="70"/>
      <c r="EY52" s="72"/>
      <c r="EZ52" s="69"/>
      <c r="FA52" s="70"/>
      <c r="FB52" s="70"/>
      <c r="FC52" s="71" t="s">
        <v>43</v>
      </c>
      <c r="FD52" s="70"/>
      <c r="FE52" s="70"/>
      <c r="FF52" s="70"/>
      <c r="FG52" s="275"/>
      <c r="FH52" s="275"/>
      <c r="FI52" s="275"/>
      <c r="FJ52" s="275"/>
      <c r="FK52" s="275"/>
      <c r="FL52" s="275"/>
      <c r="FM52" s="275"/>
      <c r="FN52" s="69"/>
      <c r="FO52" s="70"/>
      <c r="FP52" s="70"/>
      <c r="FQ52" s="71" t="s">
        <v>44</v>
      </c>
      <c r="FR52" s="70"/>
      <c r="FS52" s="70"/>
      <c r="FT52" s="70"/>
      <c r="FU52" s="69"/>
      <c r="FV52" s="70"/>
      <c r="FW52" s="70"/>
      <c r="FX52" s="71" t="s">
        <v>45</v>
      </c>
      <c r="FY52" s="70"/>
      <c r="FZ52" s="70"/>
      <c r="GA52" s="72"/>
      <c r="GB52" s="69"/>
      <c r="GC52" s="70"/>
      <c r="GD52" s="70"/>
      <c r="GE52" s="71" t="s">
        <v>46</v>
      </c>
      <c r="GF52" s="70"/>
      <c r="GG52" s="70"/>
      <c r="GH52" s="70"/>
      <c r="GI52" s="275"/>
      <c r="GJ52" s="275"/>
      <c r="GK52" s="275"/>
      <c r="GL52" s="275"/>
      <c r="GM52" s="275"/>
      <c r="GN52" s="275"/>
      <c r="GO52" s="275"/>
      <c r="GP52" s="69"/>
      <c r="GQ52" s="70"/>
      <c r="GR52" s="70"/>
      <c r="GS52" s="71" t="s">
        <v>47</v>
      </c>
      <c r="GT52" s="70"/>
      <c r="GU52" s="70"/>
      <c r="GV52" s="70"/>
      <c r="GW52" s="69"/>
      <c r="GX52" s="70"/>
      <c r="GY52" s="70"/>
      <c r="GZ52" s="71" t="s">
        <v>48</v>
      </c>
      <c r="HA52" s="70"/>
      <c r="HB52" s="70"/>
      <c r="HC52" s="72"/>
      <c r="HD52" s="69"/>
      <c r="HE52" s="70"/>
      <c r="HF52" s="70"/>
      <c r="HG52" s="71" t="s">
        <v>49</v>
      </c>
      <c r="HH52" s="70"/>
      <c r="HI52" s="70"/>
      <c r="HJ52" s="70"/>
    </row>
    <row r="53" spans="1:218" ht="21.75" customHeight="1" x14ac:dyDescent="0.6">
      <c r="A53" s="73">
        <v>45115</v>
      </c>
      <c r="B53" s="53">
        <f t="shared" ref="B53:HJ53" si="28">SUM(B3:B6)</f>
        <v>179</v>
      </c>
      <c r="C53" s="53">
        <f t="shared" si="28"/>
        <v>25</v>
      </c>
      <c r="D53" s="53">
        <f t="shared" si="28"/>
        <v>0</v>
      </c>
      <c r="E53" s="53">
        <f t="shared" si="28"/>
        <v>0</v>
      </c>
      <c r="F53" s="53">
        <f t="shared" si="28"/>
        <v>3</v>
      </c>
      <c r="G53" s="53">
        <f t="shared" si="28"/>
        <v>1</v>
      </c>
      <c r="H53" s="74">
        <f t="shared" si="28"/>
        <v>208</v>
      </c>
      <c r="I53" s="53">
        <f t="shared" si="28"/>
        <v>88</v>
      </c>
      <c r="J53" s="53">
        <f t="shared" si="28"/>
        <v>29</v>
      </c>
      <c r="K53" s="53">
        <f t="shared" si="28"/>
        <v>0</v>
      </c>
      <c r="L53" s="53">
        <f t="shared" si="28"/>
        <v>0</v>
      </c>
      <c r="M53" s="53">
        <f t="shared" si="28"/>
        <v>0</v>
      </c>
      <c r="N53" s="53">
        <f t="shared" si="28"/>
        <v>0</v>
      </c>
      <c r="O53" s="74">
        <f t="shared" si="28"/>
        <v>117</v>
      </c>
      <c r="P53" s="53">
        <f t="shared" si="28"/>
        <v>104</v>
      </c>
      <c r="Q53" s="53">
        <f t="shared" si="28"/>
        <v>23</v>
      </c>
      <c r="R53" s="53">
        <f t="shared" si="28"/>
        <v>0</v>
      </c>
      <c r="S53" s="53">
        <f t="shared" si="28"/>
        <v>0</v>
      </c>
      <c r="T53" s="53">
        <f t="shared" si="28"/>
        <v>0</v>
      </c>
      <c r="U53" s="53">
        <f t="shared" si="28"/>
        <v>0</v>
      </c>
      <c r="V53" s="74">
        <f t="shared" si="28"/>
        <v>127</v>
      </c>
      <c r="W53" s="53">
        <f t="shared" si="28"/>
        <v>0</v>
      </c>
      <c r="X53" s="53">
        <f t="shared" si="28"/>
        <v>0</v>
      </c>
      <c r="Y53" s="53">
        <f t="shared" si="28"/>
        <v>0</v>
      </c>
      <c r="Z53" s="53">
        <f t="shared" si="28"/>
        <v>0</v>
      </c>
      <c r="AA53" s="53">
        <f t="shared" si="28"/>
        <v>0</v>
      </c>
      <c r="AB53" s="53">
        <f t="shared" si="28"/>
        <v>0</v>
      </c>
      <c r="AC53" s="74">
        <f t="shared" si="28"/>
        <v>0</v>
      </c>
      <c r="AD53" s="53">
        <f t="shared" si="28"/>
        <v>190</v>
      </c>
      <c r="AE53" s="53">
        <f t="shared" si="28"/>
        <v>58</v>
      </c>
      <c r="AF53" s="53">
        <f t="shared" si="28"/>
        <v>0</v>
      </c>
      <c r="AG53" s="53">
        <f t="shared" si="28"/>
        <v>0</v>
      </c>
      <c r="AH53" s="53">
        <f t="shared" si="28"/>
        <v>1</v>
      </c>
      <c r="AI53" s="53">
        <f t="shared" si="28"/>
        <v>0</v>
      </c>
      <c r="AJ53" s="74">
        <f t="shared" si="28"/>
        <v>249</v>
      </c>
      <c r="AK53" s="53">
        <f t="shared" si="28"/>
        <v>716</v>
      </c>
      <c r="AL53" s="53">
        <f t="shared" si="28"/>
        <v>141</v>
      </c>
      <c r="AM53" s="53">
        <f t="shared" si="28"/>
        <v>1</v>
      </c>
      <c r="AN53" s="53">
        <f t="shared" si="28"/>
        <v>1</v>
      </c>
      <c r="AO53" s="53">
        <f t="shared" si="28"/>
        <v>13</v>
      </c>
      <c r="AP53" s="53">
        <f t="shared" si="28"/>
        <v>0</v>
      </c>
      <c r="AQ53" s="74">
        <f t="shared" si="28"/>
        <v>872</v>
      </c>
      <c r="AR53" s="53">
        <f t="shared" si="28"/>
        <v>115</v>
      </c>
      <c r="AS53" s="53">
        <f t="shared" si="28"/>
        <v>24</v>
      </c>
      <c r="AT53" s="53">
        <f t="shared" si="28"/>
        <v>0</v>
      </c>
      <c r="AU53" s="53">
        <f t="shared" si="28"/>
        <v>0</v>
      </c>
      <c r="AV53" s="53">
        <f t="shared" si="28"/>
        <v>0</v>
      </c>
      <c r="AW53" s="53">
        <f t="shared" si="28"/>
        <v>0</v>
      </c>
      <c r="AX53" s="74">
        <f>SUM(AX3:AX6)</f>
        <v>139</v>
      </c>
      <c r="AY53" s="53">
        <f t="shared" si="28"/>
        <v>238</v>
      </c>
      <c r="AZ53" s="53">
        <f t="shared" si="28"/>
        <v>53</v>
      </c>
      <c r="BA53" s="53">
        <f t="shared" si="28"/>
        <v>1</v>
      </c>
      <c r="BB53" s="53">
        <f t="shared" si="28"/>
        <v>0</v>
      </c>
      <c r="BC53" s="53">
        <f t="shared" si="28"/>
        <v>3</v>
      </c>
      <c r="BD53" s="53">
        <f t="shared" si="28"/>
        <v>0</v>
      </c>
      <c r="BE53" s="74">
        <f t="shared" si="28"/>
        <v>295</v>
      </c>
      <c r="BF53" s="53">
        <f t="shared" si="28"/>
        <v>13</v>
      </c>
      <c r="BG53" s="53">
        <f t="shared" si="28"/>
        <v>3</v>
      </c>
      <c r="BH53" s="53">
        <f t="shared" si="28"/>
        <v>0</v>
      </c>
      <c r="BI53" s="53">
        <f t="shared" si="28"/>
        <v>0</v>
      </c>
      <c r="BJ53" s="53">
        <f t="shared" si="28"/>
        <v>0</v>
      </c>
      <c r="BK53" s="53">
        <f t="shared" si="28"/>
        <v>0</v>
      </c>
      <c r="BL53" s="74">
        <f t="shared" si="28"/>
        <v>16</v>
      </c>
      <c r="BM53" s="53">
        <f t="shared" si="28"/>
        <v>275</v>
      </c>
      <c r="BN53" s="53">
        <f t="shared" si="28"/>
        <v>37</v>
      </c>
      <c r="BO53" s="53">
        <f t="shared" si="28"/>
        <v>0</v>
      </c>
      <c r="BP53" s="53">
        <f t="shared" si="28"/>
        <v>0</v>
      </c>
      <c r="BQ53" s="53">
        <f t="shared" si="28"/>
        <v>1</v>
      </c>
      <c r="BR53" s="53">
        <f t="shared" si="28"/>
        <v>0</v>
      </c>
      <c r="BS53" s="74">
        <f t="shared" si="28"/>
        <v>313</v>
      </c>
      <c r="BT53" s="53">
        <f t="shared" si="28"/>
        <v>229</v>
      </c>
      <c r="BU53" s="53">
        <f t="shared" si="28"/>
        <v>39</v>
      </c>
      <c r="BV53" s="53">
        <f t="shared" si="28"/>
        <v>0</v>
      </c>
      <c r="BW53" s="53">
        <f t="shared" si="28"/>
        <v>0</v>
      </c>
      <c r="BX53" s="53">
        <f t="shared" si="28"/>
        <v>0</v>
      </c>
      <c r="BY53" s="53">
        <f t="shared" si="28"/>
        <v>0</v>
      </c>
      <c r="BZ53" s="74">
        <f t="shared" si="28"/>
        <v>268</v>
      </c>
      <c r="CA53" s="53">
        <f t="shared" si="28"/>
        <v>0</v>
      </c>
      <c r="CB53" s="53">
        <f t="shared" si="28"/>
        <v>0</v>
      </c>
      <c r="CC53" s="53">
        <f t="shared" si="28"/>
        <v>0</v>
      </c>
      <c r="CD53" s="53">
        <f t="shared" si="28"/>
        <v>0</v>
      </c>
      <c r="CE53" s="53">
        <f t="shared" si="28"/>
        <v>0</v>
      </c>
      <c r="CF53" s="53">
        <f t="shared" si="28"/>
        <v>0</v>
      </c>
      <c r="CG53" s="74">
        <f t="shared" si="28"/>
        <v>0</v>
      </c>
      <c r="CH53" s="53">
        <f t="shared" si="28"/>
        <v>235</v>
      </c>
      <c r="CI53" s="53">
        <f t="shared" si="28"/>
        <v>21</v>
      </c>
      <c r="CJ53" s="53">
        <f t="shared" si="28"/>
        <v>0</v>
      </c>
      <c r="CK53" s="53">
        <f t="shared" si="28"/>
        <v>0</v>
      </c>
      <c r="CL53" s="53">
        <f t="shared" si="28"/>
        <v>1</v>
      </c>
      <c r="CM53" s="53">
        <f t="shared" si="28"/>
        <v>0</v>
      </c>
      <c r="CN53" s="74">
        <f t="shared" si="28"/>
        <v>257</v>
      </c>
      <c r="CO53" s="53">
        <f t="shared" si="28"/>
        <v>587</v>
      </c>
      <c r="CP53" s="53">
        <f t="shared" si="28"/>
        <v>84</v>
      </c>
      <c r="CQ53" s="53">
        <f t="shared" si="28"/>
        <v>7</v>
      </c>
      <c r="CR53" s="53">
        <f t="shared" si="28"/>
        <v>0</v>
      </c>
      <c r="CS53" s="53">
        <f t="shared" si="28"/>
        <v>11</v>
      </c>
      <c r="CT53" s="53">
        <f t="shared" si="28"/>
        <v>0</v>
      </c>
      <c r="CU53" s="74">
        <f t="shared" si="28"/>
        <v>689</v>
      </c>
      <c r="CV53" s="53">
        <f t="shared" si="28"/>
        <v>0</v>
      </c>
      <c r="CW53" s="53">
        <f t="shared" si="28"/>
        <v>0</v>
      </c>
      <c r="CX53" s="53">
        <f t="shared" si="28"/>
        <v>0</v>
      </c>
      <c r="CY53" s="53">
        <f t="shared" si="28"/>
        <v>0</v>
      </c>
      <c r="CZ53" s="53">
        <f t="shared" si="28"/>
        <v>0</v>
      </c>
      <c r="DA53" s="53">
        <f t="shared" si="28"/>
        <v>0</v>
      </c>
      <c r="DB53" s="74">
        <f t="shared" si="28"/>
        <v>0</v>
      </c>
      <c r="DC53" s="53">
        <f t="shared" si="28"/>
        <v>0</v>
      </c>
      <c r="DD53" s="53">
        <f t="shared" si="28"/>
        <v>0</v>
      </c>
      <c r="DE53" s="53">
        <f t="shared" si="28"/>
        <v>0</v>
      </c>
      <c r="DF53" s="53">
        <f t="shared" si="28"/>
        <v>0</v>
      </c>
      <c r="DG53" s="53">
        <f t="shared" si="28"/>
        <v>0</v>
      </c>
      <c r="DH53" s="53">
        <f t="shared" si="28"/>
        <v>0</v>
      </c>
      <c r="DI53" s="74">
        <f t="shared" si="28"/>
        <v>0</v>
      </c>
      <c r="DJ53" s="53">
        <f t="shared" si="28"/>
        <v>0</v>
      </c>
      <c r="DK53" s="53">
        <f t="shared" si="28"/>
        <v>0</v>
      </c>
      <c r="DL53" s="53">
        <f t="shared" si="28"/>
        <v>0</v>
      </c>
      <c r="DM53" s="53">
        <f t="shared" si="28"/>
        <v>0</v>
      </c>
      <c r="DN53" s="53">
        <f t="shared" si="28"/>
        <v>0</v>
      </c>
      <c r="DO53" s="53">
        <f t="shared" si="28"/>
        <v>0</v>
      </c>
      <c r="DP53" s="74">
        <f t="shared" si="28"/>
        <v>0</v>
      </c>
      <c r="DQ53" s="53">
        <f t="shared" si="28"/>
        <v>0</v>
      </c>
      <c r="DR53" s="53">
        <f t="shared" si="28"/>
        <v>0</v>
      </c>
      <c r="DS53" s="53">
        <f t="shared" si="28"/>
        <v>0</v>
      </c>
      <c r="DT53" s="53">
        <f t="shared" si="28"/>
        <v>0</v>
      </c>
      <c r="DU53" s="53">
        <f t="shared" si="28"/>
        <v>0</v>
      </c>
      <c r="DV53" s="53">
        <f t="shared" si="28"/>
        <v>0</v>
      </c>
      <c r="DW53" s="74">
        <f t="shared" si="28"/>
        <v>0</v>
      </c>
      <c r="DX53" s="53">
        <f t="shared" si="28"/>
        <v>0</v>
      </c>
      <c r="DY53" s="53">
        <f t="shared" si="28"/>
        <v>0</v>
      </c>
      <c r="DZ53" s="53">
        <f t="shared" si="28"/>
        <v>0</v>
      </c>
      <c r="EA53" s="53">
        <f t="shared" si="28"/>
        <v>0</v>
      </c>
      <c r="EB53" s="53">
        <f t="shared" si="28"/>
        <v>0</v>
      </c>
      <c r="EC53" s="53">
        <f t="shared" si="28"/>
        <v>0</v>
      </c>
      <c r="ED53" s="74">
        <f t="shared" si="28"/>
        <v>0</v>
      </c>
      <c r="EE53" s="276"/>
      <c r="EF53" s="276"/>
      <c r="EG53" s="276"/>
      <c r="EH53" s="276"/>
      <c r="EI53" s="276"/>
      <c r="EJ53" s="276"/>
      <c r="EK53" s="276"/>
      <c r="EL53" s="53">
        <f t="shared" si="28"/>
        <v>0</v>
      </c>
      <c r="EM53" s="53">
        <f t="shared" si="28"/>
        <v>0</v>
      </c>
      <c r="EN53" s="53">
        <f t="shared" si="28"/>
        <v>0</v>
      </c>
      <c r="EO53" s="53">
        <f t="shared" si="28"/>
        <v>0</v>
      </c>
      <c r="EP53" s="53">
        <f t="shared" si="28"/>
        <v>0</v>
      </c>
      <c r="EQ53" s="53">
        <f t="shared" si="28"/>
        <v>0</v>
      </c>
      <c r="ER53" s="74">
        <f t="shared" si="28"/>
        <v>0</v>
      </c>
      <c r="ES53" s="53">
        <f t="shared" si="28"/>
        <v>0</v>
      </c>
      <c r="ET53" s="53">
        <f t="shared" si="28"/>
        <v>0</v>
      </c>
      <c r="EU53" s="53">
        <f t="shared" si="28"/>
        <v>0</v>
      </c>
      <c r="EV53" s="53">
        <f t="shared" si="28"/>
        <v>0</v>
      </c>
      <c r="EW53" s="53">
        <f t="shared" si="28"/>
        <v>0</v>
      </c>
      <c r="EX53" s="53">
        <f t="shared" si="28"/>
        <v>0</v>
      </c>
      <c r="EY53" s="74">
        <f t="shared" si="28"/>
        <v>0</v>
      </c>
      <c r="EZ53" s="53">
        <f t="shared" si="28"/>
        <v>0</v>
      </c>
      <c r="FA53" s="53">
        <f t="shared" si="28"/>
        <v>0</v>
      </c>
      <c r="FB53" s="53">
        <f t="shared" si="28"/>
        <v>0</v>
      </c>
      <c r="FC53" s="53">
        <f t="shared" si="28"/>
        <v>0</v>
      </c>
      <c r="FD53" s="53">
        <f t="shared" si="28"/>
        <v>0</v>
      </c>
      <c r="FE53" s="53">
        <f t="shared" si="28"/>
        <v>0</v>
      </c>
      <c r="FF53" s="74">
        <f t="shared" si="28"/>
        <v>0</v>
      </c>
      <c r="FG53" s="276"/>
      <c r="FH53" s="276"/>
      <c r="FI53" s="276"/>
      <c r="FJ53" s="276"/>
      <c r="FK53" s="276"/>
      <c r="FL53" s="276"/>
      <c r="FM53" s="276"/>
      <c r="FN53" s="53">
        <f t="shared" si="28"/>
        <v>0</v>
      </c>
      <c r="FO53" s="53">
        <f t="shared" si="28"/>
        <v>0</v>
      </c>
      <c r="FP53" s="53">
        <f t="shared" si="28"/>
        <v>0</v>
      </c>
      <c r="FQ53" s="53">
        <f t="shared" si="28"/>
        <v>0</v>
      </c>
      <c r="FR53" s="53">
        <f t="shared" si="28"/>
        <v>0</v>
      </c>
      <c r="FS53" s="53">
        <f t="shared" si="28"/>
        <v>0</v>
      </c>
      <c r="FT53" s="74">
        <f t="shared" si="28"/>
        <v>0</v>
      </c>
      <c r="FU53" s="53">
        <f t="shared" si="28"/>
        <v>0</v>
      </c>
      <c r="FV53" s="53">
        <f t="shared" si="28"/>
        <v>0</v>
      </c>
      <c r="FW53" s="53">
        <f t="shared" si="28"/>
        <v>0</v>
      </c>
      <c r="FX53" s="53">
        <f t="shared" si="28"/>
        <v>0</v>
      </c>
      <c r="FY53" s="53">
        <f t="shared" si="28"/>
        <v>0</v>
      </c>
      <c r="FZ53" s="53">
        <f t="shared" si="28"/>
        <v>0</v>
      </c>
      <c r="GA53" s="74">
        <f t="shared" si="28"/>
        <v>0</v>
      </c>
      <c r="GB53" s="53">
        <f t="shared" si="28"/>
        <v>0</v>
      </c>
      <c r="GC53" s="53">
        <f t="shared" si="28"/>
        <v>0</v>
      </c>
      <c r="GD53" s="53">
        <f t="shared" si="28"/>
        <v>0</v>
      </c>
      <c r="GE53" s="53">
        <f t="shared" si="28"/>
        <v>0</v>
      </c>
      <c r="GF53" s="53">
        <f t="shared" si="28"/>
        <v>0</v>
      </c>
      <c r="GG53" s="53">
        <f t="shared" si="28"/>
        <v>0</v>
      </c>
      <c r="GH53" s="74">
        <f t="shared" si="28"/>
        <v>0</v>
      </c>
      <c r="GI53" s="276"/>
      <c r="GJ53" s="276"/>
      <c r="GK53" s="276"/>
      <c r="GL53" s="276"/>
      <c r="GM53" s="276"/>
      <c r="GN53" s="276"/>
      <c r="GO53" s="276"/>
      <c r="GP53" s="53">
        <f t="shared" si="28"/>
        <v>0</v>
      </c>
      <c r="GQ53" s="53">
        <f t="shared" si="28"/>
        <v>0</v>
      </c>
      <c r="GR53" s="53">
        <f t="shared" si="28"/>
        <v>0</v>
      </c>
      <c r="GS53" s="53">
        <f t="shared" si="28"/>
        <v>0</v>
      </c>
      <c r="GT53" s="53">
        <f t="shared" si="28"/>
        <v>0</v>
      </c>
      <c r="GU53" s="53">
        <f t="shared" si="28"/>
        <v>0</v>
      </c>
      <c r="GV53" s="74">
        <f t="shared" si="28"/>
        <v>0</v>
      </c>
      <c r="GW53" s="53">
        <f t="shared" si="28"/>
        <v>0</v>
      </c>
      <c r="GX53" s="53">
        <f t="shared" si="28"/>
        <v>0</v>
      </c>
      <c r="GY53" s="53">
        <f t="shared" si="28"/>
        <v>0</v>
      </c>
      <c r="GZ53" s="53">
        <f t="shared" si="28"/>
        <v>0</v>
      </c>
      <c r="HA53" s="53">
        <f t="shared" si="28"/>
        <v>0</v>
      </c>
      <c r="HB53" s="53">
        <f t="shared" si="28"/>
        <v>0</v>
      </c>
      <c r="HC53" s="74">
        <f t="shared" si="28"/>
        <v>0</v>
      </c>
      <c r="HD53" s="53">
        <f t="shared" si="28"/>
        <v>0</v>
      </c>
      <c r="HE53" s="53">
        <f t="shared" si="28"/>
        <v>0</v>
      </c>
      <c r="HF53" s="53">
        <f t="shared" si="28"/>
        <v>0</v>
      </c>
      <c r="HG53" s="53">
        <f t="shared" si="28"/>
        <v>0</v>
      </c>
      <c r="HH53" s="53">
        <f t="shared" si="28"/>
        <v>0</v>
      </c>
      <c r="HI53" s="53">
        <f t="shared" si="28"/>
        <v>0</v>
      </c>
      <c r="HJ53" s="74">
        <f t="shared" si="28"/>
        <v>0</v>
      </c>
    </row>
    <row r="54" spans="1:218" ht="21.75" customHeight="1" x14ac:dyDescent="0.6">
      <c r="A54" s="73">
        <v>45147</v>
      </c>
      <c r="B54" s="53">
        <f t="shared" ref="B54:HJ54" si="29">SUM(B7:B10)</f>
        <v>185</v>
      </c>
      <c r="C54" s="53">
        <f t="shared" si="29"/>
        <v>21</v>
      </c>
      <c r="D54" s="53">
        <f t="shared" si="29"/>
        <v>1</v>
      </c>
      <c r="E54" s="53">
        <f t="shared" si="29"/>
        <v>0</v>
      </c>
      <c r="F54" s="53">
        <f t="shared" si="29"/>
        <v>2</v>
      </c>
      <c r="G54" s="53">
        <f t="shared" si="29"/>
        <v>2</v>
      </c>
      <c r="H54" s="74">
        <f t="shared" si="29"/>
        <v>211</v>
      </c>
      <c r="I54" s="53">
        <f t="shared" si="29"/>
        <v>81</v>
      </c>
      <c r="J54" s="53">
        <f t="shared" si="29"/>
        <v>30</v>
      </c>
      <c r="K54" s="53">
        <f t="shared" si="29"/>
        <v>0</v>
      </c>
      <c r="L54" s="53">
        <f t="shared" si="29"/>
        <v>0</v>
      </c>
      <c r="M54" s="53">
        <f t="shared" si="29"/>
        <v>0</v>
      </c>
      <c r="N54" s="53">
        <f t="shared" si="29"/>
        <v>0</v>
      </c>
      <c r="O54" s="74">
        <f t="shared" si="29"/>
        <v>111</v>
      </c>
      <c r="P54" s="53">
        <f t="shared" si="29"/>
        <v>75</v>
      </c>
      <c r="Q54" s="53">
        <f t="shared" si="29"/>
        <v>27</v>
      </c>
      <c r="R54" s="53">
        <f t="shared" si="29"/>
        <v>0</v>
      </c>
      <c r="S54" s="53">
        <f t="shared" si="29"/>
        <v>0</v>
      </c>
      <c r="T54" s="53">
        <f t="shared" si="29"/>
        <v>0</v>
      </c>
      <c r="U54" s="53">
        <f t="shared" si="29"/>
        <v>0</v>
      </c>
      <c r="V54" s="74">
        <f t="shared" si="29"/>
        <v>102</v>
      </c>
      <c r="W54" s="53">
        <f t="shared" si="29"/>
        <v>0</v>
      </c>
      <c r="X54" s="53">
        <f t="shared" si="29"/>
        <v>0</v>
      </c>
      <c r="Y54" s="53">
        <f t="shared" si="29"/>
        <v>0</v>
      </c>
      <c r="Z54" s="53">
        <f t="shared" si="29"/>
        <v>0</v>
      </c>
      <c r="AA54" s="53">
        <f t="shared" si="29"/>
        <v>0</v>
      </c>
      <c r="AB54" s="53">
        <f t="shared" si="29"/>
        <v>0</v>
      </c>
      <c r="AC54" s="74">
        <f t="shared" si="29"/>
        <v>0</v>
      </c>
      <c r="AD54" s="53">
        <f t="shared" si="29"/>
        <v>169</v>
      </c>
      <c r="AE54" s="53">
        <f t="shared" si="29"/>
        <v>53</v>
      </c>
      <c r="AF54" s="53">
        <f t="shared" si="29"/>
        <v>0</v>
      </c>
      <c r="AG54" s="53">
        <f t="shared" si="29"/>
        <v>0</v>
      </c>
      <c r="AH54" s="53">
        <f t="shared" si="29"/>
        <v>1</v>
      </c>
      <c r="AI54" s="53">
        <f t="shared" si="29"/>
        <v>0</v>
      </c>
      <c r="AJ54" s="74">
        <f t="shared" si="29"/>
        <v>223</v>
      </c>
      <c r="AK54" s="53">
        <f t="shared" si="29"/>
        <v>602</v>
      </c>
      <c r="AL54" s="53">
        <f t="shared" si="29"/>
        <v>198</v>
      </c>
      <c r="AM54" s="53">
        <f t="shared" si="29"/>
        <v>3</v>
      </c>
      <c r="AN54" s="53">
        <f t="shared" si="29"/>
        <v>0</v>
      </c>
      <c r="AO54" s="53">
        <f t="shared" si="29"/>
        <v>18</v>
      </c>
      <c r="AP54" s="53">
        <f t="shared" si="29"/>
        <v>1</v>
      </c>
      <c r="AQ54" s="74">
        <f t="shared" si="29"/>
        <v>822</v>
      </c>
      <c r="AR54" s="53">
        <f t="shared" si="29"/>
        <v>146</v>
      </c>
      <c r="AS54" s="53">
        <f t="shared" si="29"/>
        <v>21</v>
      </c>
      <c r="AT54" s="53">
        <f t="shared" si="29"/>
        <v>0</v>
      </c>
      <c r="AU54" s="53">
        <f t="shared" si="29"/>
        <v>0</v>
      </c>
      <c r="AV54" s="53">
        <f t="shared" si="29"/>
        <v>3</v>
      </c>
      <c r="AW54" s="53">
        <f t="shared" si="29"/>
        <v>1</v>
      </c>
      <c r="AX54" s="74">
        <f>SUM(AX7:AX10)</f>
        <v>171</v>
      </c>
      <c r="AY54" s="53">
        <f t="shared" si="29"/>
        <v>222</v>
      </c>
      <c r="AZ54" s="53">
        <f t="shared" si="29"/>
        <v>59</v>
      </c>
      <c r="BA54" s="53">
        <f t="shared" si="29"/>
        <v>0</v>
      </c>
      <c r="BB54" s="53">
        <f t="shared" si="29"/>
        <v>0</v>
      </c>
      <c r="BC54" s="53">
        <f t="shared" si="29"/>
        <v>5</v>
      </c>
      <c r="BD54" s="53">
        <f t="shared" si="29"/>
        <v>3</v>
      </c>
      <c r="BE54" s="74">
        <f t="shared" si="29"/>
        <v>289</v>
      </c>
      <c r="BF54" s="53">
        <f t="shared" si="29"/>
        <v>14</v>
      </c>
      <c r="BG54" s="53">
        <f t="shared" si="29"/>
        <v>5</v>
      </c>
      <c r="BH54" s="53">
        <f t="shared" si="29"/>
        <v>0</v>
      </c>
      <c r="BI54" s="53">
        <f t="shared" si="29"/>
        <v>0</v>
      </c>
      <c r="BJ54" s="53">
        <f t="shared" si="29"/>
        <v>0</v>
      </c>
      <c r="BK54" s="53">
        <f t="shared" si="29"/>
        <v>0</v>
      </c>
      <c r="BL54" s="74">
        <f t="shared" si="29"/>
        <v>19</v>
      </c>
      <c r="BM54" s="53">
        <f t="shared" si="29"/>
        <v>216</v>
      </c>
      <c r="BN54" s="53">
        <f t="shared" si="29"/>
        <v>51</v>
      </c>
      <c r="BO54" s="53">
        <f t="shared" si="29"/>
        <v>1</v>
      </c>
      <c r="BP54" s="53">
        <f t="shared" si="29"/>
        <v>0</v>
      </c>
      <c r="BQ54" s="53">
        <f t="shared" si="29"/>
        <v>2</v>
      </c>
      <c r="BR54" s="53">
        <f t="shared" si="29"/>
        <v>0</v>
      </c>
      <c r="BS54" s="74">
        <f t="shared" si="29"/>
        <v>270</v>
      </c>
      <c r="BT54" s="53">
        <f t="shared" si="29"/>
        <v>263</v>
      </c>
      <c r="BU54" s="53">
        <f t="shared" si="29"/>
        <v>73</v>
      </c>
      <c r="BV54" s="53">
        <f t="shared" si="29"/>
        <v>0</v>
      </c>
      <c r="BW54" s="53">
        <f t="shared" si="29"/>
        <v>0</v>
      </c>
      <c r="BX54" s="53">
        <f t="shared" si="29"/>
        <v>0</v>
      </c>
      <c r="BY54" s="53">
        <f t="shared" si="29"/>
        <v>0</v>
      </c>
      <c r="BZ54" s="74">
        <f t="shared" si="29"/>
        <v>336</v>
      </c>
      <c r="CA54" s="53">
        <f t="shared" si="29"/>
        <v>0</v>
      </c>
      <c r="CB54" s="53">
        <f t="shared" si="29"/>
        <v>0</v>
      </c>
      <c r="CC54" s="53">
        <f t="shared" si="29"/>
        <v>0</v>
      </c>
      <c r="CD54" s="53">
        <f t="shared" si="29"/>
        <v>0</v>
      </c>
      <c r="CE54" s="53">
        <f t="shared" si="29"/>
        <v>0</v>
      </c>
      <c r="CF54" s="53">
        <f t="shared" si="29"/>
        <v>0</v>
      </c>
      <c r="CG54" s="74">
        <f t="shared" si="29"/>
        <v>0</v>
      </c>
      <c r="CH54" s="53">
        <f t="shared" si="29"/>
        <v>243</v>
      </c>
      <c r="CI54" s="53">
        <f t="shared" si="29"/>
        <v>35</v>
      </c>
      <c r="CJ54" s="53">
        <f t="shared" si="29"/>
        <v>0</v>
      </c>
      <c r="CK54" s="53">
        <f t="shared" si="29"/>
        <v>0</v>
      </c>
      <c r="CL54" s="53">
        <f t="shared" si="29"/>
        <v>3</v>
      </c>
      <c r="CM54" s="53">
        <f t="shared" si="29"/>
        <v>0</v>
      </c>
      <c r="CN54" s="74">
        <f t="shared" si="29"/>
        <v>281</v>
      </c>
      <c r="CO54" s="53">
        <f t="shared" si="29"/>
        <v>535</v>
      </c>
      <c r="CP54" s="53">
        <f t="shared" si="29"/>
        <v>62</v>
      </c>
      <c r="CQ54" s="53">
        <f t="shared" si="29"/>
        <v>3</v>
      </c>
      <c r="CR54" s="53">
        <f t="shared" si="29"/>
        <v>1</v>
      </c>
      <c r="CS54" s="53">
        <f t="shared" si="29"/>
        <v>12</v>
      </c>
      <c r="CT54" s="53">
        <f t="shared" si="29"/>
        <v>0</v>
      </c>
      <c r="CU54" s="74">
        <f t="shared" si="29"/>
        <v>613</v>
      </c>
      <c r="CV54" s="53">
        <f t="shared" si="29"/>
        <v>0</v>
      </c>
      <c r="CW54" s="53">
        <f t="shared" si="29"/>
        <v>0</v>
      </c>
      <c r="CX54" s="53">
        <f t="shared" si="29"/>
        <v>0</v>
      </c>
      <c r="CY54" s="53">
        <f t="shared" si="29"/>
        <v>0</v>
      </c>
      <c r="CZ54" s="53">
        <f t="shared" si="29"/>
        <v>0</v>
      </c>
      <c r="DA54" s="53">
        <f t="shared" si="29"/>
        <v>0</v>
      </c>
      <c r="DB54" s="74">
        <f t="shared" si="29"/>
        <v>0</v>
      </c>
      <c r="DC54" s="53">
        <f t="shared" si="29"/>
        <v>0</v>
      </c>
      <c r="DD54" s="53">
        <f t="shared" si="29"/>
        <v>0</v>
      </c>
      <c r="DE54" s="53">
        <f t="shared" si="29"/>
        <v>0</v>
      </c>
      <c r="DF54" s="53">
        <f t="shared" si="29"/>
        <v>0</v>
      </c>
      <c r="DG54" s="53">
        <f t="shared" si="29"/>
        <v>0</v>
      </c>
      <c r="DH54" s="53">
        <f t="shared" si="29"/>
        <v>0</v>
      </c>
      <c r="DI54" s="74">
        <f t="shared" si="29"/>
        <v>0</v>
      </c>
      <c r="DJ54" s="53">
        <f t="shared" si="29"/>
        <v>0</v>
      </c>
      <c r="DK54" s="53">
        <f t="shared" si="29"/>
        <v>0</v>
      </c>
      <c r="DL54" s="53">
        <f t="shared" si="29"/>
        <v>0</v>
      </c>
      <c r="DM54" s="53">
        <f t="shared" si="29"/>
        <v>0</v>
      </c>
      <c r="DN54" s="53">
        <f t="shared" si="29"/>
        <v>0</v>
      </c>
      <c r="DO54" s="53">
        <f t="shared" si="29"/>
        <v>0</v>
      </c>
      <c r="DP54" s="74">
        <f t="shared" si="29"/>
        <v>0</v>
      </c>
      <c r="DQ54" s="53">
        <f t="shared" si="29"/>
        <v>0</v>
      </c>
      <c r="DR54" s="53">
        <f t="shared" si="29"/>
        <v>0</v>
      </c>
      <c r="DS54" s="53">
        <f t="shared" si="29"/>
        <v>0</v>
      </c>
      <c r="DT54" s="53">
        <f t="shared" si="29"/>
        <v>0</v>
      </c>
      <c r="DU54" s="53">
        <f t="shared" si="29"/>
        <v>0</v>
      </c>
      <c r="DV54" s="53">
        <f t="shared" si="29"/>
        <v>0</v>
      </c>
      <c r="DW54" s="74">
        <f t="shared" si="29"/>
        <v>0</v>
      </c>
      <c r="DX54" s="53">
        <f t="shared" si="29"/>
        <v>0</v>
      </c>
      <c r="DY54" s="53">
        <f t="shared" si="29"/>
        <v>0</v>
      </c>
      <c r="DZ54" s="53">
        <f t="shared" si="29"/>
        <v>0</v>
      </c>
      <c r="EA54" s="53">
        <f t="shared" si="29"/>
        <v>0</v>
      </c>
      <c r="EB54" s="53">
        <f t="shared" si="29"/>
        <v>0</v>
      </c>
      <c r="EC54" s="53">
        <f t="shared" si="29"/>
        <v>0</v>
      </c>
      <c r="ED54" s="74">
        <f t="shared" si="29"/>
        <v>0</v>
      </c>
      <c r="EE54" s="276"/>
      <c r="EF54" s="276"/>
      <c r="EG54" s="276"/>
      <c r="EH54" s="276"/>
      <c r="EI54" s="276"/>
      <c r="EJ54" s="276"/>
      <c r="EK54" s="276"/>
      <c r="EL54" s="53">
        <f t="shared" si="29"/>
        <v>0</v>
      </c>
      <c r="EM54" s="53">
        <f t="shared" si="29"/>
        <v>0</v>
      </c>
      <c r="EN54" s="53">
        <f t="shared" si="29"/>
        <v>0</v>
      </c>
      <c r="EO54" s="53">
        <f t="shared" si="29"/>
        <v>0</v>
      </c>
      <c r="EP54" s="53">
        <f t="shared" si="29"/>
        <v>0</v>
      </c>
      <c r="EQ54" s="53">
        <f t="shared" si="29"/>
        <v>0</v>
      </c>
      <c r="ER54" s="74">
        <f t="shared" si="29"/>
        <v>0</v>
      </c>
      <c r="ES54" s="53">
        <f t="shared" si="29"/>
        <v>0</v>
      </c>
      <c r="ET54" s="53">
        <f t="shared" si="29"/>
        <v>0</v>
      </c>
      <c r="EU54" s="53">
        <f t="shared" si="29"/>
        <v>0</v>
      </c>
      <c r="EV54" s="53">
        <f t="shared" si="29"/>
        <v>0</v>
      </c>
      <c r="EW54" s="53">
        <f t="shared" si="29"/>
        <v>0</v>
      </c>
      <c r="EX54" s="53">
        <f t="shared" si="29"/>
        <v>0</v>
      </c>
      <c r="EY54" s="74">
        <f t="shared" si="29"/>
        <v>0</v>
      </c>
      <c r="EZ54" s="53">
        <f t="shared" si="29"/>
        <v>0</v>
      </c>
      <c r="FA54" s="53">
        <f t="shared" si="29"/>
        <v>0</v>
      </c>
      <c r="FB54" s="53">
        <f t="shared" si="29"/>
        <v>0</v>
      </c>
      <c r="FC54" s="53">
        <f t="shared" si="29"/>
        <v>0</v>
      </c>
      <c r="FD54" s="53">
        <f t="shared" si="29"/>
        <v>0</v>
      </c>
      <c r="FE54" s="53">
        <f t="shared" si="29"/>
        <v>0</v>
      </c>
      <c r="FF54" s="74">
        <f t="shared" si="29"/>
        <v>0</v>
      </c>
      <c r="FG54" s="276"/>
      <c r="FH54" s="276"/>
      <c r="FI54" s="276"/>
      <c r="FJ54" s="276"/>
      <c r="FK54" s="276"/>
      <c r="FL54" s="276"/>
      <c r="FM54" s="276"/>
      <c r="FN54" s="53">
        <f t="shared" si="29"/>
        <v>0</v>
      </c>
      <c r="FO54" s="53">
        <f t="shared" si="29"/>
        <v>0</v>
      </c>
      <c r="FP54" s="53">
        <f t="shared" si="29"/>
        <v>0</v>
      </c>
      <c r="FQ54" s="53">
        <f t="shared" si="29"/>
        <v>0</v>
      </c>
      <c r="FR54" s="53">
        <f t="shared" si="29"/>
        <v>0</v>
      </c>
      <c r="FS54" s="53">
        <f t="shared" si="29"/>
        <v>0</v>
      </c>
      <c r="FT54" s="74">
        <f t="shared" si="29"/>
        <v>0</v>
      </c>
      <c r="FU54" s="53">
        <f t="shared" si="29"/>
        <v>0</v>
      </c>
      <c r="FV54" s="53">
        <f t="shared" si="29"/>
        <v>0</v>
      </c>
      <c r="FW54" s="53">
        <f t="shared" si="29"/>
        <v>0</v>
      </c>
      <c r="FX54" s="53">
        <f t="shared" si="29"/>
        <v>0</v>
      </c>
      <c r="FY54" s="53">
        <f t="shared" si="29"/>
        <v>0</v>
      </c>
      <c r="FZ54" s="53">
        <f t="shared" si="29"/>
        <v>0</v>
      </c>
      <c r="GA54" s="74">
        <f t="shared" si="29"/>
        <v>0</v>
      </c>
      <c r="GB54" s="53">
        <f t="shared" si="29"/>
        <v>0</v>
      </c>
      <c r="GC54" s="53">
        <f t="shared" si="29"/>
        <v>0</v>
      </c>
      <c r="GD54" s="53">
        <f t="shared" si="29"/>
        <v>0</v>
      </c>
      <c r="GE54" s="53">
        <f t="shared" si="29"/>
        <v>0</v>
      </c>
      <c r="GF54" s="53">
        <f t="shared" si="29"/>
        <v>0</v>
      </c>
      <c r="GG54" s="53">
        <f t="shared" si="29"/>
        <v>0</v>
      </c>
      <c r="GH54" s="74">
        <f t="shared" si="29"/>
        <v>0</v>
      </c>
      <c r="GI54" s="276"/>
      <c r="GJ54" s="276"/>
      <c r="GK54" s="276"/>
      <c r="GL54" s="276"/>
      <c r="GM54" s="276"/>
      <c r="GN54" s="276"/>
      <c r="GO54" s="276"/>
      <c r="GP54" s="53">
        <f t="shared" si="29"/>
        <v>0</v>
      </c>
      <c r="GQ54" s="53">
        <f t="shared" si="29"/>
        <v>0</v>
      </c>
      <c r="GR54" s="53">
        <f t="shared" si="29"/>
        <v>0</v>
      </c>
      <c r="GS54" s="53">
        <f t="shared" si="29"/>
        <v>0</v>
      </c>
      <c r="GT54" s="53">
        <f t="shared" si="29"/>
        <v>0</v>
      </c>
      <c r="GU54" s="53">
        <f t="shared" si="29"/>
        <v>0</v>
      </c>
      <c r="GV54" s="74">
        <f t="shared" si="29"/>
        <v>0</v>
      </c>
      <c r="GW54" s="53">
        <f t="shared" si="29"/>
        <v>0</v>
      </c>
      <c r="GX54" s="53">
        <f t="shared" si="29"/>
        <v>0</v>
      </c>
      <c r="GY54" s="53">
        <f t="shared" si="29"/>
        <v>0</v>
      </c>
      <c r="GZ54" s="53">
        <f t="shared" si="29"/>
        <v>0</v>
      </c>
      <c r="HA54" s="53">
        <f t="shared" si="29"/>
        <v>0</v>
      </c>
      <c r="HB54" s="53">
        <f t="shared" si="29"/>
        <v>0</v>
      </c>
      <c r="HC54" s="74">
        <f t="shared" si="29"/>
        <v>0</v>
      </c>
      <c r="HD54" s="53">
        <f t="shared" si="29"/>
        <v>0</v>
      </c>
      <c r="HE54" s="53">
        <f t="shared" si="29"/>
        <v>0</v>
      </c>
      <c r="HF54" s="53">
        <f t="shared" si="29"/>
        <v>0</v>
      </c>
      <c r="HG54" s="53">
        <f t="shared" si="29"/>
        <v>0</v>
      </c>
      <c r="HH54" s="53">
        <f t="shared" si="29"/>
        <v>0</v>
      </c>
      <c r="HI54" s="53">
        <f t="shared" si="29"/>
        <v>0</v>
      </c>
      <c r="HJ54" s="74">
        <f t="shared" si="29"/>
        <v>0</v>
      </c>
    </row>
    <row r="55" spans="1:218" ht="21.75" customHeight="1" x14ac:dyDescent="0.6">
      <c r="A55" s="73">
        <v>45179</v>
      </c>
      <c r="B55" s="53">
        <f t="shared" ref="B55:HJ55" si="30">SUM(B11:B14)</f>
        <v>148</v>
      </c>
      <c r="C55" s="53">
        <f t="shared" si="30"/>
        <v>30</v>
      </c>
      <c r="D55" s="53">
        <f t="shared" si="30"/>
        <v>0</v>
      </c>
      <c r="E55" s="53">
        <f t="shared" si="30"/>
        <v>0</v>
      </c>
      <c r="F55" s="53">
        <f t="shared" si="30"/>
        <v>3</v>
      </c>
      <c r="G55" s="53">
        <f t="shared" si="30"/>
        <v>1</v>
      </c>
      <c r="H55" s="74">
        <f t="shared" si="30"/>
        <v>182</v>
      </c>
      <c r="I55" s="53">
        <f t="shared" si="30"/>
        <v>212</v>
      </c>
      <c r="J55" s="53">
        <f t="shared" si="30"/>
        <v>38</v>
      </c>
      <c r="K55" s="53">
        <f t="shared" si="30"/>
        <v>0</v>
      </c>
      <c r="L55" s="53">
        <f t="shared" si="30"/>
        <v>0</v>
      </c>
      <c r="M55" s="53">
        <f t="shared" si="30"/>
        <v>0</v>
      </c>
      <c r="N55" s="53">
        <f t="shared" si="30"/>
        <v>0</v>
      </c>
      <c r="O55" s="74">
        <f t="shared" si="30"/>
        <v>250</v>
      </c>
      <c r="P55" s="53">
        <f t="shared" si="30"/>
        <v>75</v>
      </c>
      <c r="Q55" s="53">
        <f t="shared" si="30"/>
        <v>31</v>
      </c>
      <c r="R55" s="53">
        <f t="shared" si="30"/>
        <v>0</v>
      </c>
      <c r="S55" s="53">
        <f t="shared" si="30"/>
        <v>0</v>
      </c>
      <c r="T55" s="53">
        <f t="shared" si="30"/>
        <v>1</v>
      </c>
      <c r="U55" s="53">
        <f t="shared" si="30"/>
        <v>0</v>
      </c>
      <c r="V55" s="74">
        <f t="shared" si="30"/>
        <v>107</v>
      </c>
      <c r="W55" s="53">
        <f t="shared" si="30"/>
        <v>0</v>
      </c>
      <c r="X55" s="53">
        <f t="shared" si="30"/>
        <v>0</v>
      </c>
      <c r="Y55" s="53">
        <f t="shared" si="30"/>
        <v>0</v>
      </c>
      <c r="Z55" s="53">
        <f t="shared" si="30"/>
        <v>0</v>
      </c>
      <c r="AA55" s="53">
        <f t="shared" si="30"/>
        <v>0</v>
      </c>
      <c r="AB55" s="53">
        <f t="shared" si="30"/>
        <v>0</v>
      </c>
      <c r="AC55" s="74">
        <f t="shared" si="30"/>
        <v>0</v>
      </c>
      <c r="AD55" s="53">
        <f t="shared" si="30"/>
        <v>157</v>
      </c>
      <c r="AE55" s="53">
        <f t="shared" si="30"/>
        <v>45</v>
      </c>
      <c r="AF55" s="53">
        <f t="shared" si="30"/>
        <v>0</v>
      </c>
      <c r="AG55" s="53">
        <f t="shared" si="30"/>
        <v>0</v>
      </c>
      <c r="AH55" s="53">
        <f t="shared" si="30"/>
        <v>0</v>
      </c>
      <c r="AI55" s="53">
        <f t="shared" si="30"/>
        <v>0</v>
      </c>
      <c r="AJ55" s="74">
        <f t="shared" si="30"/>
        <v>202</v>
      </c>
      <c r="AK55" s="53">
        <f t="shared" si="30"/>
        <v>605</v>
      </c>
      <c r="AL55" s="53">
        <f t="shared" si="30"/>
        <v>179</v>
      </c>
      <c r="AM55" s="53">
        <f t="shared" si="30"/>
        <v>1</v>
      </c>
      <c r="AN55" s="53">
        <f t="shared" si="30"/>
        <v>1</v>
      </c>
      <c r="AO55" s="53">
        <f t="shared" si="30"/>
        <v>23</v>
      </c>
      <c r="AP55" s="53">
        <f t="shared" si="30"/>
        <v>0</v>
      </c>
      <c r="AQ55" s="74">
        <f t="shared" si="30"/>
        <v>809</v>
      </c>
      <c r="AR55" s="53">
        <f t="shared" si="30"/>
        <v>147</v>
      </c>
      <c r="AS55" s="53">
        <f t="shared" si="30"/>
        <v>32</v>
      </c>
      <c r="AT55" s="53">
        <f t="shared" si="30"/>
        <v>0</v>
      </c>
      <c r="AU55" s="53">
        <f t="shared" si="30"/>
        <v>0</v>
      </c>
      <c r="AV55" s="53">
        <f t="shared" si="30"/>
        <v>5</v>
      </c>
      <c r="AW55" s="53">
        <f t="shared" si="30"/>
        <v>1</v>
      </c>
      <c r="AX55" s="74">
        <f t="shared" si="30"/>
        <v>185</v>
      </c>
      <c r="AY55" s="53">
        <f t="shared" si="30"/>
        <v>198</v>
      </c>
      <c r="AZ55" s="53">
        <f t="shared" si="30"/>
        <v>69</v>
      </c>
      <c r="BA55" s="53">
        <f t="shared" si="30"/>
        <v>1</v>
      </c>
      <c r="BB55" s="53">
        <f t="shared" si="30"/>
        <v>0</v>
      </c>
      <c r="BC55" s="53">
        <f t="shared" si="30"/>
        <v>4</v>
      </c>
      <c r="BD55" s="53">
        <f t="shared" si="30"/>
        <v>1</v>
      </c>
      <c r="BE55" s="74">
        <f t="shared" si="30"/>
        <v>273</v>
      </c>
      <c r="BF55" s="53">
        <f t="shared" si="30"/>
        <v>16</v>
      </c>
      <c r="BG55" s="53">
        <f t="shared" si="30"/>
        <v>7</v>
      </c>
      <c r="BH55" s="53">
        <f t="shared" si="30"/>
        <v>0</v>
      </c>
      <c r="BI55" s="53">
        <f t="shared" si="30"/>
        <v>0</v>
      </c>
      <c r="BJ55" s="53">
        <f t="shared" si="30"/>
        <v>1</v>
      </c>
      <c r="BK55" s="53">
        <f t="shared" si="30"/>
        <v>0</v>
      </c>
      <c r="BL55" s="74">
        <f t="shared" si="30"/>
        <v>24</v>
      </c>
      <c r="BM55" s="53">
        <f t="shared" si="30"/>
        <v>226</v>
      </c>
      <c r="BN55" s="53">
        <f t="shared" si="30"/>
        <v>57</v>
      </c>
      <c r="BO55" s="53">
        <f t="shared" si="30"/>
        <v>0</v>
      </c>
      <c r="BP55" s="53">
        <f t="shared" si="30"/>
        <v>0</v>
      </c>
      <c r="BQ55" s="53">
        <f t="shared" si="30"/>
        <v>2</v>
      </c>
      <c r="BR55" s="53">
        <f t="shared" si="30"/>
        <v>0</v>
      </c>
      <c r="BS55" s="74">
        <f t="shared" si="30"/>
        <v>285</v>
      </c>
      <c r="BT55" s="53">
        <f t="shared" si="30"/>
        <v>205</v>
      </c>
      <c r="BU55" s="53">
        <f t="shared" si="30"/>
        <v>56</v>
      </c>
      <c r="BV55" s="53">
        <f t="shared" si="30"/>
        <v>0</v>
      </c>
      <c r="BW55" s="53">
        <f t="shared" si="30"/>
        <v>0</v>
      </c>
      <c r="BX55" s="53">
        <f t="shared" si="30"/>
        <v>0</v>
      </c>
      <c r="BY55" s="53">
        <f t="shared" si="30"/>
        <v>0</v>
      </c>
      <c r="BZ55" s="74">
        <f t="shared" si="30"/>
        <v>261</v>
      </c>
      <c r="CA55" s="53">
        <f t="shared" si="30"/>
        <v>0</v>
      </c>
      <c r="CB55" s="53">
        <f t="shared" si="30"/>
        <v>0</v>
      </c>
      <c r="CC55" s="53">
        <f t="shared" si="30"/>
        <v>0</v>
      </c>
      <c r="CD55" s="53">
        <f t="shared" si="30"/>
        <v>0</v>
      </c>
      <c r="CE55" s="53">
        <f t="shared" si="30"/>
        <v>0</v>
      </c>
      <c r="CF55" s="53">
        <f t="shared" si="30"/>
        <v>0</v>
      </c>
      <c r="CG55" s="74">
        <f t="shared" si="30"/>
        <v>0</v>
      </c>
      <c r="CH55" s="53">
        <f t="shared" si="30"/>
        <v>197</v>
      </c>
      <c r="CI55" s="53">
        <f t="shared" si="30"/>
        <v>33</v>
      </c>
      <c r="CJ55" s="53">
        <f t="shared" si="30"/>
        <v>0</v>
      </c>
      <c r="CK55" s="53">
        <f t="shared" si="30"/>
        <v>0</v>
      </c>
      <c r="CL55" s="53">
        <f t="shared" si="30"/>
        <v>2</v>
      </c>
      <c r="CM55" s="53">
        <f t="shared" si="30"/>
        <v>0</v>
      </c>
      <c r="CN55" s="74">
        <f t="shared" si="30"/>
        <v>232</v>
      </c>
      <c r="CO55" s="53">
        <f t="shared" si="30"/>
        <v>455</v>
      </c>
      <c r="CP55" s="53">
        <f t="shared" si="30"/>
        <v>93</v>
      </c>
      <c r="CQ55" s="53">
        <f t="shared" si="30"/>
        <v>3</v>
      </c>
      <c r="CR55" s="53">
        <f t="shared" si="30"/>
        <v>1</v>
      </c>
      <c r="CS55" s="53">
        <f t="shared" si="30"/>
        <v>6</v>
      </c>
      <c r="CT55" s="53">
        <f t="shared" si="30"/>
        <v>0</v>
      </c>
      <c r="CU55" s="74">
        <f t="shared" si="30"/>
        <v>558</v>
      </c>
      <c r="CV55" s="53">
        <f t="shared" si="30"/>
        <v>0</v>
      </c>
      <c r="CW55" s="53">
        <f t="shared" si="30"/>
        <v>0</v>
      </c>
      <c r="CX55" s="53">
        <f t="shared" si="30"/>
        <v>0</v>
      </c>
      <c r="CY55" s="53">
        <f t="shared" si="30"/>
        <v>0</v>
      </c>
      <c r="CZ55" s="53">
        <f t="shared" si="30"/>
        <v>0</v>
      </c>
      <c r="DA55" s="53">
        <f t="shared" si="30"/>
        <v>0</v>
      </c>
      <c r="DB55" s="74">
        <f t="shared" si="30"/>
        <v>0</v>
      </c>
      <c r="DC55" s="53">
        <f t="shared" si="30"/>
        <v>0</v>
      </c>
      <c r="DD55" s="53">
        <f t="shared" si="30"/>
        <v>0</v>
      </c>
      <c r="DE55" s="53">
        <f t="shared" si="30"/>
        <v>0</v>
      </c>
      <c r="DF55" s="53">
        <f t="shared" si="30"/>
        <v>0</v>
      </c>
      <c r="DG55" s="53">
        <f t="shared" si="30"/>
        <v>0</v>
      </c>
      <c r="DH55" s="53">
        <f t="shared" si="30"/>
        <v>0</v>
      </c>
      <c r="DI55" s="74">
        <f t="shared" si="30"/>
        <v>0</v>
      </c>
      <c r="DJ55" s="53">
        <f t="shared" si="30"/>
        <v>0</v>
      </c>
      <c r="DK55" s="53">
        <f t="shared" si="30"/>
        <v>0</v>
      </c>
      <c r="DL55" s="53">
        <f t="shared" si="30"/>
        <v>0</v>
      </c>
      <c r="DM55" s="53">
        <f t="shared" si="30"/>
        <v>0</v>
      </c>
      <c r="DN55" s="53">
        <f t="shared" si="30"/>
        <v>0</v>
      </c>
      <c r="DO55" s="53">
        <f t="shared" si="30"/>
        <v>0</v>
      </c>
      <c r="DP55" s="74">
        <f t="shared" si="30"/>
        <v>0</v>
      </c>
      <c r="DQ55" s="53">
        <f t="shared" si="30"/>
        <v>0</v>
      </c>
      <c r="DR55" s="53">
        <f t="shared" si="30"/>
        <v>0</v>
      </c>
      <c r="DS55" s="53">
        <f t="shared" si="30"/>
        <v>0</v>
      </c>
      <c r="DT55" s="53">
        <f t="shared" si="30"/>
        <v>0</v>
      </c>
      <c r="DU55" s="53">
        <f t="shared" si="30"/>
        <v>0</v>
      </c>
      <c r="DV55" s="53">
        <f t="shared" si="30"/>
        <v>0</v>
      </c>
      <c r="DW55" s="74">
        <f t="shared" si="30"/>
        <v>0</v>
      </c>
      <c r="DX55" s="53">
        <f t="shared" si="30"/>
        <v>0</v>
      </c>
      <c r="DY55" s="53">
        <f t="shared" si="30"/>
        <v>0</v>
      </c>
      <c r="DZ55" s="53">
        <f t="shared" si="30"/>
        <v>0</v>
      </c>
      <c r="EA55" s="53">
        <f t="shared" si="30"/>
        <v>0</v>
      </c>
      <c r="EB55" s="53">
        <f t="shared" si="30"/>
        <v>0</v>
      </c>
      <c r="EC55" s="53">
        <f t="shared" si="30"/>
        <v>0</v>
      </c>
      <c r="ED55" s="74">
        <f t="shared" si="30"/>
        <v>0</v>
      </c>
      <c r="EE55" s="276"/>
      <c r="EF55" s="276"/>
      <c r="EG55" s="276"/>
      <c r="EH55" s="276"/>
      <c r="EI55" s="276"/>
      <c r="EJ55" s="276"/>
      <c r="EK55" s="276"/>
      <c r="EL55" s="53">
        <f t="shared" si="30"/>
        <v>0</v>
      </c>
      <c r="EM55" s="53">
        <f t="shared" si="30"/>
        <v>0</v>
      </c>
      <c r="EN55" s="53">
        <f t="shared" si="30"/>
        <v>0</v>
      </c>
      <c r="EO55" s="53">
        <f t="shared" si="30"/>
        <v>0</v>
      </c>
      <c r="EP55" s="53">
        <f t="shared" si="30"/>
        <v>0</v>
      </c>
      <c r="EQ55" s="53">
        <f t="shared" si="30"/>
        <v>0</v>
      </c>
      <c r="ER55" s="74">
        <f t="shared" si="30"/>
        <v>0</v>
      </c>
      <c r="ES55" s="53">
        <f t="shared" si="30"/>
        <v>0</v>
      </c>
      <c r="ET55" s="53">
        <f t="shared" si="30"/>
        <v>0</v>
      </c>
      <c r="EU55" s="53">
        <f t="shared" si="30"/>
        <v>0</v>
      </c>
      <c r="EV55" s="53">
        <f t="shared" si="30"/>
        <v>0</v>
      </c>
      <c r="EW55" s="53">
        <f t="shared" si="30"/>
        <v>0</v>
      </c>
      <c r="EX55" s="53">
        <f t="shared" si="30"/>
        <v>0</v>
      </c>
      <c r="EY55" s="74">
        <f t="shared" si="30"/>
        <v>0</v>
      </c>
      <c r="EZ55" s="53">
        <f t="shared" si="30"/>
        <v>0</v>
      </c>
      <c r="FA55" s="53">
        <f t="shared" si="30"/>
        <v>0</v>
      </c>
      <c r="FB55" s="53">
        <f t="shared" si="30"/>
        <v>0</v>
      </c>
      <c r="FC55" s="53">
        <f t="shared" si="30"/>
        <v>0</v>
      </c>
      <c r="FD55" s="53">
        <f t="shared" si="30"/>
        <v>0</v>
      </c>
      <c r="FE55" s="53">
        <f t="shared" si="30"/>
        <v>0</v>
      </c>
      <c r="FF55" s="74">
        <f t="shared" si="30"/>
        <v>0</v>
      </c>
      <c r="FG55" s="276"/>
      <c r="FH55" s="276"/>
      <c r="FI55" s="276"/>
      <c r="FJ55" s="276"/>
      <c r="FK55" s="276"/>
      <c r="FL55" s="276"/>
      <c r="FM55" s="276"/>
      <c r="FN55" s="53">
        <f t="shared" si="30"/>
        <v>0</v>
      </c>
      <c r="FO55" s="53">
        <f t="shared" si="30"/>
        <v>0</v>
      </c>
      <c r="FP55" s="53">
        <f t="shared" si="30"/>
        <v>0</v>
      </c>
      <c r="FQ55" s="53">
        <f t="shared" si="30"/>
        <v>0</v>
      </c>
      <c r="FR55" s="53">
        <f t="shared" si="30"/>
        <v>0</v>
      </c>
      <c r="FS55" s="53">
        <f t="shared" si="30"/>
        <v>0</v>
      </c>
      <c r="FT55" s="74">
        <f t="shared" si="30"/>
        <v>0</v>
      </c>
      <c r="FU55" s="53">
        <f t="shared" si="30"/>
        <v>0</v>
      </c>
      <c r="FV55" s="53">
        <f t="shared" si="30"/>
        <v>0</v>
      </c>
      <c r="FW55" s="53">
        <f t="shared" si="30"/>
        <v>0</v>
      </c>
      <c r="FX55" s="53">
        <f t="shared" si="30"/>
        <v>0</v>
      </c>
      <c r="FY55" s="53">
        <f t="shared" si="30"/>
        <v>0</v>
      </c>
      <c r="FZ55" s="53">
        <f t="shared" si="30"/>
        <v>0</v>
      </c>
      <c r="GA55" s="74">
        <f t="shared" si="30"/>
        <v>0</v>
      </c>
      <c r="GB55" s="53">
        <f t="shared" si="30"/>
        <v>0</v>
      </c>
      <c r="GC55" s="53">
        <f t="shared" si="30"/>
        <v>0</v>
      </c>
      <c r="GD55" s="53">
        <f t="shared" si="30"/>
        <v>0</v>
      </c>
      <c r="GE55" s="53">
        <f t="shared" si="30"/>
        <v>0</v>
      </c>
      <c r="GF55" s="53">
        <f t="shared" si="30"/>
        <v>0</v>
      </c>
      <c r="GG55" s="53">
        <f t="shared" si="30"/>
        <v>0</v>
      </c>
      <c r="GH55" s="74">
        <f t="shared" si="30"/>
        <v>0</v>
      </c>
      <c r="GI55" s="276"/>
      <c r="GJ55" s="276"/>
      <c r="GK55" s="276"/>
      <c r="GL55" s="276"/>
      <c r="GM55" s="276"/>
      <c r="GN55" s="276"/>
      <c r="GO55" s="276"/>
      <c r="GP55" s="53">
        <f t="shared" si="30"/>
        <v>0</v>
      </c>
      <c r="GQ55" s="53">
        <f t="shared" si="30"/>
        <v>0</v>
      </c>
      <c r="GR55" s="53">
        <f t="shared" si="30"/>
        <v>0</v>
      </c>
      <c r="GS55" s="53">
        <f t="shared" si="30"/>
        <v>0</v>
      </c>
      <c r="GT55" s="53">
        <f t="shared" si="30"/>
        <v>0</v>
      </c>
      <c r="GU55" s="53">
        <f t="shared" si="30"/>
        <v>0</v>
      </c>
      <c r="GV55" s="74">
        <f t="shared" si="30"/>
        <v>0</v>
      </c>
      <c r="GW55" s="53">
        <f t="shared" si="30"/>
        <v>0</v>
      </c>
      <c r="GX55" s="53">
        <f t="shared" si="30"/>
        <v>0</v>
      </c>
      <c r="GY55" s="53">
        <f t="shared" si="30"/>
        <v>0</v>
      </c>
      <c r="GZ55" s="53">
        <f t="shared" si="30"/>
        <v>0</v>
      </c>
      <c r="HA55" s="53">
        <f t="shared" si="30"/>
        <v>0</v>
      </c>
      <c r="HB55" s="53">
        <f t="shared" si="30"/>
        <v>0</v>
      </c>
      <c r="HC55" s="74">
        <f t="shared" si="30"/>
        <v>0</v>
      </c>
      <c r="HD55" s="53">
        <f t="shared" si="30"/>
        <v>0</v>
      </c>
      <c r="HE55" s="53">
        <f t="shared" si="30"/>
        <v>0</v>
      </c>
      <c r="HF55" s="53">
        <f t="shared" si="30"/>
        <v>0</v>
      </c>
      <c r="HG55" s="53">
        <f t="shared" si="30"/>
        <v>0</v>
      </c>
      <c r="HH55" s="53">
        <f t="shared" si="30"/>
        <v>0</v>
      </c>
      <c r="HI55" s="53">
        <f t="shared" si="30"/>
        <v>0</v>
      </c>
      <c r="HJ55" s="74">
        <f t="shared" si="30"/>
        <v>0</v>
      </c>
    </row>
    <row r="56" spans="1:218" ht="21.75" customHeight="1" x14ac:dyDescent="0.6">
      <c r="A56" s="73">
        <v>45210</v>
      </c>
      <c r="B56" s="53">
        <f t="shared" ref="B56:HJ56" si="31">SUM(B15:B18)</f>
        <v>126</v>
      </c>
      <c r="C56" s="53">
        <f t="shared" si="31"/>
        <v>24</v>
      </c>
      <c r="D56" s="53">
        <f t="shared" si="31"/>
        <v>0</v>
      </c>
      <c r="E56" s="53">
        <f t="shared" si="31"/>
        <v>0</v>
      </c>
      <c r="F56" s="53">
        <f t="shared" si="31"/>
        <v>2</v>
      </c>
      <c r="G56" s="53">
        <f t="shared" si="31"/>
        <v>3</v>
      </c>
      <c r="H56" s="74">
        <f t="shared" si="31"/>
        <v>155</v>
      </c>
      <c r="I56" s="53">
        <f t="shared" si="31"/>
        <v>188</v>
      </c>
      <c r="J56" s="53">
        <f t="shared" si="31"/>
        <v>34</v>
      </c>
      <c r="K56" s="53">
        <f t="shared" si="31"/>
        <v>0</v>
      </c>
      <c r="L56" s="53">
        <f t="shared" si="31"/>
        <v>0</v>
      </c>
      <c r="M56" s="53">
        <f t="shared" si="31"/>
        <v>0</v>
      </c>
      <c r="N56" s="53">
        <f t="shared" si="31"/>
        <v>0</v>
      </c>
      <c r="O56" s="74">
        <f t="shared" si="31"/>
        <v>222</v>
      </c>
      <c r="P56" s="53">
        <f t="shared" si="31"/>
        <v>102</v>
      </c>
      <c r="Q56" s="53">
        <f t="shared" si="31"/>
        <v>40</v>
      </c>
      <c r="R56" s="53">
        <f t="shared" si="31"/>
        <v>0</v>
      </c>
      <c r="S56" s="53">
        <f t="shared" si="31"/>
        <v>0</v>
      </c>
      <c r="T56" s="53">
        <f t="shared" si="31"/>
        <v>0</v>
      </c>
      <c r="U56" s="53">
        <f t="shared" si="31"/>
        <v>0</v>
      </c>
      <c r="V56" s="74">
        <f t="shared" si="31"/>
        <v>142</v>
      </c>
      <c r="W56" s="53">
        <f t="shared" si="31"/>
        <v>0</v>
      </c>
      <c r="X56" s="53">
        <f t="shared" si="31"/>
        <v>0</v>
      </c>
      <c r="Y56" s="53">
        <f t="shared" si="31"/>
        <v>0</v>
      </c>
      <c r="Z56" s="53">
        <f t="shared" si="31"/>
        <v>0</v>
      </c>
      <c r="AA56" s="53">
        <f t="shared" si="31"/>
        <v>0</v>
      </c>
      <c r="AB56" s="53">
        <f t="shared" si="31"/>
        <v>0</v>
      </c>
      <c r="AC56" s="74">
        <f t="shared" si="31"/>
        <v>0</v>
      </c>
      <c r="AD56" s="53">
        <f t="shared" si="31"/>
        <v>200</v>
      </c>
      <c r="AE56" s="53">
        <f t="shared" si="31"/>
        <v>85</v>
      </c>
      <c r="AF56" s="53">
        <f t="shared" si="31"/>
        <v>2</v>
      </c>
      <c r="AG56" s="53">
        <f t="shared" si="31"/>
        <v>0</v>
      </c>
      <c r="AH56" s="53">
        <f t="shared" si="31"/>
        <v>0</v>
      </c>
      <c r="AI56" s="53">
        <f t="shared" si="31"/>
        <v>0</v>
      </c>
      <c r="AJ56" s="74">
        <f t="shared" si="31"/>
        <v>287</v>
      </c>
      <c r="AK56" s="53">
        <f t="shared" si="31"/>
        <v>524</v>
      </c>
      <c r="AL56" s="53">
        <f t="shared" si="31"/>
        <v>188</v>
      </c>
      <c r="AM56" s="53">
        <f t="shared" si="31"/>
        <v>1</v>
      </c>
      <c r="AN56" s="53">
        <f t="shared" si="31"/>
        <v>1</v>
      </c>
      <c r="AO56" s="53">
        <f t="shared" si="31"/>
        <v>24</v>
      </c>
      <c r="AP56" s="53">
        <f t="shared" si="31"/>
        <v>0</v>
      </c>
      <c r="AQ56" s="74">
        <f t="shared" si="31"/>
        <v>738</v>
      </c>
      <c r="AR56" s="53">
        <f t="shared" si="31"/>
        <v>89</v>
      </c>
      <c r="AS56" s="53">
        <f t="shared" si="31"/>
        <v>30</v>
      </c>
      <c r="AT56" s="53">
        <f t="shared" si="31"/>
        <v>0</v>
      </c>
      <c r="AU56" s="53">
        <f t="shared" si="31"/>
        <v>0</v>
      </c>
      <c r="AV56" s="53">
        <f t="shared" si="31"/>
        <v>2</v>
      </c>
      <c r="AW56" s="53">
        <f t="shared" si="31"/>
        <v>0</v>
      </c>
      <c r="AX56" s="74">
        <f t="shared" si="31"/>
        <v>121</v>
      </c>
      <c r="AY56" s="53">
        <f t="shared" si="31"/>
        <v>167</v>
      </c>
      <c r="AZ56" s="53">
        <f t="shared" si="31"/>
        <v>80</v>
      </c>
      <c r="BA56" s="53">
        <f t="shared" si="31"/>
        <v>0</v>
      </c>
      <c r="BB56" s="53">
        <f t="shared" si="31"/>
        <v>0</v>
      </c>
      <c r="BC56" s="53">
        <f t="shared" si="31"/>
        <v>4</v>
      </c>
      <c r="BD56" s="53">
        <f t="shared" si="31"/>
        <v>2</v>
      </c>
      <c r="BE56" s="74">
        <f t="shared" si="31"/>
        <v>253</v>
      </c>
      <c r="BF56" s="53">
        <f t="shared" si="31"/>
        <v>17</v>
      </c>
      <c r="BG56" s="53">
        <f t="shared" si="31"/>
        <v>4</v>
      </c>
      <c r="BH56" s="53">
        <f t="shared" si="31"/>
        <v>0</v>
      </c>
      <c r="BI56" s="53">
        <f t="shared" si="31"/>
        <v>0</v>
      </c>
      <c r="BJ56" s="53">
        <f t="shared" si="31"/>
        <v>0</v>
      </c>
      <c r="BK56" s="53">
        <f t="shared" si="31"/>
        <v>0</v>
      </c>
      <c r="BL56" s="74">
        <f t="shared" si="31"/>
        <v>21</v>
      </c>
      <c r="BM56" s="53">
        <f t="shared" si="31"/>
        <v>220</v>
      </c>
      <c r="BN56" s="53">
        <f t="shared" si="31"/>
        <v>55</v>
      </c>
      <c r="BO56" s="53">
        <f t="shared" si="31"/>
        <v>0</v>
      </c>
      <c r="BP56" s="53">
        <f t="shared" si="31"/>
        <v>0</v>
      </c>
      <c r="BQ56" s="53">
        <f t="shared" si="31"/>
        <v>3</v>
      </c>
      <c r="BR56" s="53">
        <f t="shared" si="31"/>
        <v>0</v>
      </c>
      <c r="BS56" s="74">
        <f t="shared" si="31"/>
        <v>278</v>
      </c>
      <c r="BT56" s="53">
        <f t="shared" si="31"/>
        <v>246</v>
      </c>
      <c r="BU56" s="53">
        <f t="shared" si="31"/>
        <v>54</v>
      </c>
      <c r="BV56" s="53">
        <f t="shared" si="31"/>
        <v>0</v>
      </c>
      <c r="BW56" s="53">
        <f t="shared" si="31"/>
        <v>0</v>
      </c>
      <c r="BX56" s="53">
        <f t="shared" si="31"/>
        <v>0</v>
      </c>
      <c r="BY56" s="53">
        <f t="shared" si="31"/>
        <v>0</v>
      </c>
      <c r="BZ56" s="74">
        <f t="shared" si="31"/>
        <v>300</v>
      </c>
      <c r="CA56" s="53">
        <f t="shared" si="31"/>
        <v>0</v>
      </c>
      <c r="CB56" s="53">
        <f t="shared" si="31"/>
        <v>0</v>
      </c>
      <c r="CC56" s="53">
        <f t="shared" si="31"/>
        <v>0</v>
      </c>
      <c r="CD56" s="53">
        <f t="shared" si="31"/>
        <v>0</v>
      </c>
      <c r="CE56" s="53">
        <f t="shared" si="31"/>
        <v>0</v>
      </c>
      <c r="CF56" s="53">
        <f t="shared" si="31"/>
        <v>0</v>
      </c>
      <c r="CG56" s="74">
        <f t="shared" si="31"/>
        <v>0</v>
      </c>
      <c r="CH56" s="53">
        <f t="shared" si="31"/>
        <v>105</v>
      </c>
      <c r="CI56" s="53">
        <f t="shared" si="31"/>
        <v>33</v>
      </c>
      <c r="CJ56" s="53">
        <f t="shared" si="31"/>
        <v>0</v>
      </c>
      <c r="CK56" s="53">
        <f t="shared" si="31"/>
        <v>0</v>
      </c>
      <c r="CL56" s="53">
        <f t="shared" si="31"/>
        <v>3</v>
      </c>
      <c r="CM56" s="53">
        <f t="shared" si="31"/>
        <v>0</v>
      </c>
      <c r="CN56" s="74">
        <f t="shared" si="31"/>
        <v>141</v>
      </c>
      <c r="CO56" s="53">
        <f t="shared" si="31"/>
        <v>417</v>
      </c>
      <c r="CP56" s="53">
        <f t="shared" si="31"/>
        <v>86</v>
      </c>
      <c r="CQ56" s="53">
        <f t="shared" si="31"/>
        <v>2</v>
      </c>
      <c r="CR56" s="53">
        <f t="shared" si="31"/>
        <v>1</v>
      </c>
      <c r="CS56" s="53">
        <f t="shared" si="31"/>
        <v>8</v>
      </c>
      <c r="CT56" s="53">
        <f t="shared" si="31"/>
        <v>1</v>
      </c>
      <c r="CU56" s="74">
        <f t="shared" si="31"/>
        <v>515</v>
      </c>
      <c r="CV56" s="53">
        <f t="shared" si="31"/>
        <v>0</v>
      </c>
      <c r="CW56" s="53">
        <f t="shared" si="31"/>
        <v>0</v>
      </c>
      <c r="CX56" s="53">
        <f t="shared" si="31"/>
        <v>0</v>
      </c>
      <c r="CY56" s="53">
        <f t="shared" si="31"/>
        <v>0</v>
      </c>
      <c r="CZ56" s="53">
        <f t="shared" si="31"/>
        <v>0</v>
      </c>
      <c r="DA56" s="53">
        <f t="shared" si="31"/>
        <v>0</v>
      </c>
      <c r="DB56" s="74">
        <f t="shared" si="31"/>
        <v>0</v>
      </c>
      <c r="DC56" s="53">
        <f t="shared" si="31"/>
        <v>0</v>
      </c>
      <c r="DD56" s="53">
        <f t="shared" si="31"/>
        <v>0</v>
      </c>
      <c r="DE56" s="53">
        <f t="shared" si="31"/>
        <v>0</v>
      </c>
      <c r="DF56" s="53">
        <f t="shared" si="31"/>
        <v>0</v>
      </c>
      <c r="DG56" s="53">
        <f t="shared" si="31"/>
        <v>0</v>
      </c>
      <c r="DH56" s="53">
        <f t="shared" si="31"/>
        <v>0</v>
      </c>
      <c r="DI56" s="74">
        <f t="shared" si="31"/>
        <v>0</v>
      </c>
      <c r="DJ56" s="53">
        <f t="shared" si="31"/>
        <v>0</v>
      </c>
      <c r="DK56" s="53">
        <f t="shared" si="31"/>
        <v>0</v>
      </c>
      <c r="DL56" s="53">
        <f t="shared" si="31"/>
        <v>0</v>
      </c>
      <c r="DM56" s="53">
        <f t="shared" si="31"/>
        <v>0</v>
      </c>
      <c r="DN56" s="53">
        <f t="shared" si="31"/>
        <v>0</v>
      </c>
      <c r="DO56" s="53">
        <f t="shared" si="31"/>
        <v>0</v>
      </c>
      <c r="DP56" s="74">
        <f t="shared" si="31"/>
        <v>0</v>
      </c>
      <c r="DQ56" s="53">
        <f t="shared" si="31"/>
        <v>0</v>
      </c>
      <c r="DR56" s="53">
        <f t="shared" si="31"/>
        <v>0</v>
      </c>
      <c r="DS56" s="53">
        <f t="shared" si="31"/>
        <v>0</v>
      </c>
      <c r="DT56" s="53">
        <f t="shared" si="31"/>
        <v>0</v>
      </c>
      <c r="DU56" s="53">
        <f t="shared" si="31"/>
        <v>0</v>
      </c>
      <c r="DV56" s="53">
        <f t="shared" si="31"/>
        <v>0</v>
      </c>
      <c r="DW56" s="74">
        <f t="shared" si="31"/>
        <v>0</v>
      </c>
      <c r="DX56" s="53">
        <f t="shared" si="31"/>
        <v>0</v>
      </c>
      <c r="DY56" s="53">
        <f t="shared" si="31"/>
        <v>0</v>
      </c>
      <c r="DZ56" s="53">
        <f t="shared" si="31"/>
        <v>0</v>
      </c>
      <c r="EA56" s="53">
        <f t="shared" si="31"/>
        <v>0</v>
      </c>
      <c r="EB56" s="53">
        <f t="shared" si="31"/>
        <v>0</v>
      </c>
      <c r="EC56" s="53">
        <f t="shared" si="31"/>
        <v>0</v>
      </c>
      <c r="ED56" s="74">
        <f t="shared" si="31"/>
        <v>0</v>
      </c>
      <c r="EE56" s="276"/>
      <c r="EF56" s="276"/>
      <c r="EG56" s="276"/>
      <c r="EH56" s="276"/>
      <c r="EI56" s="276"/>
      <c r="EJ56" s="276"/>
      <c r="EK56" s="276"/>
      <c r="EL56" s="53">
        <f t="shared" si="31"/>
        <v>0</v>
      </c>
      <c r="EM56" s="53">
        <f t="shared" si="31"/>
        <v>0</v>
      </c>
      <c r="EN56" s="53">
        <f t="shared" si="31"/>
        <v>0</v>
      </c>
      <c r="EO56" s="53">
        <f t="shared" si="31"/>
        <v>0</v>
      </c>
      <c r="EP56" s="53">
        <f t="shared" si="31"/>
        <v>0</v>
      </c>
      <c r="EQ56" s="53">
        <f t="shared" si="31"/>
        <v>0</v>
      </c>
      <c r="ER56" s="74">
        <f t="shared" si="31"/>
        <v>0</v>
      </c>
      <c r="ES56" s="53">
        <f t="shared" si="31"/>
        <v>0</v>
      </c>
      <c r="ET56" s="53">
        <f t="shared" si="31"/>
        <v>0</v>
      </c>
      <c r="EU56" s="53">
        <f t="shared" si="31"/>
        <v>0</v>
      </c>
      <c r="EV56" s="53">
        <f t="shared" si="31"/>
        <v>0</v>
      </c>
      <c r="EW56" s="53">
        <f t="shared" si="31"/>
        <v>0</v>
      </c>
      <c r="EX56" s="53">
        <f t="shared" si="31"/>
        <v>0</v>
      </c>
      <c r="EY56" s="74">
        <f t="shared" si="31"/>
        <v>0</v>
      </c>
      <c r="EZ56" s="53">
        <f t="shared" si="31"/>
        <v>0</v>
      </c>
      <c r="FA56" s="53">
        <f t="shared" si="31"/>
        <v>0</v>
      </c>
      <c r="FB56" s="53">
        <f t="shared" si="31"/>
        <v>0</v>
      </c>
      <c r="FC56" s="53">
        <f t="shared" si="31"/>
        <v>0</v>
      </c>
      <c r="FD56" s="53">
        <f t="shared" si="31"/>
        <v>0</v>
      </c>
      <c r="FE56" s="53">
        <f t="shared" si="31"/>
        <v>0</v>
      </c>
      <c r="FF56" s="74">
        <f t="shared" si="31"/>
        <v>0</v>
      </c>
      <c r="FG56" s="276"/>
      <c r="FH56" s="276"/>
      <c r="FI56" s="276"/>
      <c r="FJ56" s="276"/>
      <c r="FK56" s="276"/>
      <c r="FL56" s="276"/>
      <c r="FM56" s="276"/>
      <c r="FN56" s="53">
        <f t="shared" si="31"/>
        <v>0</v>
      </c>
      <c r="FO56" s="53">
        <f t="shared" si="31"/>
        <v>0</v>
      </c>
      <c r="FP56" s="53">
        <f t="shared" si="31"/>
        <v>0</v>
      </c>
      <c r="FQ56" s="53">
        <f t="shared" si="31"/>
        <v>0</v>
      </c>
      <c r="FR56" s="53">
        <f t="shared" si="31"/>
        <v>0</v>
      </c>
      <c r="FS56" s="53">
        <f t="shared" si="31"/>
        <v>0</v>
      </c>
      <c r="FT56" s="74">
        <f t="shared" si="31"/>
        <v>0</v>
      </c>
      <c r="FU56" s="53">
        <f t="shared" si="31"/>
        <v>0</v>
      </c>
      <c r="FV56" s="53">
        <f t="shared" si="31"/>
        <v>0</v>
      </c>
      <c r="FW56" s="53">
        <f t="shared" si="31"/>
        <v>0</v>
      </c>
      <c r="FX56" s="53">
        <f t="shared" si="31"/>
        <v>0</v>
      </c>
      <c r="FY56" s="53">
        <f t="shared" si="31"/>
        <v>0</v>
      </c>
      <c r="FZ56" s="53">
        <f t="shared" si="31"/>
        <v>0</v>
      </c>
      <c r="GA56" s="74">
        <f t="shared" si="31"/>
        <v>0</v>
      </c>
      <c r="GB56" s="53">
        <f t="shared" si="31"/>
        <v>0</v>
      </c>
      <c r="GC56" s="53">
        <f t="shared" si="31"/>
        <v>0</v>
      </c>
      <c r="GD56" s="53">
        <f t="shared" si="31"/>
        <v>0</v>
      </c>
      <c r="GE56" s="53">
        <f t="shared" si="31"/>
        <v>0</v>
      </c>
      <c r="GF56" s="53">
        <f t="shared" si="31"/>
        <v>0</v>
      </c>
      <c r="GG56" s="53">
        <f t="shared" si="31"/>
        <v>0</v>
      </c>
      <c r="GH56" s="74">
        <f t="shared" si="31"/>
        <v>0</v>
      </c>
      <c r="GI56" s="276"/>
      <c r="GJ56" s="276"/>
      <c r="GK56" s="276"/>
      <c r="GL56" s="276"/>
      <c r="GM56" s="276"/>
      <c r="GN56" s="276"/>
      <c r="GO56" s="276"/>
      <c r="GP56" s="53">
        <f t="shared" si="31"/>
        <v>0</v>
      </c>
      <c r="GQ56" s="53">
        <f t="shared" si="31"/>
        <v>0</v>
      </c>
      <c r="GR56" s="53">
        <f t="shared" si="31"/>
        <v>0</v>
      </c>
      <c r="GS56" s="53">
        <f t="shared" si="31"/>
        <v>0</v>
      </c>
      <c r="GT56" s="53">
        <f t="shared" si="31"/>
        <v>0</v>
      </c>
      <c r="GU56" s="53">
        <f t="shared" si="31"/>
        <v>0</v>
      </c>
      <c r="GV56" s="74">
        <f t="shared" si="31"/>
        <v>0</v>
      </c>
      <c r="GW56" s="53">
        <f t="shared" si="31"/>
        <v>0</v>
      </c>
      <c r="GX56" s="53">
        <f t="shared" si="31"/>
        <v>0</v>
      </c>
      <c r="GY56" s="53">
        <f t="shared" si="31"/>
        <v>0</v>
      </c>
      <c r="GZ56" s="53">
        <f t="shared" si="31"/>
        <v>0</v>
      </c>
      <c r="HA56" s="53">
        <f t="shared" si="31"/>
        <v>0</v>
      </c>
      <c r="HB56" s="53">
        <f t="shared" si="31"/>
        <v>0</v>
      </c>
      <c r="HC56" s="74">
        <f t="shared" si="31"/>
        <v>0</v>
      </c>
      <c r="HD56" s="53">
        <f t="shared" si="31"/>
        <v>0</v>
      </c>
      <c r="HE56" s="53">
        <f t="shared" si="31"/>
        <v>0</v>
      </c>
      <c r="HF56" s="53">
        <f t="shared" si="31"/>
        <v>0</v>
      </c>
      <c r="HG56" s="53">
        <f t="shared" si="31"/>
        <v>0</v>
      </c>
      <c r="HH56" s="53">
        <f t="shared" si="31"/>
        <v>0</v>
      </c>
      <c r="HI56" s="53">
        <f t="shared" si="31"/>
        <v>0</v>
      </c>
      <c r="HJ56" s="74">
        <f t="shared" si="31"/>
        <v>0</v>
      </c>
    </row>
    <row r="57" spans="1:218" ht="21.75" customHeight="1" x14ac:dyDescent="0.6">
      <c r="A57" s="73">
        <v>45242</v>
      </c>
      <c r="B57" s="53">
        <f t="shared" ref="B57:HJ57" si="32">SUM(B19:B22)</f>
        <v>116</v>
      </c>
      <c r="C57" s="53">
        <f t="shared" si="32"/>
        <v>33</v>
      </c>
      <c r="D57" s="53">
        <f t="shared" si="32"/>
        <v>0</v>
      </c>
      <c r="E57" s="53">
        <f t="shared" si="32"/>
        <v>0</v>
      </c>
      <c r="F57" s="53">
        <f t="shared" si="32"/>
        <v>2</v>
      </c>
      <c r="G57" s="53">
        <f t="shared" si="32"/>
        <v>3</v>
      </c>
      <c r="H57" s="74">
        <f t="shared" si="32"/>
        <v>154</v>
      </c>
      <c r="I57" s="53">
        <f t="shared" si="32"/>
        <v>200</v>
      </c>
      <c r="J57" s="53">
        <f t="shared" si="32"/>
        <v>44</v>
      </c>
      <c r="K57" s="53">
        <f t="shared" si="32"/>
        <v>0</v>
      </c>
      <c r="L57" s="53">
        <f t="shared" si="32"/>
        <v>0</v>
      </c>
      <c r="M57" s="53">
        <f t="shared" si="32"/>
        <v>0</v>
      </c>
      <c r="N57" s="53">
        <f t="shared" si="32"/>
        <v>1</v>
      </c>
      <c r="O57" s="74">
        <f t="shared" si="32"/>
        <v>245</v>
      </c>
      <c r="P57" s="53">
        <f t="shared" si="32"/>
        <v>102</v>
      </c>
      <c r="Q57" s="53">
        <f t="shared" si="32"/>
        <v>21</v>
      </c>
      <c r="R57" s="53">
        <f t="shared" si="32"/>
        <v>0</v>
      </c>
      <c r="S57" s="53">
        <f t="shared" si="32"/>
        <v>0</v>
      </c>
      <c r="T57" s="53">
        <f t="shared" si="32"/>
        <v>1</v>
      </c>
      <c r="U57" s="53">
        <f t="shared" si="32"/>
        <v>0</v>
      </c>
      <c r="V57" s="74">
        <f t="shared" si="32"/>
        <v>124</v>
      </c>
      <c r="W57" s="53">
        <f t="shared" si="32"/>
        <v>0</v>
      </c>
      <c r="X57" s="53">
        <f t="shared" si="32"/>
        <v>0</v>
      </c>
      <c r="Y57" s="53">
        <f t="shared" si="32"/>
        <v>0</v>
      </c>
      <c r="Z57" s="53">
        <f t="shared" si="32"/>
        <v>0</v>
      </c>
      <c r="AA57" s="53">
        <f t="shared" si="32"/>
        <v>0</v>
      </c>
      <c r="AB57" s="53">
        <f t="shared" si="32"/>
        <v>0</v>
      </c>
      <c r="AC57" s="74">
        <f t="shared" si="32"/>
        <v>0</v>
      </c>
      <c r="AD57" s="53">
        <f t="shared" si="32"/>
        <v>246</v>
      </c>
      <c r="AE57" s="53">
        <f t="shared" si="32"/>
        <v>83</v>
      </c>
      <c r="AF57" s="53">
        <f t="shared" si="32"/>
        <v>0</v>
      </c>
      <c r="AG57" s="53">
        <f t="shared" si="32"/>
        <v>0</v>
      </c>
      <c r="AH57" s="53">
        <f t="shared" si="32"/>
        <v>0</v>
      </c>
      <c r="AI57" s="53">
        <f t="shared" si="32"/>
        <v>0</v>
      </c>
      <c r="AJ57" s="74">
        <f t="shared" si="32"/>
        <v>329</v>
      </c>
      <c r="AK57" s="53">
        <f t="shared" si="32"/>
        <v>541</v>
      </c>
      <c r="AL57" s="53">
        <f t="shared" si="32"/>
        <v>177</v>
      </c>
      <c r="AM57" s="53">
        <f t="shared" si="32"/>
        <v>0</v>
      </c>
      <c r="AN57" s="53">
        <f t="shared" si="32"/>
        <v>0</v>
      </c>
      <c r="AO57" s="53">
        <f t="shared" si="32"/>
        <v>16</v>
      </c>
      <c r="AP57" s="53">
        <f t="shared" si="32"/>
        <v>0</v>
      </c>
      <c r="AQ57" s="74">
        <f t="shared" si="32"/>
        <v>734</v>
      </c>
      <c r="AR57" s="53">
        <f t="shared" si="32"/>
        <v>75</v>
      </c>
      <c r="AS57" s="53">
        <f t="shared" si="32"/>
        <v>28</v>
      </c>
      <c r="AT57" s="53">
        <f t="shared" si="32"/>
        <v>0</v>
      </c>
      <c r="AU57" s="53">
        <f t="shared" si="32"/>
        <v>0</v>
      </c>
      <c r="AV57" s="53">
        <f t="shared" si="32"/>
        <v>1</v>
      </c>
      <c r="AW57" s="53">
        <f t="shared" si="32"/>
        <v>0</v>
      </c>
      <c r="AX57" s="74">
        <f t="shared" si="32"/>
        <v>104</v>
      </c>
      <c r="AY57" s="53">
        <f t="shared" si="32"/>
        <v>146</v>
      </c>
      <c r="AZ57" s="53">
        <f t="shared" si="32"/>
        <v>74</v>
      </c>
      <c r="BA57" s="53">
        <f t="shared" si="32"/>
        <v>0</v>
      </c>
      <c r="BB57" s="53">
        <f t="shared" si="32"/>
        <v>0</v>
      </c>
      <c r="BC57" s="53">
        <f t="shared" si="32"/>
        <v>5</v>
      </c>
      <c r="BD57" s="53">
        <f t="shared" si="32"/>
        <v>2</v>
      </c>
      <c r="BE57" s="74">
        <f t="shared" si="32"/>
        <v>227</v>
      </c>
      <c r="BF57" s="53">
        <f t="shared" si="32"/>
        <v>13</v>
      </c>
      <c r="BG57" s="53">
        <f t="shared" si="32"/>
        <v>3</v>
      </c>
      <c r="BH57" s="53">
        <f t="shared" si="32"/>
        <v>0</v>
      </c>
      <c r="BI57" s="53">
        <f t="shared" si="32"/>
        <v>0</v>
      </c>
      <c r="BJ57" s="53">
        <f t="shared" si="32"/>
        <v>1</v>
      </c>
      <c r="BK57" s="53">
        <f t="shared" si="32"/>
        <v>0</v>
      </c>
      <c r="BL57" s="74">
        <f t="shared" si="32"/>
        <v>17</v>
      </c>
      <c r="BM57" s="53">
        <f t="shared" si="32"/>
        <v>260</v>
      </c>
      <c r="BN57" s="53">
        <f t="shared" si="32"/>
        <v>54</v>
      </c>
      <c r="BO57" s="53">
        <f t="shared" si="32"/>
        <v>0</v>
      </c>
      <c r="BP57" s="53">
        <f t="shared" si="32"/>
        <v>0</v>
      </c>
      <c r="BQ57" s="53">
        <f t="shared" si="32"/>
        <v>3</v>
      </c>
      <c r="BR57" s="53">
        <f t="shared" si="32"/>
        <v>0</v>
      </c>
      <c r="BS57" s="74">
        <f t="shared" si="32"/>
        <v>317</v>
      </c>
      <c r="BT57" s="53">
        <f t="shared" si="32"/>
        <v>222</v>
      </c>
      <c r="BU57" s="53">
        <f t="shared" si="32"/>
        <v>43</v>
      </c>
      <c r="BV57" s="53">
        <f t="shared" si="32"/>
        <v>0</v>
      </c>
      <c r="BW57" s="53">
        <f t="shared" si="32"/>
        <v>0</v>
      </c>
      <c r="BX57" s="53">
        <f t="shared" si="32"/>
        <v>0</v>
      </c>
      <c r="BY57" s="53">
        <f t="shared" si="32"/>
        <v>0</v>
      </c>
      <c r="BZ57" s="74">
        <f t="shared" si="32"/>
        <v>265</v>
      </c>
      <c r="CA57" s="53">
        <f t="shared" si="32"/>
        <v>0</v>
      </c>
      <c r="CB57" s="53">
        <f t="shared" si="32"/>
        <v>0</v>
      </c>
      <c r="CC57" s="53">
        <f t="shared" si="32"/>
        <v>0</v>
      </c>
      <c r="CD57" s="53">
        <f t="shared" si="32"/>
        <v>0</v>
      </c>
      <c r="CE57" s="53">
        <f t="shared" si="32"/>
        <v>0</v>
      </c>
      <c r="CF57" s="53">
        <f t="shared" si="32"/>
        <v>0</v>
      </c>
      <c r="CG57" s="74">
        <f t="shared" si="32"/>
        <v>0</v>
      </c>
      <c r="CH57" s="53">
        <f t="shared" si="32"/>
        <v>79</v>
      </c>
      <c r="CI57" s="53">
        <f t="shared" si="32"/>
        <v>27</v>
      </c>
      <c r="CJ57" s="53">
        <f t="shared" si="32"/>
        <v>0</v>
      </c>
      <c r="CK57" s="53">
        <f t="shared" si="32"/>
        <v>0</v>
      </c>
      <c r="CL57" s="53">
        <f t="shared" si="32"/>
        <v>2</v>
      </c>
      <c r="CM57" s="53">
        <f t="shared" si="32"/>
        <v>1</v>
      </c>
      <c r="CN57" s="74">
        <f t="shared" si="32"/>
        <v>109</v>
      </c>
      <c r="CO57" s="53">
        <f t="shared" si="32"/>
        <v>409</v>
      </c>
      <c r="CP57" s="53">
        <f t="shared" si="32"/>
        <v>89</v>
      </c>
      <c r="CQ57" s="53">
        <f t="shared" si="32"/>
        <v>2</v>
      </c>
      <c r="CR57" s="53">
        <f t="shared" si="32"/>
        <v>1</v>
      </c>
      <c r="CS57" s="53">
        <f t="shared" si="32"/>
        <v>7</v>
      </c>
      <c r="CT57" s="53">
        <f t="shared" si="32"/>
        <v>1</v>
      </c>
      <c r="CU57" s="74">
        <f t="shared" si="32"/>
        <v>509</v>
      </c>
      <c r="CV57" s="53">
        <f t="shared" si="32"/>
        <v>0</v>
      </c>
      <c r="CW57" s="53">
        <f t="shared" si="32"/>
        <v>0</v>
      </c>
      <c r="CX57" s="53">
        <f t="shared" si="32"/>
        <v>0</v>
      </c>
      <c r="CY57" s="53">
        <f t="shared" si="32"/>
        <v>0</v>
      </c>
      <c r="CZ57" s="53">
        <f t="shared" si="32"/>
        <v>0</v>
      </c>
      <c r="DA57" s="53">
        <f t="shared" si="32"/>
        <v>0</v>
      </c>
      <c r="DB57" s="74">
        <f t="shared" si="32"/>
        <v>0</v>
      </c>
      <c r="DC57" s="53">
        <f t="shared" si="32"/>
        <v>0</v>
      </c>
      <c r="DD57" s="53">
        <f t="shared" si="32"/>
        <v>0</v>
      </c>
      <c r="DE57" s="53">
        <f t="shared" si="32"/>
        <v>0</v>
      </c>
      <c r="DF57" s="53">
        <f t="shared" si="32"/>
        <v>0</v>
      </c>
      <c r="DG57" s="53">
        <f t="shared" si="32"/>
        <v>0</v>
      </c>
      <c r="DH57" s="53">
        <f t="shared" si="32"/>
        <v>0</v>
      </c>
      <c r="DI57" s="74">
        <f t="shared" si="32"/>
        <v>0</v>
      </c>
      <c r="DJ57" s="53">
        <f t="shared" si="32"/>
        <v>0</v>
      </c>
      <c r="DK57" s="53">
        <f t="shared" si="32"/>
        <v>0</v>
      </c>
      <c r="DL57" s="53">
        <f t="shared" si="32"/>
        <v>0</v>
      </c>
      <c r="DM57" s="53">
        <f t="shared" si="32"/>
        <v>0</v>
      </c>
      <c r="DN57" s="53">
        <f t="shared" si="32"/>
        <v>0</v>
      </c>
      <c r="DO57" s="53">
        <f t="shared" si="32"/>
        <v>0</v>
      </c>
      <c r="DP57" s="74">
        <f t="shared" si="32"/>
        <v>0</v>
      </c>
      <c r="DQ57" s="53">
        <f t="shared" si="32"/>
        <v>0</v>
      </c>
      <c r="DR57" s="53">
        <f t="shared" si="32"/>
        <v>0</v>
      </c>
      <c r="DS57" s="53">
        <f t="shared" si="32"/>
        <v>0</v>
      </c>
      <c r="DT57" s="53">
        <f t="shared" si="32"/>
        <v>0</v>
      </c>
      <c r="DU57" s="53">
        <f t="shared" si="32"/>
        <v>0</v>
      </c>
      <c r="DV57" s="53">
        <f t="shared" si="32"/>
        <v>0</v>
      </c>
      <c r="DW57" s="74">
        <f t="shared" si="32"/>
        <v>0</v>
      </c>
      <c r="DX57" s="53">
        <f t="shared" si="32"/>
        <v>0</v>
      </c>
      <c r="DY57" s="53">
        <f t="shared" si="32"/>
        <v>0</v>
      </c>
      <c r="DZ57" s="53">
        <f t="shared" si="32"/>
        <v>0</v>
      </c>
      <c r="EA57" s="53">
        <f t="shared" si="32"/>
        <v>0</v>
      </c>
      <c r="EB57" s="53">
        <f t="shared" si="32"/>
        <v>0</v>
      </c>
      <c r="EC57" s="53">
        <f t="shared" si="32"/>
        <v>0</v>
      </c>
      <c r="ED57" s="74">
        <f t="shared" si="32"/>
        <v>0</v>
      </c>
      <c r="EE57" s="276"/>
      <c r="EF57" s="276"/>
      <c r="EG57" s="276"/>
      <c r="EH57" s="276"/>
      <c r="EI57" s="276"/>
      <c r="EJ57" s="276"/>
      <c r="EK57" s="276"/>
      <c r="EL57" s="53">
        <f t="shared" si="32"/>
        <v>0</v>
      </c>
      <c r="EM57" s="53">
        <f t="shared" si="32"/>
        <v>0</v>
      </c>
      <c r="EN57" s="53">
        <f t="shared" si="32"/>
        <v>0</v>
      </c>
      <c r="EO57" s="53">
        <f t="shared" si="32"/>
        <v>0</v>
      </c>
      <c r="EP57" s="53">
        <f t="shared" si="32"/>
        <v>0</v>
      </c>
      <c r="EQ57" s="53">
        <f t="shared" si="32"/>
        <v>0</v>
      </c>
      <c r="ER57" s="74">
        <f t="shared" si="32"/>
        <v>0</v>
      </c>
      <c r="ES57" s="53">
        <f t="shared" si="32"/>
        <v>0</v>
      </c>
      <c r="ET57" s="53">
        <f t="shared" si="32"/>
        <v>0</v>
      </c>
      <c r="EU57" s="53">
        <f t="shared" si="32"/>
        <v>0</v>
      </c>
      <c r="EV57" s="53">
        <f t="shared" si="32"/>
        <v>0</v>
      </c>
      <c r="EW57" s="53">
        <f t="shared" si="32"/>
        <v>0</v>
      </c>
      <c r="EX57" s="53">
        <f t="shared" si="32"/>
        <v>0</v>
      </c>
      <c r="EY57" s="74">
        <f t="shared" si="32"/>
        <v>0</v>
      </c>
      <c r="EZ57" s="53">
        <f t="shared" si="32"/>
        <v>0</v>
      </c>
      <c r="FA57" s="53">
        <f t="shared" si="32"/>
        <v>0</v>
      </c>
      <c r="FB57" s="53">
        <f t="shared" si="32"/>
        <v>0</v>
      </c>
      <c r="FC57" s="53">
        <f t="shared" si="32"/>
        <v>0</v>
      </c>
      <c r="FD57" s="53">
        <f t="shared" si="32"/>
        <v>0</v>
      </c>
      <c r="FE57" s="53">
        <f t="shared" si="32"/>
        <v>0</v>
      </c>
      <c r="FF57" s="74">
        <f t="shared" si="32"/>
        <v>0</v>
      </c>
      <c r="FG57" s="276"/>
      <c r="FH57" s="276"/>
      <c r="FI57" s="276"/>
      <c r="FJ57" s="276"/>
      <c r="FK57" s="276"/>
      <c r="FL57" s="276"/>
      <c r="FM57" s="276"/>
      <c r="FN57" s="53">
        <f t="shared" si="32"/>
        <v>0</v>
      </c>
      <c r="FO57" s="53">
        <f t="shared" si="32"/>
        <v>0</v>
      </c>
      <c r="FP57" s="53">
        <f t="shared" si="32"/>
        <v>0</v>
      </c>
      <c r="FQ57" s="53">
        <f t="shared" si="32"/>
        <v>0</v>
      </c>
      <c r="FR57" s="53">
        <f t="shared" si="32"/>
        <v>0</v>
      </c>
      <c r="FS57" s="53">
        <f t="shared" si="32"/>
        <v>0</v>
      </c>
      <c r="FT57" s="74">
        <f t="shared" si="32"/>
        <v>0</v>
      </c>
      <c r="FU57" s="53">
        <f t="shared" si="32"/>
        <v>0</v>
      </c>
      <c r="FV57" s="53">
        <f t="shared" si="32"/>
        <v>0</v>
      </c>
      <c r="FW57" s="53">
        <f t="shared" si="32"/>
        <v>0</v>
      </c>
      <c r="FX57" s="53">
        <f t="shared" si="32"/>
        <v>0</v>
      </c>
      <c r="FY57" s="53">
        <f t="shared" si="32"/>
        <v>0</v>
      </c>
      <c r="FZ57" s="53">
        <f t="shared" si="32"/>
        <v>0</v>
      </c>
      <c r="GA57" s="74">
        <f t="shared" si="32"/>
        <v>0</v>
      </c>
      <c r="GB57" s="53">
        <f t="shared" si="32"/>
        <v>0</v>
      </c>
      <c r="GC57" s="53">
        <f t="shared" si="32"/>
        <v>0</v>
      </c>
      <c r="GD57" s="53">
        <f t="shared" si="32"/>
        <v>0</v>
      </c>
      <c r="GE57" s="53">
        <f t="shared" si="32"/>
        <v>0</v>
      </c>
      <c r="GF57" s="53">
        <f t="shared" si="32"/>
        <v>0</v>
      </c>
      <c r="GG57" s="53">
        <f t="shared" si="32"/>
        <v>0</v>
      </c>
      <c r="GH57" s="74">
        <f t="shared" si="32"/>
        <v>0</v>
      </c>
      <c r="GI57" s="276"/>
      <c r="GJ57" s="276"/>
      <c r="GK57" s="276"/>
      <c r="GL57" s="276"/>
      <c r="GM57" s="276"/>
      <c r="GN57" s="276"/>
      <c r="GO57" s="276"/>
      <c r="GP57" s="53">
        <f t="shared" si="32"/>
        <v>0</v>
      </c>
      <c r="GQ57" s="53">
        <f t="shared" si="32"/>
        <v>0</v>
      </c>
      <c r="GR57" s="53">
        <f t="shared" si="32"/>
        <v>0</v>
      </c>
      <c r="GS57" s="53">
        <f t="shared" si="32"/>
        <v>0</v>
      </c>
      <c r="GT57" s="53">
        <f t="shared" si="32"/>
        <v>0</v>
      </c>
      <c r="GU57" s="53">
        <f t="shared" si="32"/>
        <v>0</v>
      </c>
      <c r="GV57" s="74">
        <f t="shared" si="32"/>
        <v>0</v>
      </c>
      <c r="GW57" s="53">
        <f t="shared" si="32"/>
        <v>0</v>
      </c>
      <c r="GX57" s="53">
        <f t="shared" si="32"/>
        <v>0</v>
      </c>
      <c r="GY57" s="53">
        <f t="shared" si="32"/>
        <v>0</v>
      </c>
      <c r="GZ57" s="53">
        <f t="shared" si="32"/>
        <v>0</v>
      </c>
      <c r="HA57" s="53">
        <f t="shared" si="32"/>
        <v>0</v>
      </c>
      <c r="HB57" s="53">
        <f t="shared" si="32"/>
        <v>0</v>
      </c>
      <c r="HC57" s="74">
        <f t="shared" si="32"/>
        <v>0</v>
      </c>
      <c r="HD57" s="53">
        <f t="shared" si="32"/>
        <v>0</v>
      </c>
      <c r="HE57" s="53">
        <f t="shared" si="32"/>
        <v>0</v>
      </c>
      <c r="HF57" s="53">
        <f t="shared" si="32"/>
        <v>0</v>
      </c>
      <c r="HG57" s="53">
        <f t="shared" si="32"/>
        <v>0</v>
      </c>
      <c r="HH57" s="53">
        <f t="shared" si="32"/>
        <v>0</v>
      </c>
      <c r="HI57" s="53">
        <f t="shared" si="32"/>
        <v>0</v>
      </c>
      <c r="HJ57" s="74">
        <f t="shared" si="32"/>
        <v>0</v>
      </c>
    </row>
    <row r="58" spans="1:218" ht="21.75" customHeight="1" x14ac:dyDescent="0.6">
      <c r="A58" s="73">
        <v>45273</v>
      </c>
      <c r="B58" s="53">
        <f t="shared" ref="B58:HJ58" si="33">SUM(B23:B26)</f>
        <v>111</v>
      </c>
      <c r="C58" s="53">
        <f t="shared" si="33"/>
        <v>23</v>
      </c>
      <c r="D58" s="53">
        <f t="shared" si="33"/>
        <v>0</v>
      </c>
      <c r="E58" s="53">
        <f t="shared" si="33"/>
        <v>0</v>
      </c>
      <c r="F58" s="53">
        <f t="shared" si="33"/>
        <v>2</v>
      </c>
      <c r="G58" s="53">
        <f t="shared" si="33"/>
        <v>1</v>
      </c>
      <c r="H58" s="74">
        <f t="shared" si="33"/>
        <v>137</v>
      </c>
      <c r="I58" s="53">
        <f t="shared" si="33"/>
        <v>228</v>
      </c>
      <c r="J58" s="53">
        <f t="shared" si="33"/>
        <v>52</v>
      </c>
      <c r="K58" s="53">
        <f t="shared" si="33"/>
        <v>0</v>
      </c>
      <c r="L58" s="53">
        <f t="shared" si="33"/>
        <v>0</v>
      </c>
      <c r="M58" s="53">
        <f t="shared" si="33"/>
        <v>0</v>
      </c>
      <c r="N58" s="53">
        <f t="shared" si="33"/>
        <v>0</v>
      </c>
      <c r="O58" s="74">
        <f t="shared" si="33"/>
        <v>280</v>
      </c>
      <c r="P58" s="53">
        <f t="shared" si="33"/>
        <v>88</v>
      </c>
      <c r="Q58" s="53">
        <f t="shared" si="33"/>
        <v>18</v>
      </c>
      <c r="R58" s="53">
        <f t="shared" si="33"/>
        <v>0</v>
      </c>
      <c r="S58" s="53">
        <f t="shared" si="33"/>
        <v>0</v>
      </c>
      <c r="T58" s="53">
        <f t="shared" si="33"/>
        <v>0</v>
      </c>
      <c r="U58" s="53">
        <f t="shared" si="33"/>
        <v>0</v>
      </c>
      <c r="V58" s="74">
        <f t="shared" si="33"/>
        <v>106</v>
      </c>
      <c r="W58" s="53">
        <f t="shared" si="33"/>
        <v>0</v>
      </c>
      <c r="X58" s="53">
        <f t="shared" si="33"/>
        <v>0</v>
      </c>
      <c r="Y58" s="53">
        <f t="shared" si="33"/>
        <v>0</v>
      </c>
      <c r="Z58" s="53">
        <f t="shared" si="33"/>
        <v>0</v>
      </c>
      <c r="AA58" s="53">
        <f t="shared" si="33"/>
        <v>0</v>
      </c>
      <c r="AB58" s="53">
        <f t="shared" si="33"/>
        <v>0</v>
      </c>
      <c r="AC58" s="74">
        <f t="shared" si="33"/>
        <v>0</v>
      </c>
      <c r="AD58" s="53">
        <f t="shared" si="33"/>
        <v>249</v>
      </c>
      <c r="AE58" s="53">
        <f t="shared" si="33"/>
        <v>92</v>
      </c>
      <c r="AF58" s="53">
        <f t="shared" si="33"/>
        <v>1</v>
      </c>
      <c r="AG58" s="53">
        <f t="shared" si="33"/>
        <v>0</v>
      </c>
      <c r="AH58" s="53">
        <f t="shared" si="33"/>
        <v>0</v>
      </c>
      <c r="AI58" s="53">
        <f t="shared" si="33"/>
        <v>0</v>
      </c>
      <c r="AJ58" s="74">
        <f t="shared" si="33"/>
        <v>342</v>
      </c>
      <c r="AK58" s="53">
        <f t="shared" si="33"/>
        <v>498</v>
      </c>
      <c r="AL58" s="53">
        <f t="shared" si="33"/>
        <v>183</v>
      </c>
      <c r="AM58" s="53">
        <f t="shared" si="33"/>
        <v>1</v>
      </c>
      <c r="AN58" s="53">
        <f t="shared" si="33"/>
        <v>1</v>
      </c>
      <c r="AO58" s="53">
        <f t="shared" si="33"/>
        <v>34</v>
      </c>
      <c r="AP58" s="53">
        <f t="shared" si="33"/>
        <v>0</v>
      </c>
      <c r="AQ58" s="74">
        <f t="shared" si="33"/>
        <v>717</v>
      </c>
      <c r="AR58" s="53">
        <f t="shared" si="33"/>
        <v>74</v>
      </c>
      <c r="AS58" s="53">
        <f t="shared" si="33"/>
        <v>24</v>
      </c>
      <c r="AT58" s="53">
        <f t="shared" si="33"/>
        <v>0</v>
      </c>
      <c r="AU58" s="53">
        <f t="shared" si="33"/>
        <v>0</v>
      </c>
      <c r="AV58" s="53">
        <f t="shared" si="33"/>
        <v>0</v>
      </c>
      <c r="AW58" s="53">
        <f t="shared" si="33"/>
        <v>0</v>
      </c>
      <c r="AX58" s="74">
        <f t="shared" si="33"/>
        <v>98</v>
      </c>
      <c r="AY58" s="53">
        <f t="shared" si="33"/>
        <v>163</v>
      </c>
      <c r="AZ58" s="53">
        <f t="shared" si="33"/>
        <v>78</v>
      </c>
      <c r="BA58" s="53">
        <f t="shared" si="33"/>
        <v>1</v>
      </c>
      <c r="BB58" s="53">
        <f t="shared" si="33"/>
        <v>0</v>
      </c>
      <c r="BC58" s="53">
        <f t="shared" si="33"/>
        <v>7</v>
      </c>
      <c r="BD58" s="53">
        <f t="shared" si="33"/>
        <v>2</v>
      </c>
      <c r="BE58" s="74">
        <f t="shared" si="33"/>
        <v>251</v>
      </c>
      <c r="BF58" s="53">
        <f t="shared" si="33"/>
        <v>21</v>
      </c>
      <c r="BG58" s="53">
        <f t="shared" si="33"/>
        <v>3</v>
      </c>
      <c r="BH58" s="53">
        <f t="shared" si="33"/>
        <v>0</v>
      </c>
      <c r="BI58" s="53">
        <f t="shared" si="33"/>
        <v>0</v>
      </c>
      <c r="BJ58" s="53">
        <f t="shared" si="33"/>
        <v>0</v>
      </c>
      <c r="BK58" s="53">
        <f t="shared" si="33"/>
        <v>0</v>
      </c>
      <c r="BL58" s="74">
        <f t="shared" si="33"/>
        <v>24</v>
      </c>
      <c r="BM58" s="53">
        <f t="shared" si="33"/>
        <v>237</v>
      </c>
      <c r="BN58" s="53">
        <f t="shared" si="33"/>
        <v>55</v>
      </c>
      <c r="BO58" s="53">
        <f t="shared" si="33"/>
        <v>0</v>
      </c>
      <c r="BP58" s="53">
        <f t="shared" si="33"/>
        <v>0</v>
      </c>
      <c r="BQ58" s="53">
        <f t="shared" si="33"/>
        <v>2</v>
      </c>
      <c r="BR58" s="53">
        <f t="shared" si="33"/>
        <v>0</v>
      </c>
      <c r="BS58" s="74">
        <f t="shared" si="33"/>
        <v>294</v>
      </c>
      <c r="BT58" s="53">
        <f t="shared" si="33"/>
        <v>231</v>
      </c>
      <c r="BU58" s="53">
        <f t="shared" si="33"/>
        <v>44</v>
      </c>
      <c r="BV58" s="53">
        <f t="shared" si="33"/>
        <v>0</v>
      </c>
      <c r="BW58" s="53">
        <f t="shared" si="33"/>
        <v>0</v>
      </c>
      <c r="BX58" s="53">
        <f t="shared" si="33"/>
        <v>0</v>
      </c>
      <c r="BY58" s="53">
        <f t="shared" si="33"/>
        <v>0</v>
      </c>
      <c r="BZ58" s="74">
        <f t="shared" si="33"/>
        <v>275</v>
      </c>
      <c r="CA58" s="53">
        <f t="shared" si="33"/>
        <v>0</v>
      </c>
      <c r="CB58" s="53">
        <f t="shared" si="33"/>
        <v>0</v>
      </c>
      <c r="CC58" s="53">
        <f t="shared" si="33"/>
        <v>0</v>
      </c>
      <c r="CD58" s="53">
        <f t="shared" si="33"/>
        <v>0</v>
      </c>
      <c r="CE58" s="53">
        <f t="shared" si="33"/>
        <v>0</v>
      </c>
      <c r="CF58" s="53">
        <f t="shared" si="33"/>
        <v>0</v>
      </c>
      <c r="CG58" s="74">
        <f t="shared" si="33"/>
        <v>0</v>
      </c>
      <c r="CH58" s="53">
        <f t="shared" si="33"/>
        <v>79</v>
      </c>
      <c r="CI58" s="53">
        <f t="shared" si="33"/>
        <v>28</v>
      </c>
      <c r="CJ58" s="53">
        <f t="shared" si="33"/>
        <v>0</v>
      </c>
      <c r="CK58" s="53">
        <f t="shared" si="33"/>
        <v>0</v>
      </c>
      <c r="CL58" s="53">
        <f t="shared" si="33"/>
        <v>1</v>
      </c>
      <c r="CM58" s="53">
        <f t="shared" si="33"/>
        <v>0</v>
      </c>
      <c r="CN58" s="74">
        <f t="shared" si="33"/>
        <v>108</v>
      </c>
      <c r="CO58" s="53">
        <f t="shared" si="33"/>
        <v>398</v>
      </c>
      <c r="CP58" s="53">
        <f t="shared" si="33"/>
        <v>94</v>
      </c>
      <c r="CQ58" s="53">
        <f t="shared" si="33"/>
        <v>1</v>
      </c>
      <c r="CR58" s="53">
        <f t="shared" si="33"/>
        <v>0</v>
      </c>
      <c r="CS58" s="53">
        <f t="shared" si="33"/>
        <v>6</v>
      </c>
      <c r="CT58" s="53">
        <f t="shared" si="33"/>
        <v>2</v>
      </c>
      <c r="CU58" s="74">
        <f t="shared" si="33"/>
        <v>501</v>
      </c>
      <c r="CV58" s="53">
        <f t="shared" si="33"/>
        <v>0</v>
      </c>
      <c r="CW58" s="53">
        <f t="shared" si="33"/>
        <v>0</v>
      </c>
      <c r="CX58" s="53">
        <f t="shared" si="33"/>
        <v>0</v>
      </c>
      <c r="CY58" s="53">
        <f t="shared" si="33"/>
        <v>0</v>
      </c>
      <c r="CZ58" s="53">
        <f t="shared" si="33"/>
        <v>0</v>
      </c>
      <c r="DA58" s="53">
        <f t="shared" si="33"/>
        <v>0</v>
      </c>
      <c r="DB58" s="74">
        <f t="shared" si="33"/>
        <v>0</v>
      </c>
      <c r="DC58" s="53">
        <f t="shared" si="33"/>
        <v>0</v>
      </c>
      <c r="DD58" s="53">
        <f t="shared" si="33"/>
        <v>0</v>
      </c>
      <c r="DE58" s="53">
        <f t="shared" si="33"/>
        <v>0</v>
      </c>
      <c r="DF58" s="53">
        <f t="shared" si="33"/>
        <v>0</v>
      </c>
      <c r="DG58" s="53">
        <f t="shared" si="33"/>
        <v>0</v>
      </c>
      <c r="DH58" s="53">
        <f t="shared" si="33"/>
        <v>0</v>
      </c>
      <c r="DI58" s="74">
        <f t="shared" si="33"/>
        <v>0</v>
      </c>
      <c r="DJ58" s="53">
        <f t="shared" si="33"/>
        <v>0</v>
      </c>
      <c r="DK58" s="53">
        <f t="shared" si="33"/>
        <v>0</v>
      </c>
      <c r="DL58" s="53">
        <f t="shared" si="33"/>
        <v>0</v>
      </c>
      <c r="DM58" s="53">
        <f t="shared" si="33"/>
        <v>0</v>
      </c>
      <c r="DN58" s="53">
        <f t="shared" si="33"/>
        <v>0</v>
      </c>
      <c r="DO58" s="53">
        <f t="shared" si="33"/>
        <v>0</v>
      </c>
      <c r="DP58" s="74">
        <f t="shared" si="33"/>
        <v>0</v>
      </c>
      <c r="DQ58" s="53">
        <f t="shared" si="33"/>
        <v>0</v>
      </c>
      <c r="DR58" s="53">
        <f t="shared" si="33"/>
        <v>0</v>
      </c>
      <c r="DS58" s="53">
        <f t="shared" si="33"/>
        <v>0</v>
      </c>
      <c r="DT58" s="53">
        <f t="shared" si="33"/>
        <v>0</v>
      </c>
      <c r="DU58" s="53">
        <f t="shared" si="33"/>
        <v>0</v>
      </c>
      <c r="DV58" s="53">
        <f t="shared" si="33"/>
        <v>0</v>
      </c>
      <c r="DW58" s="74">
        <f t="shared" si="33"/>
        <v>0</v>
      </c>
      <c r="DX58" s="53">
        <f t="shared" si="33"/>
        <v>0</v>
      </c>
      <c r="DY58" s="53">
        <f t="shared" si="33"/>
        <v>0</v>
      </c>
      <c r="DZ58" s="53">
        <f t="shared" si="33"/>
        <v>0</v>
      </c>
      <c r="EA58" s="53">
        <f t="shared" si="33"/>
        <v>0</v>
      </c>
      <c r="EB58" s="53">
        <f t="shared" si="33"/>
        <v>0</v>
      </c>
      <c r="EC58" s="53">
        <f t="shared" si="33"/>
        <v>0</v>
      </c>
      <c r="ED58" s="74">
        <f t="shared" si="33"/>
        <v>0</v>
      </c>
      <c r="EE58" s="276"/>
      <c r="EF58" s="276"/>
      <c r="EG58" s="276"/>
      <c r="EH58" s="276"/>
      <c r="EI58" s="276"/>
      <c r="EJ58" s="276"/>
      <c r="EK58" s="276"/>
      <c r="EL58" s="53">
        <f t="shared" si="33"/>
        <v>0</v>
      </c>
      <c r="EM58" s="53">
        <f t="shared" si="33"/>
        <v>0</v>
      </c>
      <c r="EN58" s="53">
        <f t="shared" si="33"/>
        <v>0</v>
      </c>
      <c r="EO58" s="53">
        <f t="shared" si="33"/>
        <v>0</v>
      </c>
      <c r="EP58" s="53">
        <f t="shared" si="33"/>
        <v>0</v>
      </c>
      <c r="EQ58" s="53">
        <f t="shared" si="33"/>
        <v>0</v>
      </c>
      <c r="ER58" s="74">
        <f t="shared" si="33"/>
        <v>0</v>
      </c>
      <c r="ES58" s="53">
        <f t="shared" si="33"/>
        <v>0</v>
      </c>
      <c r="ET58" s="53">
        <f t="shared" si="33"/>
        <v>0</v>
      </c>
      <c r="EU58" s="53">
        <f t="shared" si="33"/>
        <v>0</v>
      </c>
      <c r="EV58" s="53">
        <f t="shared" si="33"/>
        <v>0</v>
      </c>
      <c r="EW58" s="53">
        <f t="shared" si="33"/>
        <v>0</v>
      </c>
      <c r="EX58" s="53">
        <f t="shared" si="33"/>
        <v>0</v>
      </c>
      <c r="EY58" s="74">
        <f t="shared" si="33"/>
        <v>0</v>
      </c>
      <c r="EZ58" s="53">
        <f t="shared" si="33"/>
        <v>0</v>
      </c>
      <c r="FA58" s="53">
        <f t="shared" si="33"/>
        <v>0</v>
      </c>
      <c r="FB58" s="53">
        <f t="shared" si="33"/>
        <v>0</v>
      </c>
      <c r="FC58" s="53">
        <f t="shared" si="33"/>
        <v>0</v>
      </c>
      <c r="FD58" s="53">
        <f t="shared" si="33"/>
        <v>0</v>
      </c>
      <c r="FE58" s="53">
        <f t="shared" si="33"/>
        <v>0</v>
      </c>
      <c r="FF58" s="74">
        <f t="shared" si="33"/>
        <v>0</v>
      </c>
      <c r="FG58" s="276"/>
      <c r="FH58" s="276"/>
      <c r="FI58" s="276"/>
      <c r="FJ58" s="276"/>
      <c r="FK58" s="276"/>
      <c r="FL58" s="276"/>
      <c r="FM58" s="276"/>
      <c r="FN58" s="53">
        <f t="shared" si="33"/>
        <v>0</v>
      </c>
      <c r="FO58" s="53">
        <f t="shared" si="33"/>
        <v>0</v>
      </c>
      <c r="FP58" s="53">
        <f t="shared" si="33"/>
        <v>0</v>
      </c>
      <c r="FQ58" s="53">
        <f t="shared" si="33"/>
        <v>0</v>
      </c>
      <c r="FR58" s="53">
        <f t="shared" si="33"/>
        <v>0</v>
      </c>
      <c r="FS58" s="53">
        <f t="shared" si="33"/>
        <v>0</v>
      </c>
      <c r="FT58" s="74">
        <f t="shared" si="33"/>
        <v>0</v>
      </c>
      <c r="FU58" s="53">
        <f t="shared" si="33"/>
        <v>0</v>
      </c>
      <c r="FV58" s="53">
        <f t="shared" si="33"/>
        <v>0</v>
      </c>
      <c r="FW58" s="53">
        <f t="shared" si="33"/>
        <v>0</v>
      </c>
      <c r="FX58" s="53">
        <f t="shared" si="33"/>
        <v>0</v>
      </c>
      <c r="FY58" s="53">
        <f t="shared" si="33"/>
        <v>0</v>
      </c>
      <c r="FZ58" s="53">
        <f t="shared" si="33"/>
        <v>0</v>
      </c>
      <c r="GA58" s="74">
        <f t="shared" si="33"/>
        <v>0</v>
      </c>
      <c r="GB58" s="53">
        <f t="shared" si="33"/>
        <v>0</v>
      </c>
      <c r="GC58" s="53">
        <f t="shared" si="33"/>
        <v>0</v>
      </c>
      <c r="GD58" s="53">
        <f t="shared" si="33"/>
        <v>0</v>
      </c>
      <c r="GE58" s="53">
        <f t="shared" si="33"/>
        <v>0</v>
      </c>
      <c r="GF58" s="53">
        <f t="shared" si="33"/>
        <v>0</v>
      </c>
      <c r="GG58" s="53">
        <f t="shared" si="33"/>
        <v>0</v>
      </c>
      <c r="GH58" s="74">
        <f t="shared" si="33"/>
        <v>0</v>
      </c>
      <c r="GI58" s="276"/>
      <c r="GJ58" s="276"/>
      <c r="GK58" s="276"/>
      <c r="GL58" s="276"/>
      <c r="GM58" s="276"/>
      <c r="GN58" s="276"/>
      <c r="GO58" s="276"/>
      <c r="GP58" s="53">
        <f t="shared" si="33"/>
        <v>0</v>
      </c>
      <c r="GQ58" s="53">
        <f t="shared" si="33"/>
        <v>0</v>
      </c>
      <c r="GR58" s="53">
        <f t="shared" si="33"/>
        <v>0</v>
      </c>
      <c r="GS58" s="53">
        <f t="shared" si="33"/>
        <v>0</v>
      </c>
      <c r="GT58" s="53">
        <f t="shared" si="33"/>
        <v>0</v>
      </c>
      <c r="GU58" s="53">
        <f t="shared" si="33"/>
        <v>0</v>
      </c>
      <c r="GV58" s="74">
        <f t="shared" si="33"/>
        <v>0</v>
      </c>
      <c r="GW58" s="53">
        <f t="shared" si="33"/>
        <v>0</v>
      </c>
      <c r="GX58" s="53">
        <f t="shared" si="33"/>
        <v>0</v>
      </c>
      <c r="GY58" s="53">
        <f t="shared" si="33"/>
        <v>0</v>
      </c>
      <c r="GZ58" s="53">
        <f t="shared" si="33"/>
        <v>0</v>
      </c>
      <c r="HA58" s="53">
        <f t="shared" si="33"/>
        <v>0</v>
      </c>
      <c r="HB58" s="53">
        <f t="shared" si="33"/>
        <v>0</v>
      </c>
      <c r="HC58" s="74">
        <f t="shared" si="33"/>
        <v>0</v>
      </c>
      <c r="HD58" s="53">
        <f t="shared" si="33"/>
        <v>0</v>
      </c>
      <c r="HE58" s="53">
        <f t="shared" si="33"/>
        <v>0</v>
      </c>
      <c r="HF58" s="53">
        <f t="shared" si="33"/>
        <v>0</v>
      </c>
      <c r="HG58" s="53">
        <f t="shared" si="33"/>
        <v>0</v>
      </c>
      <c r="HH58" s="53">
        <f t="shared" si="33"/>
        <v>0</v>
      </c>
      <c r="HI58" s="53">
        <f t="shared" si="33"/>
        <v>0</v>
      </c>
      <c r="HJ58" s="74">
        <f t="shared" si="33"/>
        <v>0</v>
      </c>
    </row>
    <row r="59" spans="1:218" ht="21.75" customHeight="1" x14ac:dyDescent="0.6">
      <c r="A59" s="75" t="s">
        <v>173</v>
      </c>
      <c r="B59" s="53">
        <f t="shared" ref="B59:HJ59" si="34">SUM(B27:B30)</f>
        <v>108</v>
      </c>
      <c r="C59" s="53">
        <f t="shared" si="34"/>
        <v>21</v>
      </c>
      <c r="D59" s="53">
        <f t="shared" si="34"/>
        <v>0</v>
      </c>
      <c r="E59" s="53">
        <f t="shared" si="34"/>
        <v>0</v>
      </c>
      <c r="F59" s="53">
        <f t="shared" si="34"/>
        <v>1</v>
      </c>
      <c r="G59" s="53">
        <f t="shared" si="34"/>
        <v>1</v>
      </c>
      <c r="H59" s="74">
        <f t="shared" si="34"/>
        <v>131</v>
      </c>
      <c r="I59" s="53">
        <f t="shared" si="34"/>
        <v>179</v>
      </c>
      <c r="J59" s="53">
        <f t="shared" si="34"/>
        <v>57</v>
      </c>
      <c r="K59" s="53">
        <f t="shared" si="34"/>
        <v>0</v>
      </c>
      <c r="L59" s="53">
        <f t="shared" si="34"/>
        <v>0</v>
      </c>
      <c r="M59" s="53">
        <f t="shared" si="34"/>
        <v>1</v>
      </c>
      <c r="N59" s="53">
        <f t="shared" si="34"/>
        <v>1</v>
      </c>
      <c r="O59" s="74">
        <f t="shared" si="34"/>
        <v>238</v>
      </c>
      <c r="P59" s="53">
        <f t="shared" si="34"/>
        <v>86</v>
      </c>
      <c r="Q59" s="53">
        <f t="shared" si="34"/>
        <v>37</v>
      </c>
      <c r="R59" s="53">
        <f t="shared" si="34"/>
        <v>0</v>
      </c>
      <c r="S59" s="53">
        <f t="shared" si="34"/>
        <v>0</v>
      </c>
      <c r="T59" s="53">
        <f t="shared" si="34"/>
        <v>2</v>
      </c>
      <c r="U59" s="53">
        <f t="shared" si="34"/>
        <v>0</v>
      </c>
      <c r="V59" s="74">
        <f t="shared" si="34"/>
        <v>125</v>
      </c>
      <c r="W59" s="53">
        <f t="shared" si="34"/>
        <v>0</v>
      </c>
      <c r="X59" s="53">
        <f t="shared" si="34"/>
        <v>0</v>
      </c>
      <c r="Y59" s="53">
        <f t="shared" si="34"/>
        <v>0</v>
      </c>
      <c r="Z59" s="53">
        <f t="shared" si="34"/>
        <v>0</v>
      </c>
      <c r="AA59" s="53">
        <f t="shared" si="34"/>
        <v>0</v>
      </c>
      <c r="AB59" s="53">
        <f t="shared" si="34"/>
        <v>0</v>
      </c>
      <c r="AC59" s="74">
        <f t="shared" si="34"/>
        <v>0</v>
      </c>
      <c r="AD59" s="53">
        <f t="shared" si="34"/>
        <v>200</v>
      </c>
      <c r="AE59" s="53">
        <f t="shared" si="34"/>
        <v>69</v>
      </c>
      <c r="AF59" s="53">
        <f t="shared" si="34"/>
        <v>1</v>
      </c>
      <c r="AG59" s="53">
        <f t="shared" si="34"/>
        <v>0</v>
      </c>
      <c r="AH59" s="53">
        <f t="shared" si="34"/>
        <v>0</v>
      </c>
      <c r="AI59" s="53">
        <f t="shared" si="34"/>
        <v>0</v>
      </c>
      <c r="AJ59" s="74">
        <f t="shared" si="34"/>
        <v>270</v>
      </c>
      <c r="AK59" s="53">
        <f t="shared" si="34"/>
        <v>586</v>
      </c>
      <c r="AL59" s="53">
        <f t="shared" si="34"/>
        <v>207</v>
      </c>
      <c r="AM59" s="53">
        <f t="shared" si="34"/>
        <v>2</v>
      </c>
      <c r="AN59" s="53">
        <f t="shared" si="34"/>
        <v>1</v>
      </c>
      <c r="AO59" s="53">
        <f t="shared" si="34"/>
        <v>25</v>
      </c>
      <c r="AP59" s="53">
        <f t="shared" si="34"/>
        <v>1</v>
      </c>
      <c r="AQ59" s="74">
        <f t="shared" si="34"/>
        <v>822</v>
      </c>
      <c r="AR59" s="53">
        <f t="shared" si="34"/>
        <v>74</v>
      </c>
      <c r="AS59" s="53">
        <f t="shared" si="34"/>
        <v>21</v>
      </c>
      <c r="AT59" s="53">
        <f t="shared" si="34"/>
        <v>0</v>
      </c>
      <c r="AU59" s="53">
        <f t="shared" si="34"/>
        <v>0</v>
      </c>
      <c r="AV59" s="53">
        <f t="shared" si="34"/>
        <v>1</v>
      </c>
      <c r="AW59" s="53">
        <f t="shared" si="34"/>
        <v>0</v>
      </c>
      <c r="AX59" s="74">
        <f t="shared" si="34"/>
        <v>96</v>
      </c>
      <c r="AY59" s="53">
        <f t="shared" si="34"/>
        <v>187</v>
      </c>
      <c r="AZ59" s="53">
        <f t="shared" si="34"/>
        <v>76</v>
      </c>
      <c r="BA59" s="53">
        <f t="shared" si="34"/>
        <v>0</v>
      </c>
      <c r="BB59" s="53">
        <f t="shared" si="34"/>
        <v>0</v>
      </c>
      <c r="BC59" s="53">
        <f t="shared" si="34"/>
        <v>6</v>
      </c>
      <c r="BD59" s="53">
        <f t="shared" si="34"/>
        <v>1</v>
      </c>
      <c r="BE59" s="74">
        <f t="shared" si="34"/>
        <v>270</v>
      </c>
      <c r="BF59" s="53">
        <f t="shared" si="34"/>
        <v>18</v>
      </c>
      <c r="BG59" s="53">
        <f t="shared" si="34"/>
        <v>1</v>
      </c>
      <c r="BH59" s="53">
        <f t="shared" si="34"/>
        <v>0</v>
      </c>
      <c r="BI59" s="53">
        <f t="shared" si="34"/>
        <v>0</v>
      </c>
      <c r="BJ59" s="53">
        <f t="shared" si="34"/>
        <v>1</v>
      </c>
      <c r="BK59" s="53">
        <f t="shared" si="34"/>
        <v>0</v>
      </c>
      <c r="BL59" s="74">
        <f t="shared" si="34"/>
        <v>20</v>
      </c>
      <c r="BM59" s="53">
        <f t="shared" si="34"/>
        <v>218</v>
      </c>
      <c r="BN59" s="53">
        <f t="shared" si="34"/>
        <v>52</v>
      </c>
      <c r="BO59" s="53">
        <f t="shared" si="34"/>
        <v>0</v>
      </c>
      <c r="BP59" s="53">
        <f t="shared" si="34"/>
        <v>0</v>
      </c>
      <c r="BQ59" s="53">
        <f t="shared" si="34"/>
        <v>3</v>
      </c>
      <c r="BR59" s="53">
        <f t="shared" si="34"/>
        <v>0</v>
      </c>
      <c r="BS59" s="74">
        <f t="shared" si="34"/>
        <v>273</v>
      </c>
      <c r="BT59" s="53">
        <f t="shared" si="34"/>
        <v>268</v>
      </c>
      <c r="BU59" s="53">
        <f t="shared" si="34"/>
        <v>43</v>
      </c>
      <c r="BV59" s="53">
        <f t="shared" si="34"/>
        <v>0</v>
      </c>
      <c r="BW59" s="53">
        <f t="shared" si="34"/>
        <v>0</v>
      </c>
      <c r="BX59" s="53">
        <f t="shared" si="34"/>
        <v>0</v>
      </c>
      <c r="BY59" s="53">
        <f t="shared" si="34"/>
        <v>0</v>
      </c>
      <c r="BZ59" s="74">
        <f t="shared" si="34"/>
        <v>311</v>
      </c>
      <c r="CA59" s="53">
        <f t="shared" si="34"/>
        <v>0</v>
      </c>
      <c r="CB59" s="53">
        <f t="shared" si="34"/>
        <v>0</v>
      </c>
      <c r="CC59" s="53">
        <f t="shared" si="34"/>
        <v>0</v>
      </c>
      <c r="CD59" s="53">
        <f t="shared" si="34"/>
        <v>0</v>
      </c>
      <c r="CE59" s="53">
        <f t="shared" si="34"/>
        <v>0</v>
      </c>
      <c r="CF59" s="53">
        <f t="shared" si="34"/>
        <v>0</v>
      </c>
      <c r="CG59" s="74">
        <f t="shared" si="34"/>
        <v>0</v>
      </c>
      <c r="CH59" s="53">
        <f t="shared" si="34"/>
        <v>85</v>
      </c>
      <c r="CI59" s="53">
        <f t="shared" si="34"/>
        <v>26</v>
      </c>
      <c r="CJ59" s="53">
        <f t="shared" si="34"/>
        <v>0</v>
      </c>
      <c r="CK59" s="53">
        <f t="shared" si="34"/>
        <v>0</v>
      </c>
      <c r="CL59" s="53">
        <f t="shared" si="34"/>
        <v>1</v>
      </c>
      <c r="CM59" s="53">
        <f t="shared" si="34"/>
        <v>1</v>
      </c>
      <c r="CN59" s="74">
        <f t="shared" si="34"/>
        <v>113</v>
      </c>
      <c r="CO59" s="53">
        <f t="shared" si="34"/>
        <v>405</v>
      </c>
      <c r="CP59" s="53">
        <f t="shared" si="34"/>
        <v>94</v>
      </c>
      <c r="CQ59" s="53">
        <f t="shared" si="34"/>
        <v>2</v>
      </c>
      <c r="CR59" s="53">
        <f t="shared" si="34"/>
        <v>0</v>
      </c>
      <c r="CS59" s="53">
        <f t="shared" si="34"/>
        <v>7</v>
      </c>
      <c r="CT59" s="53">
        <f t="shared" si="34"/>
        <v>3</v>
      </c>
      <c r="CU59" s="74">
        <f t="shared" si="34"/>
        <v>511</v>
      </c>
      <c r="CV59" s="53">
        <f t="shared" si="34"/>
        <v>0</v>
      </c>
      <c r="CW59" s="53">
        <f t="shared" si="34"/>
        <v>0</v>
      </c>
      <c r="CX59" s="53">
        <f t="shared" si="34"/>
        <v>0</v>
      </c>
      <c r="CY59" s="53">
        <f t="shared" si="34"/>
        <v>0</v>
      </c>
      <c r="CZ59" s="53">
        <f t="shared" si="34"/>
        <v>0</v>
      </c>
      <c r="DA59" s="53">
        <f t="shared" si="34"/>
        <v>0</v>
      </c>
      <c r="DB59" s="74">
        <f t="shared" si="34"/>
        <v>0</v>
      </c>
      <c r="DC59" s="53">
        <f t="shared" si="34"/>
        <v>0</v>
      </c>
      <c r="DD59" s="53">
        <f t="shared" si="34"/>
        <v>0</v>
      </c>
      <c r="DE59" s="53">
        <f t="shared" si="34"/>
        <v>0</v>
      </c>
      <c r="DF59" s="53">
        <f t="shared" si="34"/>
        <v>0</v>
      </c>
      <c r="DG59" s="53">
        <f t="shared" si="34"/>
        <v>0</v>
      </c>
      <c r="DH59" s="53">
        <f t="shared" si="34"/>
        <v>0</v>
      </c>
      <c r="DI59" s="74">
        <f t="shared" si="34"/>
        <v>0</v>
      </c>
      <c r="DJ59" s="53">
        <f t="shared" si="34"/>
        <v>0</v>
      </c>
      <c r="DK59" s="53">
        <f t="shared" si="34"/>
        <v>0</v>
      </c>
      <c r="DL59" s="53">
        <f t="shared" si="34"/>
        <v>0</v>
      </c>
      <c r="DM59" s="53">
        <f t="shared" si="34"/>
        <v>0</v>
      </c>
      <c r="DN59" s="53">
        <f t="shared" si="34"/>
        <v>0</v>
      </c>
      <c r="DO59" s="53">
        <f t="shared" si="34"/>
        <v>0</v>
      </c>
      <c r="DP59" s="74">
        <f t="shared" si="34"/>
        <v>0</v>
      </c>
      <c r="DQ59" s="53">
        <f t="shared" si="34"/>
        <v>0</v>
      </c>
      <c r="DR59" s="53">
        <f t="shared" si="34"/>
        <v>0</v>
      </c>
      <c r="DS59" s="53">
        <f t="shared" si="34"/>
        <v>0</v>
      </c>
      <c r="DT59" s="53">
        <f t="shared" si="34"/>
        <v>0</v>
      </c>
      <c r="DU59" s="53">
        <f t="shared" si="34"/>
        <v>0</v>
      </c>
      <c r="DV59" s="53">
        <f t="shared" si="34"/>
        <v>0</v>
      </c>
      <c r="DW59" s="74">
        <f t="shared" si="34"/>
        <v>0</v>
      </c>
      <c r="DX59" s="53">
        <f t="shared" si="34"/>
        <v>0</v>
      </c>
      <c r="DY59" s="53">
        <f t="shared" si="34"/>
        <v>0</v>
      </c>
      <c r="DZ59" s="53">
        <f t="shared" si="34"/>
        <v>0</v>
      </c>
      <c r="EA59" s="53">
        <f t="shared" si="34"/>
        <v>0</v>
      </c>
      <c r="EB59" s="53">
        <f t="shared" si="34"/>
        <v>0</v>
      </c>
      <c r="EC59" s="53">
        <f t="shared" si="34"/>
        <v>0</v>
      </c>
      <c r="ED59" s="74">
        <f t="shared" si="34"/>
        <v>0</v>
      </c>
      <c r="EE59" s="276"/>
      <c r="EF59" s="276"/>
      <c r="EG59" s="276"/>
      <c r="EH59" s="276"/>
      <c r="EI59" s="276"/>
      <c r="EJ59" s="276"/>
      <c r="EK59" s="276"/>
      <c r="EL59" s="53">
        <f t="shared" si="34"/>
        <v>0</v>
      </c>
      <c r="EM59" s="53">
        <f t="shared" si="34"/>
        <v>0</v>
      </c>
      <c r="EN59" s="53">
        <f t="shared" si="34"/>
        <v>0</v>
      </c>
      <c r="EO59" s="53">
        <f t="shared" si="34"/>
        <v>0</v>
      </c>
      <c r="EP59" s="53">
        <f t="shared" si="34"/>
        <v>0</v>
      </c>
      <c r="EQ59" s="53">
        <f t="shared" si="34"/>
        <v>0</v>
      </c>
      <c r="ER59" s="74">
        <f t="shared" si="34"/>
        <v>0</v>
      </c>
      <c r="ES59" s="53">
        <f t="shared" si="34"/>
        <v>0</v>
      </c>
      <c r="ET59" s="53">
        <f t="shared" si="34"/>
        <v>0</v>
      </c>
      <c r="EU59" s="53">
        <f t="shared" si="34"/>
        <v>0</v>
      </c>
      <c r="EV59" s="53">
        <f t="shared" si="34"/>
        <v>0</v>
      </c>
      <c r="EW59" s="53">
        <f t="shared" si="34"/>
        <v>0</v>
      </c>
      <c r="EX59" s="53">
        <f t="shared" si="34"/>
        <v>0</v>
      </c>
      <c r="EY59" s="74">
        <f t="shared" si="34"/>
        <v>0</v>
      </c>
      <c r="EZ59" s="53">
        <f t="shared" si="34"/>
        <v>0</v>
      </c>
      <c r="FA59" s="53">
        <f t="shared" si="34"/>
        <v>0</v>
      </c>
      <c r="FB59" s="53">
        <f t="shared" si="34"/>
        <v>0</v>
      </c>
      <c r="FC59" s="53">
        <f t="shared" si="34"/>
        <v>0</v>
      </c>
      <c r="FD59" s="53">
        <f t="shared" si="34"/>
        <v>0</v>
      </c>
      <c r="FE59" s="53">
        <f t="shared" si="34"/>
        <v>0</v>
      </c>
      <c r="FF59" s="74">
        <f t="shared" si="34"/>
        <v>0</v>
      </c>
      <c r="FG59" s="276"/>
      <c r="FH59" s="276"/>
      <c r="FI59" s="276"/>
      <c r="FJ59" s="276"/>
      <c r="FK59" s="276"/>
      <c r="FL59" s="276"/>
      <c r="FM59" s="276"/>
      <c r="FN59" s="53">
        <f t="shared" si="34"/>
        <v>0</v>
      </c>
      <c r="FO59" s="53">
        <f t="shared" si="34"/>
        <v>0</v>
      </c>
      <c r="FP59" s="53">
        <f t="shared" si="34"/>
        <v>0</v>
      </c>
      <c r="FQ59" s="53">
        <f t="shared" si="34"/>
        <v>0</v>
      </c>
      <c r="FR59" s="53">
        <f t="shared" si="34"/>
        <v>0</v>
      </c>
      <c r="FS59" s="53">
        <f t="shared" si="34"/>
        <v>0</v>
      </c>
      <c r="FT59" s="74">
        <f t="shared" si="34"/>
        <v>0</v>
      </c>
      <c r="FU59" s="53">
        <f t="shared" si="34"/>
        <v>0</v>
      </c>
      <c r="FV59" s="53">
        <f t="shared" si="34"/>
        <v>0</v>
      </c>
      <c r="FW59" s="53">
        <f t="shared" si="34"/>
        <v>0</v>
      </c>
      <c r="FX59" s="53">
        <f t="shared" si="34"/>
        <v>0</v>
      </c>
      <c r="FY59" s="53">
        <f t="shared" si="34"/>
        <v>0</v>
      </c>
      <c r="FZ59" s="53">
        <f t="shared" si="34"/>
        <v>0</v>
      </c>
      <c r="GA59" s="74">
        <f t="shared" si="34"/>
        <v>0</v>
      </c>
      <c r="GB59" s="53">
        <f t="shared" si="34"/>
        <v>0</v>
      </c>
      <c r="GC59" s="53">
        <f t="shared" si="34"/>
        <v>0</v>
      </c>
      <c r="GD59" s="53">
        <f t="shared" si="34"/>
        <v>0</v>
      </c>
      <c r="GE59" s="53">
        <f t="shared" si="34"/>
        <v>0</v>
      </c>
      <c r="GF59" s="53">
        <f t="shared" si="34"/>
        <v>0</v>
      </c>
      <c r="GG59" s="53">
        <f t="shared" si="34"/>
        <v>0</v>
      </c>
      <c r="GH59" s="74">
        <f t="shared" si="34"/>
        <v>0</v>
      </c>
      <c r="GI59" s="276"/>
      <c r="GJ59" s="276"/>
      <c r="GK59" s="276"/>
      <c r="GL59" s="276"/>
      <c r="GM59" s="276"/>
      <c r="GN59" s="276"/>
      <c r="GO59" s="276"/>
      <c r="GP59" s="53">
        <f t="shared" si="34"/>
        <v>0</v>
      </c>
      <c r="GQ59" s="53">
        <f t="shared" si="34"/>
        <v>0</v>
      </c>
      <c r="GR59" s="53">
        <f t="shared" si="34"/>
        <v>0</v>
      </c>
      <c r="GS59" s="53">
        <f t="shared" si="34"/>
        <v>0</v>
      </c>
      <c r="GT59" s="53">
        <f t="shared" si="34"/>
        <v>0</v>
      </c>
      <c r="GU59" s="53">
        <f t="shared" si="34"/>
        <v>0</v>
      </c>
      <c r="GV59" s="74">
        <f t="shared" si="34"/>
        <v>0</v>
      </c>
      <c r="GW59" s="53">
        <f t="shared" si="34"/>
        <v>0</v>
      </c>
      <c r="GX59" s="53">
        <f t="shared" si="34"/>
        <v>0</v>
      </c>
      <c r="GY59" s="53">
        <f t="shared" si="34"/>
        <v>0</v>
      </c>
      <c r="GZ59" s="53">
        <f t="shared" si="34"/>
        <v>0</v>
      </c>
      <c r="HA59" s="53">
        <f t="shared" si="34"/>
        <v>0</v>
      </c>
      <c r="HB59" s="53">
        <f t="shared" si="34"/>
        <v>0</v>
      </c>
      <c r="HC59" s="74">
        <f t="shared" si="34"/>
        <v>0</v>
      </c>
      <c r="HD59" s="53">
        <f t="shared" si="34"/>
        <v>0</v>
      </c>
      <c r="HE59" s="53">
        <f t="shared" si="34"/>
        <v>0</v>
      </c>
      <c r="HF59" s="53">
        <f t="shared" si="34"/>
        <v>0</v>
      </c>
      <c r="HG59" s="53">
        <f t="shared" si="34"/>
        <v>0</v>
      </c>
      <c r="HH59" s="53">
        <f t="shared" si="34"/>
        <v>0</v>
      </c>
      <c r="HI59" s="53">
        <f t="shared" si="34"/>
        <v>0</v>
      </c>
      <c r="HJ59" s="74">
        <f t="shared" si="34"/>
        <v>0</v>
      </c>
    </row>
    <row r="60" spans="1:218" ht="21.75" customHeight="1" x14ac:dyDescent="0.6">
      <c r="A60" s="75" t="s">
        <v>174</v>
      </c>
      <c r="B60" s="53">
        <f t="shared" ref="B60:HJ60" si="35">SUM(B31:B34)</f>
        <v>159</v>
      </c>
      <c r="C60" s="53">
        <f t="shared" si="35"/>
        <v>35</v>
      </c>
      <c r="D60" s="53">
        <f t="shared" si="35"/>
        <v>0</v>
      </c>
      <c r="E60" s="53">
        <f t="shared" si="35"/>
        <v>0</v>
      </c>
      <c r="F60" s="53">
        <f t="shared" si="35"/>
        <v>2</v>
      </c>
      <c r="G60" s="53">
        <f t="shared" si="35"/>
        <v>1</v>
      </c>
      <c r="H60" s="74">
        <f t="shared" si="35"/>
        <v>197</v>
      </c>
      <c r="I60" s="53">
        <f t="shared" si="35"/>
        <v>172</v>
      </c>
      <c r="J60" s="53">
        <f t="shared" si="35"/>
        <v>37</v>
      </c>
      <c r="K60" s="53">
        <f t="shared" si="35"/>
        <v>0</v>
      </c>
      <c r="L60" s="53">
        <f t="shared" si="35"/>
        <v>0</v>
      </c>
      <c r="M60" s="53">
        <f t="shared" si="35"/>
        <v>1</v>
      </c>
      <c r="N60" s="53">
        <f t="shared" si="35"/>
        <v>0</v>
      </c>
      <c r="O60" s="74">
        <f t="shared" si="35"/>
        <v>210</v>
      </c>
      <c r="P60" s="53">
        <f t="shared" si="35"/>
        <v>76</v>
      </c>
      <c r="Q60" s="53">
        <f t="shared" si="35"/>
        <v>35</v>
      </c>
      <c r="R60" s="53">
        <f t="shared" si="35"/>
        <v>0</v>
      </c>
      <c r="S60" s="53">
        <f t="shared" si="35"/>
        <v>0</v>
      </c>
      <c r="T60" s="53">
        <f t="shared" si="35"/>
        <v>1</v>
      </c>
      <c r="U60" s="53">
        <f t="shared" si="35"/>
        <v>0</v>
      </c>
      <c r="V60" s="74">
        <f t="shared" si="35"/>
        <v>112</v>
      </c>
      <c r="W60" s="53">
        <f t="shared" si="35"/>
        <v>0</v>
      </c>
      <c r="X60" s="53">
        <f t="shared" si="35"/>
        <v>0</v>
      </c>
      <c r="Y60" s="53">
        <f t="shared" si="35"/>
        <v>0</v>
      </c>
      <c r="Z60" s="53">
        <f t="shared" si="35"/>
        <v>0</v>
      </c>
      <c r="AA60" s="53">
        <f t="shared" si="35"/>
        <v>0</v>
      </c>
      <c r="AB60" s="53">
        <f t="shared" si="35"/>
        <v>0</v>
      </c>
      <c r="AC60" s="74">
        <f t="shared" si="35"/>
        <v>0</v>
      </c>
      <c r="AD60" s="53">
        <f t="shared" si="35"/>
        <v>183</v>
      </c>
      <c r="AE60" s="53">
        <f t="shared" si="35"/>
        <v>63</v>
      </c>
      <c r="AF60" s="53">
        <f t="shared" si="35"/>
        <v>0</v>
      </c>
      <c r="AG60" s="53">
        <f t="shared" si="35"/>
        <v>0</v>
      </c>
      <c r="AH60" s="53">
        <f t="shared" si="35"/>
        <v>1</v>
      </c>
      <c r="AI60" s="53">
        <f t="shared" si="35"/>
        <v>0</v>
      </c>
      <c r="AJ60" s="74">
        <f t="shared" si="35"/>
        <v>247</v>
      </c>
      <c r="AK60" s="53">
        <f t="shared" si="35"/>
        <v>637</v>
      </c>
      <c r="AL60" s="53">
        <f t="shared" si="35"/>
        <v>189</v>
      </c>
      <c r="AM60" s="53">
        <f t="shared" si="35"/>
        <v>1</v>
      </c>
      <c r="AN60" s="53">
        <f t="shared" si="35"/>
        <v>2</v>
      </c>
      <c r="AO60" s="53">
        <f t="shared" si="35"/>
        <v>23</v>
      </c>
      <c r="AP60" s="53">
        <f t="shared" si="35"/>
        <v>1</v>
      </c>
      <c r="AQ60" s="74">
        <f t="shared" si="35"/>
        <v>853</v>
      </c>
      <c r="AR60" s="53">
        <f t="shared" si="35"/>
        <v>80</v>
      </c>
      <c r="AS60" s="53">
        <f t="shared" si="35"/>
        <v>29</v>
      </c>
      <c r="AT60" s="53">
        <f t="shared" si="35"/>
        <v>0</v>
      </c>
      <c r="AU60" s="53">
        <f t="shared" si="35"/>
        <v>0</v>
      </c>
      <c r="AV60" s="53">
        <f t="shared" si="35"/>
        <v>1</v>
      </c>
      <c r="AW60" s="53">
        <f t="shared" si="35"/>
        <v>0</v>
      </c>
      <c r="AX60" s="74">
        <f t="shared" si="35"/>
        <v>110</v>
      </c>
      <c r="AY60" s="53">
        <f t="shared" si="35"/>
        <v>168</v>
      </c>
      <c r="AZ60" s="53">
        <f t="shared" si="35"/>
        <v>50</v>
      </c>
      <c r="BA60" s="53">
        <f t="shared" si="35"/>
        <v>1</v>
      </c>
      <c r="BB60" s="53">
        <f t="shared" si="35"/>
        <v>0</v>
      </c>
      <c r="BC60" s="53">
        <f t="shared" si="35"/>
        <v>4</v>
      </c>
      <c r="BD60" s="53">
        <f t="shared" si="35"/>
        <v>1</v>
      </c>
      <c r="BE60" s="74">
        <f t="shared" si="35"/>
        <v>224</v>
      </c>
      <c r="BF60" s="53">
        <f t="shared" si="35"/>
        <v>15</v>
      </c>
      <c r="BG60" s="53">
        <f t="shared" si="35"/>
        <v>3</v>
      </c>
      <c r="BH60" s="53">
        <f t="shared" si="35"/>
        <v>0</v>
      </c>
      <c r="BI60" s="53">
        <f t="shared" si="35"/>
        <v>0</v>
      </c>
      <c r="BJ60" s="53">
        <f t="shared" si="35"/>
        <v>2</v>
      </c>
      <c r="BK60" s="53">
        <f t="shared" si="35"/>
        <v>0</v>
      </c>
      <c r="BL60" s="74">
        <f t="shared" si="35"/>
        <v>20</v>
      </c>
      <c r="BM60" s="53">
        <f t="shared" si="35"/>
        <v>232</v>
      </c>
      <c r="BN60" s="53">
        <f t="shared" si="35"/>
        <v>56</v>
      </c>
      <c r="BO60" s="53">
        <f t="shared" si="35"/>
        <v>0</v>
      </c>
      <c r="BP60" s="53">
        <f t="shared" si="35"/>
        <v>0</v>
      </c>
      <c r="BQ60" s="53">
        <f t="shared" si="35"/>
        <v>2</v>
      </c>
      <c r="BR60" s="53">
        <f t="shared" si="35"/>
        <v>0</v>
      </c>
      <c r="BS60" s="74">
        <f t="shared" si="35"/>
        <v>290</v>
      </c>
      <c r="BT60" s="53">
        <f t="shared" si="35"/>
        <v>268</v>
      </c>
      <c r="BU60" s="53">
        <f t="shared" si="35"/>
        <v>43</v>
      </c>
      <c r="BV60" s="53">
        <f t="shared" si="35"/>
        <v>0</v>
      </c>
      <c r="BW60" s="53">
        <f t="shared" si="35"/>
        <v>0</v>
      </c>
      <c r="BX60" s="53">
        <f t="shared" si="35"/>
        <v>0</v>
      </c>
      <c r="BY60" s="53">
        <f t="shared" si="35"/>
        <v>0</v>
      </c>
      <c r="BZ60" s="74">
        <f t="shared" si="35"/>
        <v>311</v>
      </c>
      <c r="CA60" s="53">
        <f t="shared" si="35"/>
        <v>0</v>
      </c>
      <c r="CB60" s="53">
        <f t="shared" si="35"/>
        <v>0</v>
      </c>
      <c r="CC60" s="53">
        <f t="shared" si="35"/>
        <v>0</v>
      </c>
      <c r="CD60" s="53">
        <f t="shared" si="35"/>
        <v>0</v>
      </c>
      <c r="CE60" s="53">
        <f t="shared" si="35"/>
        <v>0</v>
      </c>
      <c r="CF60" s="53">
        <f t="shared" si="35"/>
        <v>0</v>
      </c>
      <c r="CG60" s="74">
        <f t="shared" si="35"/>
        <v>0</v>
      </c>
      <c r="CH60" s="53">
        <f t="shared" si="35"/>
        <v>99</v>
      </c>
      <c r="CI60" s="53">
        <f t="shared" si="35"/>
        <v>28</v>
      </c>
      <c r="CJ60" s="53">
        <f t="shared" si="35"/>
        <v>0</v>
      </c>
      <c r="CK60" s="53">
        <f t="shared" si="35"/>
        <v>0</v>
      </c>
      <c r="CL60" s="53">
        <f t="shared" si="35"/>
        <v>2</v>
      </c>
      <c r="CM60" s="53">
        <f t="shared" si="35"/>
        <v>0</v>
      </c>
      <c r="CN60" s="74">
        <f t="shared" si="35"/>
        <v>129</v>
      </c>
      <c r="CO60" s="53">
        <f t="shared" si="35"/>
        <v>415</v>
      </c>
      <c r="CP60" s="53">
        <f t="shared" si="35"/>
        <v>85</v>
      </c>
      <c r="CQ60" s="53">
        <f t="shared" si="35"/>
        <v>2</v>
      </c>
      <c r="CR60" s="53">
        <f t="shared" si="35"/>
        <v>2</v>
      </c>
      <c r="CS60" s="53">
        <f t="shared" si="35"/>
        <v>2</v>
      </c>
      <c r="CT60" s="53">
        <f t="shared" si="35"/>
        <v>1</v>
      </c>
      <c r="CU60" s="74">
        <f t="shared" si="35"/>
        <v>507</v>
      </c>
      <c r="CV60" s="53">
        <f t="shared" si="35"/>
        <v>0</v>
      </c>
      <c r="CW60" s="53">
        <f t="shared" si="35"/>
        <v>0</v>
      </c>
      <c r="CX60" s="53">
        <f t="shared" si="35"/>
        <v>0</v>
      </c>
      <c r="CY60" s="53">
        <f t="shared" si="35"/>
        <v>0</v>
      </c>
      <c r="CZ60" s="53">
        <f t="shared" si="35"/>
        <v>0</v>
      </c>
      <c r="DA60" s="53">
        <f t="shared" si="35"/>
        <v>0</v>
      </c>
      <c r="DB60" s="74">
        <f t="shared" si="35"/>
        <v>0</v>
      </c>
      <c r="DC60" s="53">
        <f t="shared" si="35"/>
        <v>0</v>
      </c>
      <c r="DD60" s="53">
        <f t="shared" si="35"/>
        <v>0</v>
      </c>
      <c r="DE60" s="53">
        <f t="shared" si="35"/>
        <v>0</v>
      </c>
      <c r="DF60" s="53">
        <f t="shared" si="35"/>
        <v>0</v>
      </c>
      <c r="DG60" s="53">
        <f t="shared" si="35"/>
        <v>0</v>
      </c>
      <c r="DH60" s="53">
        <f t="shared" si="35"/>
        <v>0</v>
      </c>
      <c r="DI60" s="74">
        <f t="shared" si="35"/>
        <v>0</v>
      </c>
      <c r="DJ60" s="53">
        <f t="shared" si="35"/>
        <v>0</v>
      </c>
      <c r="DK60" s="53">
        <f t="shared" si="35"/>
        <v>0</v>
      </c>
      <c r="DL60" s="53">
        <f t="shared" si="35"/>
        <v>0</v>
      </c>
      <c r="DM60" s="53">
        <f t="shared" si="35"/>
        <v>0</v>
      </c>
      <c r="DN60" s="53">
        <f t="shared" si="35"/>
        <v>0</v>
      </c>
      <c r="DO60" s="53">
        <f t="shared" si="35"/>
        <v>0</v>
      </c>
      <c r="DP60" s="74">
        <f t="shared" si="35"/>
        <v>0</v>
      </c>
      <c r="DQ60" s="53">
        <f t="shared" si="35"/>
        <v>0</v>
      </c>
      <c r="DR60" s="53">
        <f t="shared" si="35"/>
        <v>0</v>
      </c>
      <c r="DS60" s="53">
        <f t="shared" si="35"/>
        <v>0</v>
      </c>
      <c r="DT60" s="53">
        <f t="shared" si="35"/>
        <v>0</v>
      </c>
      <c r="DU60" s="53">
        <f t="shared" si="35"/>
        <v>0</v>
      </c>
      <c r="DV60" s="53">
        <f t="shared" si="35"/>
        <v>0</v>
      </c>
      <c r="DW60" s="74">
        <f t="shared" si="35"/>
        <v>0</v>
      </c>
      <c r="DX60" s="53">
        <f t="shared" si="35"/>
        <v>0</v>
      </c>
      <c r="DY60" s="53">
        <f t="shared" si="35"/>
        <v>0</v>
      </c>
      <c r="DZ60" s="53">
        <f t="shared" si="35"/>
        <v>0</v>
      </c>
      <c r="EA60" s="53">
        <f t="shared" si="35"/>
        <v>0</v>
      </c>
      <c r="EB60" s="53">
        <f t="shared" si="35"/>
        <v>0</v>
      </c>
      <c r="EC60" s="53">
        <f t="shared" si="35"/>
        <v>0</v>
      </c>
      <c r="ED60" s="74">
        <f t="shared" si="35"/>
        <v>0</v>
      </c>
      <c r="EE60" s="276"/>
      <c r="EF60" s="276"/>
      <c r="EG60" s="276"/>
      <c r="EH60" s="276"/>
      <c r="EI60" s="276"/>
      <c r="EJ60" s="276"/>
      <c r="EK60" s="276"/>
      <c r="EL60" s="53">
        <f t="shared" si="35"/>
        <v>0</v>
      </c>
      <c r="EM60" s="53">
        <f t="shared" si="35"/>
        <v>0</v>
      </c>
      <c r="EN60" s="53">
        <f t="shared" si="35"/>
        <v>0</v>
      </c>
      <c r="EO60" s="53">
        <f t="shared" si="35"/>
        <v>0</v>
      </c>
      <c r="EP60" s="53">
        <f t="shared" si="35"/>
        <v>0</v>
      </c>
      <c r="EQ60" s="53">
        <f t="shared" si="35"/>
        <v>0</v>
      </c>
      <c r="ER60" s="74">
        <f t="shared" si="35"/>
        <v>0</v>
      </c>
      <c r="ES60" s="53">
        <f t="shared" si="35"/>
        <v>0</v>
      </c>
      <c r="ET60" s="53">
        <f t="shared" si="35"/>
        <v>0</v>
      </c>
      <c r="EU60" s="53">
        <f t="shared" si="35"/>
        <v>0</v>
      </c>
      <c r="EV60" s="53">
        <f t="shared" si="35"/>
        <v>0</v>
      </c>
      <c r="EW60" s="53">
        <f t="shared" si="35"/>
        <v>0</v>
      </c>
      <c r="EX60" s="53">
        <f t="shared" si="35"/>
        <v>0</v>
      </c>
      <c r="EY60" s="74">
        <f t="shared" si="35"/>
        <v>0</v>
      </c>
      <c r="EZ60" s="53">
        <f t="shared" si="35"/>
        <v>0</v>
      </c>
      <c r="FA60" s="53">
        <f t="shared" si="35"/>
        <v>0</v>
      </c>
      <c r="FB60" s="53">
        <f t="shared" si="35"/>
        <v>0</v>
      </c>
      <c r="FC60" s="53">
        <f t="shared" si="35"/>
        <v>0</v>
      </c>
      <c r="FD60" s="53">
        <f t="shared" si="35"/>
        <v>0</v>
      </c>
      <c r="FE60" s="53">
        <f t="shared" si="35"/>
        <v>0</v>
      </c>
      <c r="FF60" s="74">
        <f t="shared" si="35"/>
        <v>0</v>
      </c>
      <c r="FG60" s="276"/>
      <c r="FH60" s="276"/>
      <c r="FI60" s="276"/>
      <c r="FJ60" s="276"/>
      <c r="FK60" s="276"/>
      <c r="FL60" s="276"/>
      <c r="FM60" s="276"/>
      <c r="FN60" s="53">
        <f t="shared" si="35"/>
        <v>0</v>
      </c>
      <c r="FO60" s="53">
        <f t="shared" si="35"/>
        <v>0</v>
      </c>
      <c r="FP60" s="53">
        <f t="shared" si="35"/>
        <v>0</v>
      </c>
      <c r="FQ60" s="53">
        <f t="shared" si="35"/>
        <v>0</v>
      </c>
      <c r="FR60" s="53">
        <f t="shared" si="35"/>
        <v>0</v>
      </c>
      <c r="FS60" s="53">
        <f t="shared" si="35"/>
        <v>0</v>
      </c>
      <c r="FT60" s="74">
        <f t="shared" si="35"/>
        <v>0</v>
      </c>
      <c r="FU60" s="53">
        <f t="shared" si="35"/>
        <v>0</v>
      </c>
      <c r="FV60" s="53">
        <f t="shared" si="35"/>
        <v>0</v>
      </c>
      <c r="FW60" s="53">
        <f t="shared" si="35"/>
        <v>0</v>
      </c>
      <c r="FX60" s="53">
        <f t="shared" si="35"/>
        <v>0</v>
      </c>
      <c r="FY60" s="53">
        <f t="shared" si="35"/>
        <v>0</v>
      </c>
      <c r="FZ60" s="53">
        <f t="shared" si="35"/>
        <v>0</v>
      </c>
      <c r="GA60" s="74">
        <f t="shared" si="35"/>
        <v>0</v>
      </c>
      <c r="GB60" s="53">
        <f t="shared" si="35"/>
        <v>0</v>
      </c>
      <c r="GC60" s="53">
        <f t="shared" si="35"/>
        <v>0</v>
      </c>
      <c r="GD60" s="53">
        <f t="shared" si="35"/>
        <v>0</v>
      </c>
      <c r="GE60" s="53">
        <f t="shared" si="35"/>
        <v>0</v>
      </c>
      <c r="GF60" s="53">
        <f t="shared" si="35"/>
        <v>0</v>
      </c>
      <c r="GG60" s="53">
        <f t="shared" si="35"/>
        <v>0</v>
      </c>
      <c r="GH60" s="74">
        <f t="shared" si="35"/>
        <v>0</v>
      </c>
      <c r="GI60" s="276"/>
      <c r="GJ60" s="276"/>
      <c r="GK60" s="276"/>
      <c r="GL60" s="276"/>
      <c r="GM60" s="276"/>
      <c r="GN60" s="276"/>
      <c r="GO60" s="276"/>
      <c r="GP60" s="53">
        <f t="shared" si="35"/>
        <v>0</v>
      </c>
      <c r="GQ60" s="53">
        <f t="shared" si="35"/>
        <v>0</v>
      </c>
      <c r="GR60" s="53">
        <f t="shared" si="35"/>
        <v>0</v>
      </c>
      <c r="GS60" s="53">
        <f t="shared" si="35"/>
        <v>0</v>
      </c>
      <c r="GT60" s="53">
        <f t="shared" si="35"/>
        <v>0</v>
      </c>
      <c r="GU60" s="53">
        <f t="shared" si="35"/>
        <v>0</v>
      </c>
      <c r="GV60" s="74">
        <f t="shared" si="35"/>
        <v>0</v>
      </c>
      <c r="GW60" s="53">
        <f t="shared" si="35"/>
        <v>0</v>
      </c>
      <c r="GX60" s="53">
        <f t="shared" si="35"/>
        <v>0</v>
      </c>
      <c r="GY60" s="53">
        <f t="shared" si="35"/>
        <v>0</v>
      </c>
      <c r="GZ60" s="53">
        <f t="shared" si="35"/>
        <v>0</v>
      </c>
      <c r="HA60" s="53">
        <f t="shared" si="35"/>
        <v>0</v>
      </c>
      <c r="HB60" s="53">
        <f t="shared" si="35"/>
        <v>0</v>
      </c>
      <c r="HC60" s="74">
        <f t="shared" si="35"/>
        <v>0</v>
      </c>
      <c r="HD60" s="53">
        <f t="shared" si="35"/>
        <v>0</v>
      </c>
      <c r="HE60" s="53">
        <f t="shared" si="35"/>
        <v>0</v>
      </c>
      <c r="HF60" s="53">
        <f t="shared" si="35"/>
        <v>0</v>
      </c>
      <c r="HG60" s="53">
        <f t="shared" si="35"/>
        <v>0</v>
      </c>
      <c r="HH60" s="53">
        <f t="shared" si="35"/>
        <v>0</v>
      </c>
      <c r="HI60" s="53">
        <f t="shared" si="35"/>
        <v>0</v>
      </c>
      <c r="HJ60" s="74">
        <f t="shared" si="35"/>
        <v>0</v>
      </c>
    </row>
    <row r="61" spans="1:218" ht="21.75" customHeight="1" x14ac:dyDescent="0.6">
      <c r="A61" s="75" t="s">
        <v>175</v>
      </c>
      <c r="B61" s="53">
        <f t="shared" ref="B61:HJ61" si="36">SUM(B35:B38)</f>
        <v>150</v>
      </c>
      <c r="C61" s="53">
        <f t="shared" si="36"/>
        <v>38</v>
      </c>
      <c r="D61" s="53">
        <f t="shared" si="36"/>
        <v>1</v>
      </c>
      <c r="E61" s="53">
        <f t="shared" si="36"/>
        <v>0</v>
      </c>
      <c r="F61" s="53">
        <f t="shared" si="36"/>
        <v>1</v>
      </c>
      <c r="G61" s="53">
        <f t="shared" si="36"/>
        <v>3</v>
      </c>
      <c r="H61" s="74">
        <f t="shared" si="36"/>
        <v>193</v>
      </c>
      <c r="I61" s="53">
        <f t="shared" si="36"/>
        <v>158</v>
      </c>
      <c r="J61" s="53">
        <f t="shared" si="36"/>
        <v>40</v>
      </c>
      <c r="K61" s="53">
        <f t="shared" si="36"/>
        <v>0</v>
      </c>
      <c r="L61" s="53">
        <f t="shared" si="36"/>
        <v>0</v>
      </c>
      <c r="M61" s="53">
        <f t="shared" si="36"/>
        <v>0</v>
      </c>
      <c r="N61" s="53">
        <f t="shared" si="36"/>
        <v>0</v>
      </c>
      <c r="O61" s="74">
        <f t="shared" si="36"/>
        <v>198</v>
      </c>
      <c r="P61" s="53">
        <f t="shared" si="36"/>
        <v>90</v>
      </c>
      <c r="Q61" s="53">
        <f t="shared" si="36"/>
        <v>31</v>
      </c>
      <c r="R61" s="53">
        <f t="shared" si="36"/>
        <v>0</v>
      </c>
      <c r="S61" s="53">
        <f t="shared" si="36"/>
        <v>0</v>
      </c>
      <c r="T61" s="53">
        <f t="shared" si="36"/>
        <v>1</v>
      </c>
      <c r="U61" s="53">
        <f t="shared" si="36"/>
        <v>0</v>
      </c>
      <c r="V61" s="74">
        <f t="shared" si="36"/>
        <v>122</v>
      </c>
      <c r="W61" s="53">
        <f t="shared" si="36"/>
        <v>0</v>
      </c>
      <c r="X61" s="53">
        <f t="shared" si="36"/>
        <v>0</v>
      </c>
      <c r="Y61" s="53">
        <f t="shared" si="36"/>
        <v>0</v>
      </c>
      <c r="Z61" s="53">
        <f t="shared" si="36"/>
        <v>0</v>
      </c>
      <c r="AA61" s="53">
        <f t="shared" si="36"/>
        <v>0</v>
      </c>
      <c r="AB61" s="53">
        <f t="shared" si="36"/>
        <v>0</v>
      </c>
      <c r="AC61" s="74">
        <f t="shared" si="36"/>
        <v>0</v>
      </c>
      <c r="AD61" s="53">
        <f t="shared" si="36"/>
        <v>201</v>
      </c>
      <c r="AE61" s="53">
        <f t="shared" si="36"/>
        <v>69</v>
      </c>
      <c r="AF61" s="53">
        <f t="shared" si="36"/>
        <v>0</v>
      </c>
      <c r="AG61" s="53">
        <f t="shared" si="36"/>
        <v>0</v>
      </c>
      <c r="AH61" s="53">
        <f t="shared" si="36"/>
        <v>1</v>
      </c>
      <c r="AI61" s="53">
        <f t="shared" si="36"/>
        <v>0</v>
      </c>
      <c r="AJ61" s="74">
        <f t="shared" si="36"/>
        <v>271</v>
      </c>
      <c r="AK61" s="53">
        <f t="shared" si="36"/>
        <v>598</v>
      </c>
      <c r="AL61" s="53">
        <f t="shared" si="36"/>
        <v>202</v>
      </c>
      <c r="AM61" s="53">
        <f t="shared" si="36"/>
        <v>2</v>
      </c>
      <c r="AN61" s="53">
        <f t="shared" si="36"/>
        <v>1</v>
      </c>
      <c r="AO61" s="53">
        <f t="shared" si="36"/>
        <v>16</v>
      </c>
      <c r="AP61" s="53">
        <f t="shared" si="36"/>
        <v>1</v>
      </c>
      <c r="AQ61" s="74">
        <f t="shared" si="36"/>
        <v>820</v>
      </c>
      <c r="AR61" s="53">
        <f t="shared" si="36"/>
        <v>107</v>
      </c>
      <c r="AS61" s="53">
        <f t="shared" si="36"/>
        <v>31</v>
      </c>
      <c r="AT61" s="53">
        <f t="shared" si="36"/>
        <v>0</v>
      </c>
      <c r="AU61" s="53">
        <f t="shared" si="36"/>
        <v>0</v>
      </c>
      <c r="AV61" s="53">
        <f t="shared" si="36"/>
        <v>0</v>
      </c>
      <c r="AW61" s="53">
        <f t="shared" si="36"/>
        <v>0</v>
      </c>
      <c r="AX61" s="74">
        <f t="shared" si="36"/>
        <v>138</v>
      </c>
      <c r="AY61" s="53">
        <f t="shared" si="36"/>
        <v>208</v>
      </c>
      <c r="AZ61" s="53">
        <f t="shared" si="36"/>
        <v>82</v>
      </c>
      <c r="BA61" s="53">
        <f t="shared" si="36"/>
        <v>1</v>
      </c>
      <c r="BB61" s="53">
        <f t="shared" si="36"/>
        <v>0</v>
      </c>
      <c r="BC61" s="53">
        <f t="shared" si="36"/>
        <v>3</v>
      </c>
      <c r="BD61" s="53">
        <f t="shared" si="36"/>
        <v>1</v>
      </c>
      <c r="BE61" s="74">
        <f t="shared" si="36"/>
        <v>295</v>
      </c>
      <c r="BF61" s="53">
        <f t="shared" si="36"/>
        <v>18</v>
      </c>
      <c r="BG61" s="53">
        <f t="shared" si="36"/>
        <v>4</v>
      </c>
      <c r="BH61" s="53">
        <f t="shared" si="36"/>
        <v>0</v>
      </c>
      <c r="BI61" s="53">
        <f t="shared" si="36"/>
        <v>0</v>
      </c>
      <c r="BJ61" s="53">
        <f t="shared" si="36"/>
        <v>1</v>
      </c>
      <c r="BK61" s="53">
        <f t="shared" si="36"/>
        <v>0</v>
      </c>
      <c r="BL61" s="74">
        <f t="shared" si="36"/>
        <v>23</v>
      </c>
      <c r="BM61" s="53">
        <f t="shared" si="36"/>
        <v>234</v>
      </c>
      <c r="BN61" s="53">
        <f t="shared" si="36"/>
        <v>57</v>
      </c>
      <c r="BO61" s="53">
        <f t="shared" si="36"/>
        <v>0</v>
      </c>
      <c r="BP61" s="53">
        <f t="shared" si="36"/>
        <v>0</v>
      </c>
      <c r="BQ61" s="53">
        <f t="shared" si="36"/>
        <v>2</v>
      </c>
      <c r="BR61" s="53">
        <f t="shared" si="36"/>
        <v>0</v>
      </c>
      <c r="BS61" s="74">
        <f t="shared" si="36"/>
        <v>293</v>
      </c>
      <c r="BT61" s="53">
        <f t="shared" si="36"/>
        <v>192</v>
      </c>
      <c r="BU61" s="53">
        <f t="shared" si="36"/>
        <v>42</v>
      </c>
      <c r="BV61" s="53">
        <f t="shared" si="36"/>
        <v>0</v>
      </c>
      <c r="BW61" s="53">
        <f t="shared" si="36"/>
        <v>0</v>
      </c>
      <c r="BX61" s="53">
        <f t="shared" si="36"/>
        <v>0</v>
      </c>
      <c r="BY61" s="53">
        <f t="shared" si="36"/>
        <v>0</v>
      </c>
      <c r="BZ61" s="74">
        <f t="shared" si="36"/>
        <v>234</v>
      </c>
      <c r="CA61" s="53">
        <f t="shared" si="36"/>
        <v>0</v>
      </c>
      <c r="CB61" s="53">
        <f t="shared" si="36"/>
        <v>0</v>
      </c>
      <c r="CC61" s="53">
        <f t="shared" si="36"/>
        <v>0</v>
      </c>
      <c r="CD61" s="53">
        <f t="shared" si="36"/>
        <v>0</v>
      </c>
      <c r="CE61" s="53">
        <f t="shared" si="36"/>
        <v>0</v>
      </c>
      <c r="CF61" s="53">
        <f t="shared" si="36"/>
        <v>0</v>
      </c>
      <c r="CG61" s="74">
        <f t="shared" si="36"/>
        <v>0</v>
      </c>
      <c r="CH61" s="53">
        <f t="shared" si="36"/>
        <v>149</v>
      </c>
      <c r="CI61" s="53">
        <f t="shared" si="36"/>
        <v>40</v>
      </c>
      <c r="CJ61" s="53">
        <f t="shared" si="36"/>
        <v>0</v>
      </c>
      <c r="CK61" s="53">
        <f t="shared" si="36"/>
        <v>0</v>
      </c>
      <c r="CL61" s="53">
        <f t="shared" si="36"/>
        <v>1</v>
      </c>
      <c r="CM61" s="53">
        <f t="shared" si="36"/>
        <v>0</v>
      </c>
      <c r="CN61" s="74">
        <f t="shared" si="36"/>
        <v>190</v>
      </c>
      <c r="CO61" s="53">
        <f t="shared" si="36"/>
        <v>432</v>
      </c>
      <c r="CP61" s="53">
        <f t="shared" si="36"/>
        <v>94</v>
      </c>
      <c r="CQ61" s="53">
        <f t="shared" si="36"/>
        <v>1</v>
      </c>
      <c r="CR61" s="53">
        <f t="shared" si="36"/>
        <v>0</v>
      </c>
      <c r="CS61" s="53">
        <f t="shared" si="36"/>
        <v>4</v>
      </c>
      <c r="CT61" s="53">
        <f t="shared" si="36"/>
        <v>1</v>
      </c>
      <c r="CU61" s="74">
        <f t="shared" si="36"/>
        <v>532</v>
      </c>
      <c r="CV61" s="53">
        <f t="shared" si="36"/>
        <v>0</v>
      </c>
      <c r="CW61" s="53">
        <f t="shared" si="36"/>
        <v>0</v>
      </c>
      <c r="CX61" s="53">
        <f t="shared" si="36"/>
        <v>0</v>
      </c>
      <c r="CY61" s="53">
        <f t="shared" si="36"/>
        <v>0</v>
      </c>
      <c r="CZ61" s="53">
        <f t="shared" si="36"/>
        <v>0</v>
      </c>
      <c r="DA61" s="53">
        <f t="shared" si="36"/>
        <v>0</v>
      </c>
      <c r="DB61" s="74">
        <f t="shared" si="36"/>
        <v>0</v>
      </c>
      <c r="DC61" s="53">
        <f t="shared" si="36"/>
        <v>0</v>
      </c>
      <c r="DD61" s="53">
        <f t="shared" si="36"/>
        <v>0</v>
      </c>
      <c r="DE61" s="53">
        <f t="shared" si="36"/>
        <v>0</v>
      </c>
      <c r="DF61" s="53">
        <f t="shared" si="36"/>
        <v>0</v>
      </c>
      <c r="DG61" s="53">
        <f t="shared" si="36"/>
        <v>0</v>
      </c>
      <c r="DH61" s="53">
        <f t="shared" si="36"/>
        <v>0</v>
      </c>
      <c r="DI61" s="74">
        <f t="shared" si="36"/>
        <v>0</v>
      </c>
      <c r="DJ61" s="53">
        <f t="shared" si="36"/>
        <v>0</v>
      </c>
      <c r="DK61" s="53">
        <f t="shared" si="36"/>
        <v>0</v>
      </c>
      <c r="DL61" s="53">
        <f t="shared" si="36"/>
        <v>0</v>
      </c>
      <c r="DM61" s="53">
        <f t="shared" si="36"/>
        <v>0</v>
      </c>
      <c r="DN61" s="53">
        <f t="shared" si="36"/>
        <v>0</v>
      </c>
      <c r="DO61" s="53">
        <f t="shared" si="36"/>
        <v>0</v>
      </c>
      <c r="DP61" s="74">
        <f t="shared" si="36"/>
        <v>0</v>
      </c>
      <c r="DQ61" s="53">
        <f t="shared" si="36"/>
        <v>0</v>
      </c>
      <c r="DR61" s="53">
        <f t="shared" si="36"/>
        <v>0</v>
      </c>
      <c r="DS61" s="53">
        <f t="shared" si="36"/>
        <v>0</v>
      </c>
      <c r="DT61" s="53">
        <f t="shared" si="36"/>
        <v>0</v>
      </c>
      <c r="DU61" s="53">
        <f t="shared" si="36"/>
        <v>0</v>
      </c>
      <c r="DV61" s="53">
        <f t="shared" si="36"/>
        <v>0</v>
      </c>
      <c r="DW61" s="74">
        <f t="shared" si="36"/>
        <v>0</v>
      </c>
      <c r="DX61" s="53">
        <f t="shared" si="36"/>
        <v>0</v>
      </c>
      <c r="DY61" s="53">
        <f t="shared" si="36"/>
        <v>0</v>
      </c>
      <c r="DZ61" s="53">
        <f t="shared" si="36"/>
        <v>0</v>
      </c>
      <c r="EA61" s="53">
        <f t="shared" si="36"/>
        <v>0</v>
      </c>
      <c r="EB61" s="53">
        <f t="shared" si="36"/>
        <v>0</v>
      </c>
      <c r="EC61" s="53">
        <f t="shared" si="36"/>
        <v>0</v>
      </c>
      <c r="ED61" s="74">
        <f t="shared" si="36"/>
        <v>0</v>
      </c>
      <c r="EE61" s="276"/>
      <c r="EF61" s="276"/>
      <c r="EG61" s="276"/>
      <c r="EH61" s="276"/>
      <c r="EI61" s="276"/>
      <c r="EJ61" s="276"/>
      <c r="EK61" s="276"/>
      <c r="EL61" s="53">
        <f t="shared" si="36"/>
        <v>0</v>
      </c>
      <c r="EM61" s="53">
        <f t="shared" si="36"/>
        <v>0</v>
      </c>
      <c r="EN61" s="53">
        <f t="shared" si="36"/>
        <v>0</v>
      </c>
      <c r="EO61" s="53">
        <f t="shared" si="36"/>
        <v>0</v>
      </c>
      <c r="EP61" s="53">
        <f t="shared" si="36"/>
        <v>0</v>
      </c>
      <c r="EQ61" s="53">
        <f t="shared" si="36"/>
        <v>0</v>
      </c>
      <c r="ER61" s="74">
        <f t="shared" si="36"/>
        <v>0</v>
      </c>
      <c r="ES61" s="53">
        <f t="shared" si="36"/>
        <v>0</v>
      </c>
      <c r="ET61" s="53">
        <f t="shared" si="36"/>
        <v>0</v>
      </c>
      <c r="EU61" s="53">
        <f t="shared" si="36"/>
        <v>0</v>
      </c>
      <c r="EV61" s="53">
        <f t="shared" si="36"/>
        <v>0</v>
      </c>
      <c r="EW61" s="53">
        <f t="shared" si="36"/>
        <v>0</v>
      </c>
      <c r="EX61" s="53">
        <f t="shared" si="36"/>
        <v>0</v>
      </c>
      <c r="EY61" s="74">
        <f t="shared" si="36"/>
        <v>0</v>
      </c>
      <c r="EZ61" s="53">
        <f t="shared" si="36"/>
        <v>0</v>
      </c>
      <c r="FA61" s="53">
        <f t="shared" si="36"/>
        <v>0</v>
      </c>
      <c r="FB61" s="53">
        <f t="shared" si="36"/>
        <v>0</v>
      </c>
      <c r="FC61" s="53">
        <f t="shared" si="36"/>
        <v>0</v>
      </c>
      <c r="FD61" s="53">
        <f t="shared" si="36"/>
        <v>0</v>
      </c>
      <c r="FE61" s="53">
        <f t="shared" si="36"/>
        <v>0</v>
      </c>
      <c r="FF61" s="74">
        <f t="shared" si="36"/>
        <v>0</v>
      </c>
      <c r="FG61" s="276"/>
      <c r="FH61" s="276"/>
      <c r="FI61" s="276"/>
      <c r="FJ61" s="276"/>
      <c r="FK61" s="276"/>
      <c r="FL61" s="276"/>
      <c r="FM61" s="276"/>
      <c r="FN61" s="53">
        <f t="shared" si="36"/>
        <v>0</v>
      </c>
      <c r="FO61" s="53">
        <f t="shared" si="36"/>
        <v>0</v>
      </c>
      <c r="FP61" s="53">
        <f t="shared" si="36"/>
        <v>0</v>
      </c>
      <c r="FQ61" s="53">
        <f t="shared" si="36"/>
        <v>0</v>
      </c>
      <c r="FR61" s="53">
        <f t="shared" si="36"/>
        <v>0</v>
      </c>
      <c r="FS61" s="53">
        <f t="shared" si="36"/>
        <v>0</v>
      </c>
      <c r="FT61" s="74">
        <f t="shared" si="36"/>
        <v>0</v>
      </c>
      <c r="FU61" s="53">
        <f t="shared" si="36"/>
        <v>0</v>
      </c>
      <c r="FV61" s="53">
        <f t="shared" si="36"/>
        <v>0</v>
      </c>
      <c r="FW61" s="53">
        <f t="shared" si="36"/>
        <v>0</v>
      </c>
      <c r="FX61" s="53">
        <f t="shared" si="36"/>
        <v>0</v>
      </c>
      <c r="FY61" s="53">
        <f t="shared" si="36"/>
        <v>0</v>
      </c>
      <c r="FZ61" s="53">
        <f t="shared" si="36"/>
        <v>0</v>
      </c>
      <c r="GA61" s="74">
        <f t="shared" si="36"/>
        <v>0</v>
      </c>
      <c r="GB61" s="53">
        <f t="shared" si="36"/>
        <v>0</v>
      </c>
      <c r="GC61" s="53">
        <f t="shared" si="36"/>
        <v>0</v>
      </c>
      <c r="GD61" s="53">
        <f t="shared" si="36"/>
        <v>0</v>
      </c>
      <c r="GE61" s="53">
        <f t="shared" si="36"/>
        <v>0</v>
      </c>
      <c r="GF61" s="53">
        <f t="shared" si="36"/>
        <v>0</v>
      </c>
      <c r="GG61" s="53">
        <f t="shared" si="36"/>
        <v>0</v>
      </c>
      <c r="GH61" s="74">
        <f t="shared" si="36"/>
        <v>0</v>
      </c>
      <c r="GI61" s="276"/>
      <c r="GJ61" s="276"/>
      <c r="GK61" s="276"/>
      <c r="GL61" s="276"/>
      <c r="GM61" s="276"/>
      <c r="GN61" s="276"/>
      <c r="GO61" s="276"/>
      <c r="GP61" s="53">
        <f t="shared" si="36"/>
        <v>0</v>
      </c>
      <c r="GQ61" s="53">
        <f t="shared" si="36"/>
        <v>0</v>
      </c>
      <c r="GR61" s="53">
        <f t="shared" si="36"/>
        <v>0</v>
      </c>
      <c r="GS61" s="53">
        <f t="shared" si="36"/>
        <v>0</v>
      </c>
      <c r="GT61" s="53">
        <f t="shared" si="36"/>
        <v>0</v>
      </c>
      <c r="GU61" s="53">
        <f t="shared" si="36"/>
        <v>0</v>
      </c>
      <c r="GV61" s="74">
        <f t="shared" si="36"/>
        <v>0</v>
      </c>
      <c r="GW61" s="53">
        <f t="shared" si="36"/>
        <v>0</v>
      </c>
      <c r="GX61" s="53">
        <f t="shared" si="36"/>
        <v>0</v>
      </c>
      <c r="GY61" s="53">
        <f t="shared" si="36"/>
        <v>0</v>
      </c>
      <c r="GZ61" s="53">
        <f t="shared" si="36"/>
        <v>0</v>
      </c>
      <c r="HA61" s="53">
        <f t="shared" si="36"/>
        <v>0</v>
      </c>
      <c r="HB61" s="53">
        <f t="shared" si="36"/>
        <v>0</v>
      </c>
      <c r="HC61" s="74">
        <f t="shared" si="36"/>
        <v>0</v>
      </c>
      <c r="HD61" s="53">
        <f t="shared" si="36"/>
        <v>0</v>
      </c>
      <c r="HE61" s="53">
        <f t="shared" si="36"/>
        <v>0</v>
      </c>
      <c r="HF61" s="53">
        <f t="shared" si="36"/>
        <v>0</v>
      </c>
      <c r="HG61" s="53">
        <f t="shared" si="36"/>
        <v>0</v>
      </c>
      <c r="HH61" s="53">
        <f t="shared" si="36"/>
        <v>0</v>
      </c>
      <c r="HI61" s="53">
        <f t="shared" si="36"/>
        <v>0</v>
      </c>
      <c r="HJ61" s="74">
        <f t="shared" si="36"/>
        <v>0</v>
      </c>
    </row>
    <row r="62" spans="1:218" ht="21.75" customHeight="1" x14ac:dyDescent="0.6">
      <c r="A62" s="75" t="s">
        <v>176</v>
      </c>
      <c r="B62" s="53">
        <f t="shared" ref="B62:HJ62" si="37">SUM(B39:B42)</f>
        <v>191</v>
      </c>
      <c r="C62" s="53">
        <f t="shared" si="37"/>
        <v>31</v>
      </c>
      <c r="D62" s="53">
        <f t="shared" si="37"/>
        <v>0</v>
      </c>
      <c r="E62" s="53">
        <f t="shared" si="37"/>
        <v>0</v>
      </c>
      <c r="F62" s="53">
        <f t="shared" si="37"/>
        <v>3</v>
      </c>
      <c r="G62" s="53">
        <f t="shared" si="37"/>
        <v>2</v>
      </c>
      <c r="H62" s="74">
        <f t="shared" si="37"/>
        <v>227</v>
      </c>
      <c r="I62" s="53">
        <f t="shared" si="37"/>
        <v>129</v>
      </c>
      <c r="J62" s="53">
        <f t="shared" si="37"/>
        <v>45</v>
      </c>
      <c r="K62" s="53">
        <f t="shared" si="37"/>
        <v>0</v>
      </c>
      <c r="L62" s="53">
        <f t="shared" si="37"/>
        <v>0</v>
      </c>
      <c r="M62" s="53">
        <f t="shared" si="37"/>
        <v>0</v>
      </c>
      <c r="N62" s="53">
        <f t="shared" si="37"/>
        <v>0</v>
      </c>
      <c r="O62" s="74">
        <f t="shared" si="37"/>
        <v>174</v>
      </c>
      <c r="P62" s="53">
        <f t="shared" si="37"/>
        <v>111</v>
      </c>
      <c r="Q62" s="53">
        <f t="shared" si="37"/>
        <v>51</v>
      </c>
      <c r="R62" s="53">
        <f t="shared" si="37"/>
        <v>0</v>
      </c>
      <c r="S62" s="53">
        <f t="shared" si="37"/>
        <v>0</v>
      </c>
      <c r="T62" s="53">
        <f t="shared" si="37"/>
        <v>4</v>
      </c>
      <c r="U62" s="53">
        <f t="shared" si="37"/>
        <v>0</v>
      </c>
      <c r="V62" s="74">
        <f t="shared" si="37"/>
        <v>166</v>
      </c>
      <c r="W62" s="53">
        <f t="shared" si="37"/>
        <v>0</v>
      </c>
      <c r="X62" s="53">
        <f t="shared" si="37"/>
        <v>0</v>
      </c>
      <c r="Y62" s="53">
        <f t="shared" si="37"/>
        <v>0</v>
      </c>
      <c r="Z62" s="53">
        <f t="shared" si="37"/>
        <v>0</v>
      </c>
      <c r="AA62" s="53">
        <f t="shared" si="37"/>
        <v>0</v>
      </c>
      <c r="AB62" s="53">
        <f t="shared" si="37"/>
        <v>0</v>
      </c>
      <c r="AC62" s="74">
        <f t="shared" si="37"/>
        <v>0</v>
      </c>
      <c r="AD62" s="53">
        <f t="shared" si="37"/>
        <v>248</v>
      </c>
      <c r="AE62" s="53">
        <f t="shared" si="37"/>
        <v>71</v>
      </c>
      <c r="AF62" s="53">
        <f t="shared" si="37"/>
        <v>1</v>
      </c>
      <c r="AG62" s="53">
        <f t="shared" si="37"/>
        <v>0</v>
      </c>
      <c r="AH62" s="53">
        <f t="shared" si="37"/>
        <v>3</v>
      </c>
      <c r="AI62" s="53">
        <f t="shared" si="37"/>
        <v>1</v>
      </c>
      <c r="AJ62" s="74">
        <f t="shared" si="37"/>
        <v>324</v>
      </c>
      <c r="AK62" s="53">
        <f t="shared" si="37"/>
        <v>642</v>
      </c>
      <c r="AL62" s="53">
        <f t="shared" si="37"/>
        <v>178</v>
      </c>
      <c r="AM62" s="53">
        <f t="shared" si="37"/>
        <v>6</v>
      </c>
      <c r="AN62" s="53">
        <f t="shared" si="37"/>
        <v>1</v>
      </c>
      <c r="AO62" s="53">
        <f t="shared" si="37"/>
        <v>7</v>
      </c>
      <c r="AP62" s="53">
        <f t="shared" si="37"/>
        <v>1</v>
      </c>
      <c r="AQ62" s="74">
        <f t="shared" si="37"/>
        <v>835</v>
      </c>
      <c r="AR62" s="53">
        <f t="shared" si="37"/>
        <v>163</v>
      </c>
      <c r="AS62" s="53">
        <f t="shared" si="37"/>
        <v>30</v>
      </c>
      <c r="AT62" s="53">
        <f t="shared" si="37"/>
        <v>0</v>
      </c>
      <c r="AU62" s="53">
        <f t="shared" si="37"/>
        <v>0</v>
      </c>
      <c r="AV62" s="53">
        <f t="shared" si="37"/>
        <v>2</v>
      </c>
      <c r="AW62" s="53">
        <f t="shared" si="37"/>
        <v>2</v>
      </c>
      <c r="AX62" s="74">
        <f t="shared" si="37"/>
        <v>197</v>
      </c>
      <c r="AY62" s="53">
        <f t="shared" si="37"/>
        <v>209</v>
      </c>
      <c r="AZ62" s="53">
        <f t="shared" si="37"/>
        <v>96</v>
      </c>
      <c r="BA62" s="53">
        <f t="shared" si="37"/>
        <v>3</v>
      </c>
      <c r="BB62" s="53">
        <f t="shared" si="37"/>
        <v>0</v>
      </c>
      <c r="BC62" s="53">
        <f t="shared" si="37"/>
        <v>2</v>
      </c>
      <c r="BD62" s="53">
        <f t="shared" si="37"/>
        <v>1</v>
      </c>
      <c r="BE62" s="74">
        <f t="shared" si="37"/>
        <v>311</v>
      </c>
      <c r="BF62" s="53">
        <f t="shared" si="37"/>
        <v>23</v>
      </c>
      <c r="BG62" s="53">
        <f t="shared" si="37"/>
        <v>4</v>
      </c>
      <c r="BH62" s="53">
        <f t="shared" si="37"/>
        <v>0</v>
      </c>
      <c r="BI62" s="53">
        <f t="shared" si="37"/>
        <v>0</v>
      </c>
      <c r="BJ62" s="53">
        <f t="shared" si="37"/>
        <v>4</v>
      </c>
      <c r="BK62" s="53">
        <f t="shared" si="37"/>
        <v>0</v>
      </c>
      <c r="BL62" s="74">
        <f t="shared" si="37"/>
        <v>31</v>
      </c>
      <c r="BM62" s="53">
        <f t="shared" si="37"/>
        <v>238</v>
      </c>
      <c r="BN62" s="53">
        <f t="shared" si="37"/>
        <v>59</v>
      </c>
      <c r="BO62" s="53">
        <f t="shared" si="37"/>
        <v>0</v>
      </c>
      <c r="BP62" s="53">
        <f t="shared" si="37"/>
        <v>0</v>
      </c>
      <c r="BQ62" s="53">
        <f t="shared" si="37"/>
        <v>1</v>
      </c>
      <c r="BR62" s="53">
        <f t="shared" si="37"/>
        <v>0</v>
      </c>
      <c r="BS62" s="74">
        <f t="shared" si="37"/>
        <v>298</v>
      </c>
      <c r="BT62" s="53">
        <f t="shared" si="37"/>
        <v>214</v>
      </c>
      <c r="BU62" s="53">
        <f t="shared" si="37"/>
        <v>61</v>
      </c>
      <c r="BV62" s="53">
        <f t="shared" si="37"/>
        <v>0</v>
      </c>
      <c r="BW62" s="53">
        <f t="shared" si="37"/>
        <v>0</v>
      </c>
      <c r="BX62" s="53">
        <f t="shared" si="37"/>
        <v>0</v>
      </c>
      <c r="BY62" s="53">
        <f t="shared" si="37"/>
        <v>0</v>
      </c>
      <c r="BZ62" s="74">
        <f t="shared" si="37"/>
        <v>275</v>
      </c>
      <c r="CA62" s="53">
        <f t="shared" si="37"/>
        <v>0</v>
      </c>
      <c r="CB62" s="53">
        <f t="shared" si="37"/>
        <v>0</v>
      </c>
      <c r="CC62" s="53">
        <f t="shared" si="37"/>
        <v>0</v>
      </c>
      <c r="CD62" s="53">
        <f t="shared" si="37"/>
        <v>0</v>
      </c>
      <c r="CE62" s="53">
        <f t="shared" si="37"/>
        <v>0</v>
      </c>
      <c r="CF62" s="53">
        <f t="shared" si="37"/>
        <v>0</v>
      </c>
      <c r="CG62" s="74">
        <f t="shared" si="37"/>
        <v>0</v>
      </c>
      <c r="CH62" s="53">
        <f t="shared" si="37"/>
        <v>209</v>
      </c>
      <c r="CI62" s="53">
        <f t="shared" si="37"/>
        <v>32</v>
      </c>
      <c r="CJ62" s="53">
        <f t="shared" si="37"/>
        <v>0</v>
      </c>
      <c r="CK62" s="53">
        <f t="shared" si="37"/>
        <v>0</v>
      </c>
      <c r="CL62" s="53">
        <f t="shared" si="37"/>
        <v>4</v>
      </c>
      <c r="CM62" s="53">
        <f t="shared" si="37"/>
        <v>1</v>
      </c>
      <c r="CN62" s="74">
        <f t="shared" si="37"/>
        <v>246</v>
      </c>
      <c r="CO62" s="53">
        <f t="shared" si="37"/>
        <v>494</v>
      </c>
      <c r="CP62" s="53">
        <f t="shared" si="37"/>
        <v>147</v>
      </c>
      <c r="CQ62" s="53">
        <f t="shared" si="37"/>
        <v>0</v>
      </c>
      <c r="CR62" s="53">
        <f t="shared" si="37"/>
        <v>2</v>
      </c>
      <c r="CS62" s="53">
        <f t="shared" si="37"/>
        <v>7</v>
      </c>
      <c r="CT62" s="53">
        <f t="shared" si="37"/>
        <v>0</v>
      </c>
      <c r="CU62" s="74">
        <f t="shared" si="37"/>
        <v>650</v>
      </c>
      <c r="CV62" s="53">
        <f t="shared" si="37"/>
        <v>0</v>
      </c>
      <c r="CW62" s="53">
        <f t="shared" si="37"/>
        <v>0</v>
      </c>
      <c r="CX62" s="53">
        <f t="shared" si="37"/>
        <v>0</v>
      </c>
      <c r="CY62" s="53">
        <f t="shared" si="37"/>
        <v>0</v>
      </c>
      <c r="CZ62" s="53">
        <f t="shared" si="37"/>
        <v>0</v>
      </c>
      <c r="DA62" s="53">
        <f t="shared" si="37"/>
        <v>0</v>
      </c>
      <c r="DB62" s="74">
        <f t="shared" si="37"/>
        <v>0</v>
      </c>
      <c r="DC62" s="53">
        <f t="shared" si="37"/>
        <v>0</v>
      </c>
      <c r="DD62" s="53">
        <f t="shared" si="37"/>
        <v>0</v>
      </c>
      <c r="DE62" s="53">
        <f t="shared" si="37"/>
        <v>0</v>
      </c>
      <c r="DF62" s="53">
        <f t="shared" si="37"/>
        <v>0</v>
      </c>
      <c r="DG62" s="53">
        <f t="shared" si="37"/>
        <v>0</v>
      </c>
      <c r="DH62" s="53">
        <f t="shared" si="37"/>
        <v>0</v>
      </c>
      <c r="DI62" s="74">
        <f t="shared" si="37"/>
        <v>0</v>
      </c>
      <c r="DJ62" s="53">
        <f t="shared" si="37"/>
        <v>0</v>
      </c>
      <c r="DK62" s="53">
        <f t="shared" si="37"/>
        <v>0</v>
      </c>
      <c r="DL62" s="53">
        <f t="shared" si="37"/>
        <v>0</v>
      </c>
      <c r="DM62" s="53">
        <f t="shared" si="37"/>
        <v>0</v>
      </c>
      <c r="DN62" s="53">
        <f t="shared" si="37"/>
        <v>0</v>
      </c>
      <c r="DO62" s="53">
        <f t="shared" si="37"/>
        <v>0</v>
      </c>
      <c r="DP62" s="74">
        <f t="shared" si="37"/>
        <v>0</v>
      </c>
      <c r="DQ62" s="53">
        <f t="shared" si="37"/>
        <v>0</v>
      </c>
      <c r="DR62" s="53">
        <f t="shared" si="37"/>
        <v>0</v>
      </c>
      <c r="DS62" s="53">
        <f t="shared" si="37"/>
        <v>0</v>
      </c>
      <c r="DT62" s="53">
        <f t="shared" si="37"/>
        <v>0</v>
      </c>
      <c r="DU62" s="53">
        <f t="shared" si="37"/>
        <v>0</v>
      </c>
      <c r="DV62" s="53">
        <f t="shared" si="37"/>
        <v>0</v>
      </c>
      <c r="DW62" s="74">
        <f t="shared" si="37"/>
        <v>0</v>
      </c>
      <c r="DX62" s="53">
        <f t="shared" si="37"/>
        <v>0</v>
      </c>
      <c r="DY62" s="53">
        <f t="shared" si="37"/>
        <v>0</v>
      </c>
      <c r="DZ62" s="53">
        <f t="shared" si="37"/>
        <v>0</v>
      </c>
      <c r="EA62" s="53">
        <f t="shared" si="37"/>
        <v>0</v>
      </c>
      <c r="EB62" s="53">
        <f t="shared" si="37"/>
        <v>0</v>
      </c>
      <c r="EC62" s="53">
        <f t="shared" si="37"/>
        <v>0</v>
      </c>
      <c r="ED62" s="74">
        <f t="shared" si="37"/>
        <v>0</v>
      </c>
      <c r="EE62" s="276"/>
      <c r="EF62" s="276"/>
      <c r="EG62" s="276"/>
      <c r="EH62" s="276"/>
      <c r="EI62" s="276"/>
      <c r="EJ62" s="276"/>
      <c r="EK62" s="276"/>
      <c r="EL62" s="53">
        <f t="shared" si="37"/>
        <v>0</v>
      </c>
      <c r="EM62" s="53">
        <f t="shared" si="37"/>
        <v>0</v>
      </c>
      <c r="EN62" s="53">
        <f t="shared" si="37"/>
        <v>0</v>
      </c>
      <c r="EO62" s="53">
        <f t="shared" si="37"/>
        <v>0</v>
      </c>
      <c r="EP62" s="53">
        <f t="shared" si="37"/>
        <v>0</v>
      </c>
      <c r="EQ62" s="53">
        <f t="shared" si="37"/>
        <v>0</v>
      </c>
      <c r="ER62" s="74">
        <f t="shared" si="37"/>
        <v>0</v>
      </c>
      <c r="ES62" s="53">
        <f t="shared" si="37"/>
        <v>0</v>
      </c>
      <c r="ET62" s="53">
        <f t="shared" si="37"/>
        <v>0</v>
      </c>
      <c r="EU62" s="53">
        <f t="shared" si="37"/>
        <v>0</v>
      </c>
      <c r="EV62" s="53">
        <f t="shared" si="37"/>
        <v>0</v>
      </c>
      <c r="EW62" s="53">
        <f t="shared" si="37"/>
        <v>0</v>
      </c>
      <c r="EX62" s="53">
        <f t="shared" si="37"/>
        <v>0</v>
      </c>
      <c r="EY62" s="74">
        <f t="shared" si="37"/>
        <v>0</v>
      </c>
      <c r="EZ62" s="53">
        <f t="shared" si="37"/>
        <v>0</v>
      </c>
      <c r="FA62" s="53">
        <f t="shared" si="37"/>
        <v>0</v>
      </c>
      <c r="FB62" s="53">
        <f t="shared" si="37"/>
        <v>0</v>
      </c>
      <c r="FC62" s="53">
        <f t="shared" si="37"/>
        <v>0</v>
      </c>
      <c r="FD62" s="53">
        <f t="shared" si="37"/>
        <v>0</v>
      </c>
      <c r="FE62" s="53">
        <f t="shared" si="37"/>
        <v>0</v>
      </c>
      <c r="FF62" s="74">
        <f t="shared" si="37"/>
        <v>0</v>
      </c>
      <c r="FG62" s="276"/>
      <c r="FH62" s="276"/>
      <c r="FI62" s="276"/>
      <c r="FJ62" s="276"/>
      <c r="FK62" s="276"/>
      <c r="FL62" s="276"/>
      <c r="FM62" s="276"/>
      <c r="FN62" s="53">
        <f t="shared" si="37"/>
        <v>0</v>
      </c>
      <c r="FO62" s="53">
        <f t="shared" si="37"/>
        <v>0</v>
      </c>
      <c r="FP62" s="53">
        <f t="shared" si="37"/>
        <v>0</v>
      </c>
      <c r="FQ62" s="53">
        <f t="shared" si="37"/>
        <v>0</v>
      </c>
      <c r="FR62" s="53">
        <f t="shared" si="37"/>
        <v>0</v>
      </c>
      <c r="FS62" s="53">
        <f t="shared" si="37"/>
        <v>0</v>
      </c>
      <c r="FT62" s="74">
        <f t="shared" si="37"/>
        <v>0</v>
      </c>
      <c r="FU62" s="53">
        <f t="shared" si="37"/>
        <v>0</v>
      </c>
      <c r="FV62" s="53">
        <f t="shared" si="37"/>
        <v>0</v>
      </c>
      <c r="FW62" s="53">
        <f t="shared" si="37"/>
        <v>0</v>
      </c>
      <c r="FX62" s="53">
        <f t="shared" si="37"/>
        <v>0</v>
      </c>
      <c r="FY62" s="53">
        <f t="shared" si="37"/>
        <v>0</v>
      </c>
      <c r="FZ62" s="53">
        <f t="shared" si="37"/>
        <v>0</v>
      </c>
      <c r="GA62" s="74">
        <f t="shared" si="37"/>
        <v>0</v>
      </c>
      <c r="GB62" s="53">
        <f t="shared" si="37"/>
        <v>0</v>
      </c>
      <c r="GC62" s="53">
        <f t="shared" si="37"/>
        <v>0</v>
      </c>
      <c r="GD62" s="53">
        <f t="shared" si="37"/>
        <v>0</v>
      </c>
      <c r="GE62" s="53">
        <f t="shared" si="37"/>
        <v>0</v>
      </c>
      <c r="GF62" s="53">
        <f t="shared" si="37"/>
        <v>0</v>
      </c>
      <c r="GG62" s="53">
        <f t="shared" si="37"/>
        <v>0</v>
      </c>
      <c r="GH62" s="74">
        <f t="shared" si="37"/>
        <v>0</v>
      </c>
      <c r="GI62" s="276"/>
      <c r="GJ62" s="276"/>
      <c r="GK62" s="276"/>
      <c r="GL62" s="276"/>
      <c r="GM62" s="276"/>
      <c r="GN62" s="276"/>
      <c r="GO62" s="276"/>
      <c r="GP62" s="53">
        <f t="shared" si="37"/>
        <v>0</v>
      </c>
      <c r="GQ62" s="53">
        <f t="shared" si="37"/>
        <v>0</v>
      </c>
      <c r="GR62" s="53">
        <f t="shared" si="37"/>
        <v>0</v>
      </c>
      <c r="GS62" s="53">
        <f t="shared" si="37"/>
        <v>0</v>
      </c>
      <c r="GT62" s="53">
        <f t="shared" si="37"/>
        <v>0</v>
      </c>
      <c r="GU62" s="53">
        <f t="shared" si="37"/>
        <v>0</v>
      </c>
      <c r="GV62" s="74">
        <f t="shared" si="37"/>
        <v>0</v>
      </c>
      <c r="GW62" s="53">
        <f t="shared" si="37"/>
        <v>0</v>
      </c>
      <c r="GX62" s="53">
        <f t="shared" si="37"/>
        <v>0</v>
      </c>
      <c r="GY62" s="53">
        <f t="shared" si="37"/>
        <v>0</v>
      </c>
      <c r="GZ62" s="53">
        <f t="shared" si="37"/>
        <v>0</v>
      </c>
      <c r="HA62" s="53">
        <f t="shared" si="37"/>
        <v>0</v>
      </c>
      <c r="HB62" s="53">
        <f t="shared" si="37"/>
        <v>0</v>
      </c>
      <c r="HC62" s="74">
        <f t="shared" si="37"/>
        <v>0</v>
      </c>
      <c r="HD62" s="53">
        <f t="shared" si="37"/>
        <v>0</v>
      </c>
      <c r="HE62" s="53">
        <f t="shared" si="37"/>
        <v>0</v>
      </c>
      <c r="HF62" s="53">
        <f t="shared" si="37"/>
        <v>0</v>
      </c>
      <c r="HG62" s="53">
        <f t="shared" si="37"/>
        <v>0</v>
      </c>
      <c r="HH62" s="53">
        <f t="shared" si="37"/>
        <v>0</v>
      </c>
      <c r="HI62" s="53">
        <f t="shared" si="37"/>
        <v>0</v>
      </c>
      <c r="HJ62" s="74">
        <f t="shared" si="37"/>
        <v>0</v>
      </c>
    </row>
    <row r="63" spans="1:218" ht="21.75" customHeight="1" x14ac:dyDescent="0.6">
      <c r="A63" s="75" t="s">
        <v>177</v>
      </c>
      <c r="B63" s="53">
        <f t="shared" ref="B63:HJ63" si="38">SUM(B43:B46)</f>
        <v>198</v>
      </c>
      <c r="C63" s="53">
        <f t="shared" si="38"/>
        <v>28</v>
      </c>
      <c r="D63" s="53">
        <f t="shared" si="38"/>
        <v>1</v>
      </c>
      <c r="E63" s="53">
        <f t="shared" si="38"/>
        <v>0</v>
      </c>
      <c r="F63" s="53">
        <f t="shared" si="38"/>
        <v>3</v>
      </c>
      <c r="G63" s="53">
        <f t="shared" si="38"/>
        <v>2</v>
      </c>
      <c r="H63" s="74">
        <f t="shared" si="38"/>
        <v>232</v>
      </c>
      <c r="I63" s="53">
        <f t="shared" si="38"/>
        <v>104</v>
      </c>
      <c r="J63" s="53">
        <f t="shared" si="38"/>
        <v>36</v>
      </c>
      <c r="K63" s="53">
        <f t="shared" si="38"/>
        <v>0</v>
      </c>
      <c r="L63" s="53">
        <f t="shared" si="38"/>
        <v>0</v>
      </c>
      <c r="M63" s="53">
        <f t="shared" si="38"/>
        <v>0</v>
      </c>
      <c r="N63" s="53">
        <f t="shared" si="38"/>
        <v>0</v>
      </c>
      <c r="O63" s="74">
        <f t="shared" si="38"/>
        <v>140</v>
      </c>
      <c r="P63" s="53">
        <f t="shared" si="38"/>
        <v>93</v>
      </c>
      <c r="Q63" s="53">
        <f t="shared" si="38"/>
        <v>28</v>
      </c>
      <c r="R63" s="53">
        <f t="shared" si="38"/>
        <v>0</v>
      </c>
      <c r="S63" s="53">
        <f t="shared" si="38"/>
        <v>0</v>
      </c>
      <c r="T63" s="53">
        <f t="shared" si="38"/>
        <v>0</v>
      </c>
      <c r="U63" s="53">
        <f t="shared" si="38"/>
        <v>0</v>
      </c>
      <c r="V63" s="74">
        <f t="shared" si="38"/>
        <v>121</v>
      </c>
      <c r="W63" s="53">
        <f t="shared" si="38"/>
        <v>0</v>
      </c>
      <c r="X63" s="53">
        <f t="shared" si="38"/>
        <v>0</v>
      </c>
      <c r="Y63" s="53">
        <f t="shared" si="38"/>
        <v>0</v>
      </c>
      <c r="Z63" s="53">
        <f t="shared" si="38"/>
        <v>0</v>
      </c>
      <c r="AA63" s="53">
        <f t="shared" si="38"/>
        <v>0</v>
      </c>
      <c r="AB63" s="53">
        <f t="shared" si="38"/>
        <v>0</v>
      </c>
      <c r="AC63" s="74">
        <f t="shared" si="38"/>
        <v>0</v>
      </c>
      <c r="AD63" s="53">
        <f t="shared" si="38"/>
        <v>219</v>
      </c>
      <c r="AE63" s="53">
        <f t="shared" si="38"/>
        <v>83</v>
      </c>
      <c r="AF63" s="53">
        <f t="shared" si="38"/>
        <v>1</v>
      </c>
      <c r="AG63" s="53">
        <f t="shared" si="38"/>
        <v>0</v>
      </c>
      <c r="AH63" s="53">
        <f t="shared" si="38"/>
        <v>0</v>
      </c>
      <c r="AI63" s="53">
        <f t="shared" si="38"/>
        <v>1</v>
      </c>
      <c r="AJ63" s="74">
        <f t="shared" si="38"/>
        <v>304</v>
      </c>
      <c r="AK63" s="53">
        <f t="shared" si="38"/>
        <v>633</v>
      </c>
      <c r="AL63" s="53">
        <f t="shared" si="38"/>
        <v>162</v>
      </c>
      <c r="AM63" s="53">
        <f t="shared" si="38"/>
        <v>3</v>
      </c>
      <c r="AN63" s="53">
        <f t="shared" si="38"/>
        <v>2</v>
      </c>
      <c r="AO63" s="53">
        <f t="shared" si="38"/>
        <v>8</v>
      </c>
      <c r="AP63" s="53">
        <f t="shared" si="38"/>
        <v>1</v>
      </c>
      <c r="AQ63" s="74">
        <f t="shared" si="38"/>
        <v>809</v>
      </c>
      <c r="AR63" s="53">
        <f t="shared" si="38"/>
        <v>161</v>
      </c>
      <c r="AS63" s="53">
        <f t="shared" si="38"/>
        <v>31</v>
      </c>
      <c r="AT63" s="53">
        <f t="shared" si="38"/>
        <v>0</v>
      </c>
      <c r="AU63" s="53">
        <f t="shared" si="38"/>
        <v>0</v>
      </c>
      <c r="AV63" s="53">
        <f t="shared" si="38"/>
        <v>2</v>
      </c>
      <c r="AW63" s="53">
        <f t="shared" si="38"/>
        <v>2</v>
      </c>
      <c r="AX63" s="74">
        <f t="shared" si="38"/>
        <v>196</v>
      </c>
      <c r="AY63" s="53">
        <f t="shared" si="38"/>
        <v>191</v>
      </c>
      <c r="AZ63" s="53">
        <f t="shared" si="38"/>
        <v>78</v>
      </c>
      <c r="BA63" s="53">
        <f t="shared" si="38"/>
        <v>1</v>
      </c>
      <c r="BB63" s="53">
        <f t="shared" si="38"/>
        <v>0</v>
      </c>
      <c r="BC63" s="53">
        <f t="shared" si="38"/>
        <v>9</v>
      </c>
      <c r="BD63" s="53">
        <f t="shared" si="38"/>
        <v>3</v>
      </c>
      <c r="BE63" s="74">
        <f t="shared" si="38"/>
        <v>282</v>
      </c>
      <c r="BF63" s="53">
        <f t="shared" si="38"/>
        <v>15</v>
      </c>
      <c r="BG63" s="53">
        <f t="shared" si="38"/>
        <v>7</v>
      </c>
      <c r="BH63" s="53">
        <f t="shared" si="38"/>
        <v>0</v>
      </c>
      <c r="BI63" s="53">
        <f t="shared" si="38"/>
        <v>0</v>
      </c>
      <c r="BJ63" s="53">
        <f t="shared" si="38"/>
        <v>1</v>
      </c>
      <c r="BK63" s="53">
        <f t="shared" si="38"/>
        <v>0</v>
      </c>
      <c r="BL63" s="74">
        <f t="shared" si="38"/>
        <v>23</v>
      </c>
      <c r="BM63" s="53">
        <f t="shared" si="38"/>
        <v>236</v>
      </c>
      <c r="BN63" s="53">
        <f t="shared" si="38"/>
        <v>60</v>
      </c>
      <c r="BO63" s="53">
        <f t="shared" si="38"/>
        <v>1</v>
      </c>
      <c r="BP63" s="53">
        <f t="shared" si="38"/>
        <v>0</v>
      </c>
      <c r="BQ63" s="53">
        <f t="shared" si="38"/>
        <v>3</v>
      </c>
      <c r="BR63" s="53">
        <f t="shared" si="38"/>
        <v>0</v>
      </c>
      <c r="BS63" s="74">
        <f t="shared" si="38"/>
        <v>300</v>
      </c>
      <c r="BT63" s="53">
        <f t="shared" si="38"/>
        <v>284</v>
      </c>
      <c r="BU63" s="53">
        <f t="shared" si="38"/>
        <v>62</v>
      </c>
      <c r="BV63" s="53">
        <f t="shared" si="38"/>
        <v>0</v>
      </c>
      <c r="BW63" s="53">
        <f t="shared" si="38"/>
        <v>0</v>
      </c>
      <c r="BX63" s="53">
        <f t="shared" si="38"/>
        <v>0</v>
      </c>
      <c r="BY63" s="53">
        <f t="shared" si="38"/>
        <v>0</v>
      </c>
      <c r="BZ63" s="74">
        <f t="shared" si="38"/>
        <v>346</v>
      </c>
      <c r="CA63" s="53">
        <f t="shared" si="38"/>
        <v>0</v>
      </c>
      <c r="CB63" s="53">
        <f t="shared" si="38"/>
        <v>0</v>
      </c>
      <c r="CC63" s="53">
        <f t="shared" si="38"/>
        <v>0</v>
      </c>
      <c r="CD63" s="53">
        <f t="shared" si="38"/>
        <v>0</v>
      </c>
      <c r="CE63" s="53">
        <f t="shared" si="38"/>
        <v>0</v>
      </c>
      <c r="CF63" s="53">
        <f t="shared" si="38"/>
        <v>0</v>
      </c>
      <c r="CG63" s="74">
        <f t="shared" si="38"/>
        <v>0</v>
      </c>
      <c r="CH63" s="53">
        <f t="shared" si="38"/>
        <v>277</v>
      </c>
      <c r="CI63" s="53">
        <f t="shared" si="38"/>
        <v>42</v>
      </c>
      <c r="CJ63" s="53">
        <f t="shared" si="38"/>
        <v>0</v>
      </c>
      <c r="CK63" s="53">
        <f t="shared" si="38"/>
        <v>0</v>
      </c>
      <c r="CL63" s="53">
        <f t="shared" si="38"/>
        <v>1</v>
      </c>
      <c r="CM63" s="53">
        <f t="shared" si="38"/>
        <v>2</v>
      </c>
      <c r="CN63" s="74">
        <f t="shared" si="38"/>
        <v>322</v>
      </c>
      <c r="CO63" s="53">
        <f t="shared" si="38"/>
        <v>552</v>
      </c>
      <c r="CP63" s="53">
        <f t="shared" si="38"/>
        <v>199</v>
      </c>
      <c r="CQ63" s="53">
        <f t="shared" si="38"/>
        <v>1</v>
      </c>
      <c r="CR63" s="53">
        <f t="shared" si="38"/>
        <v>1</v>
      </c>
      <c r="CS63" s="53">
        <f t="shared" si="38"/>
        <v>5</v>
      </c>
      <c r="CT63" s="53">
        <f t="shared" si="38"/>
        <v>2</v>
      </c>
      <c r="CU63" s="74">
        <f t="shared" si="38"/>
        <v>760</v>
      </c>
      <c r="CV63" s="53">
        <f t="shared" si="38"/>
        <v>0</v>
      </c>
      <c r="CW63" s="53">
        <f t="shared" si="38"/>
        <v>0</v>
      </c>
      <c r="CX63" s="53">
        <f t="shared" si="38"/>
        <v>0</v>
      </c>
      <c r="CY63" s="53">
        <f t="shared" si="38"/>
        <v>0</v>
      </c>
      <c r="CZ63" s="53">
        <f t="shared" si="38"/>
        <v>0</v>
      </c>
      <c r="DA63" s="53">
        <f t="shared" si="38"/>
        <v>0</v>
      </c>
      <c r="DB63" s="74">
        <f t="shared" si="38"/>
        <v>0</v>
      </c>
      <c r="DC63" s="53">
        <f t="shared" si="38"/>
        <v>0</v>
      </c>
      <c r="DD63" s="53">
        <f t="shared" si="38"/>
        <v>0</v>
      </c>
      <c r="DE63" s="53">
        <f t="shared" si="38"/>
        <v>0</v>
      </c>
      <c r="DF63" s="53">
        <f t="shared" si="38"/>
        <v>0</v>
      </c>
      <c r="DG63" s="53">
        <f t="shared" si="38"/>
        <v>0</v>
      </c>
      <c r="DH63" s="53">
        <f t="shared" si="38"/>
        <v>0</v>
      </c>
      <c r="DI63" s="74">
        <f t="shared" si="38"/>
        <v>0</v>
      </c>
      <c r="DJ63" s="53">
        <f t="shared" si="38"/>
        <v>0</v>
      </c>
      <c r="DK63" s="53">
        <f t="shared" si="38"/>
        <v>0</v>
      </c>
      <c r="DL63" s="53">
        <f t="shared" si="38"/>
        <v>0</v>
      </c>
      <c r="DM63" s="53">
        <f t="shared" si="38"/>
        <v>0</v>
      </c>
      <c r="DN63" s="53">
        <f t="shared" si="38"/>
        <v>0</v>
      </c>
      <c r="DO63" s="53">
        <f t="shared" si="38"/>
        <v>0</v>
      </c>
      <c r="DP63" s="74">
        <f t="shared" si="38"/>
        <v>0</v>
      </c>
      <c r="DQ63" s="53">
        <f t="shared" si="38"/>
        <v>0</v>
      </c>
      <c r="DR63" s="53">
        <f t="shared" si="38"/>
        <v>0</v>
      </c>
      <c r="DS63" s="53">
        <f t="shared" si="38"/>
        <v>0</v>
      </c>
      <c r="DT63" s="53">
        <f t="shared" si="38"/>
        <v>0</v>
      </c>
      <c r="DU63" s="53">
        <f t="shared" si="38"/>
        <v>0</v>
      </c>
      <c r="DV63" s="53">
        <f t="shared" si="38"/>
        <v>0</v>
      </c>
      <c r="DW63" s="74">
        <f t="shared" si="38"/>
        <v>0</v>
      </c>
      <c r="DX63" s="53">
        <f t="shared" si="38"/>
        <v>0</v>
      </c>
      <c r="DY63" s="53">
        <f t="shared" si="38"/>
        <v>0</v>
      </c>
      <c r="DZ63" s="53">
        <f t="shared" si="38"/>
        <v>0</v>
      </c>
      <c r="EA63" s="53">
        <f t="shared" si="38"/>
        <v>0</v>
      </c>
      <c r="EB63" s="53">
        <f t="shared" si="38"/>
        <v>0</v>
      </c>
      <c r="EC63" s="53">
        <f t="shared" si="38"/>
        <v>0</v>
      </c>
      <c r="ED63" s="74">
        <f t="shared" si="38"/>
        <v>0</v>
      </c>
      <c r="EE63" s="276"/>
      <c r="EF63" s="276"/>
      <c r="EG63" s="276"/>
      <c r="EH63" s="276"/>
      <c r="EI63" s="276"/>
      <c r="EJ63" s="276"/>
      <c r="EK63" s="276"/>
      <c r="EL63" s="53">
        <f t="shared" si="38"/>
        <v>0</v>
      </c>
      <c r="EM63" s="53">
        <f t="shared" si="38"/>
        <v>0</v>
      </c>
      <c r="EN63" s="53">
        <f t="shared" si="38"/>
        <v>0</v>
      </c>
      <c r="EO63" s="53">
        <f t="shared" si="38"/>
        <v>0</v>
      </c>
      <c r="EP63" s="53">
        <f t="shared" si="38"/>
        <v>0</v>
      </c>
      <c r="EQ63" s="53">
        <f t="shared" si="38"/>
        <v>0</v>
      </c>
      <c r="ER63" s="74">
        <f t="shared" si="38"/>
        <v>0</v>
      </c>
      <c r="ES63" s="53">
        <f t="shared" si="38"/>
        <v>0</v>
      </c>
      <c r="ET63" s="53">
        <f t="shared" si="38"/>
        <v>0</v>
      </c>
      <c r="EU63" s="53">
        <f t="shared" si="38"/>
        <v>0</v>
      </c>
      <c r="EV63" s="53">
        <f t="shared" si="38"/>
        <v>0</v>
      </c>
      <c r="EW63" s="53">
        <f t="shared" si="38"/>
        <v>0</v>
      </c>
      <c r="EX63" s="53">
        <f t="shared" si="38"/>
        <v>0</v>
      </c>
      <c r="EY63" s="74">
        <f t="shared" si="38"/>
        <v>0</v>
      </c>
      <c r="EZ63" s="53">
        <f t="shared" si="38"/>
        <v>0</v>
      </c>
      <c r="FA63" s="53">
        <f t="shared" si="38"/>
        <v>0</v>
      </c>
      <c r="FB63" s="53">
        <f t="shared" si="38"/>
        <v>0</v>
      </c>
      <c r="FC63" s="53">
        <f t="shared" si="38"/>
        <v>0</v>
      </c>
      <c r="FD63" s="53">
        <f t="shared" si="38"/>
        <v>0</v>
      </c>
      <c r="FE63" s="53">
        <f t="shared" si="38"/>
        <v>0</v>
      </c>
      <c r="FF63" s="74">
        <f t="shared" si="38"/>
        <v>0</v>
      </c>
      <c r="FG63" s="276"/>
      <c r="FH63" s="276"/>
      <c r="FI63" s="276"/>
      <c r="FJ63" s="276"/>
      <c r="FK63" s="276"/>
      <c r="FL63" s="276"/>
      <c r="FM63" s="276"/>
      <c r="FN63" s="53">
        <f t="shared" si="38"/>
        <v>0</v>
      </c>
      <c r="FO63" s="53">
        <f t="shared" si="38"/>
        <v>0</v>
      </c>
      <c r="FP63" s="53">
        <f t="shared" si="38"/>
        <v>0</v>
      </c>
      <c r="FQ63" s="53">
        <f t="shared" si="38"/>
        <v>0</v>
      </c>
      <c r="FR63" s="53">
        <f t="shared" si="38"/>
        <v>0</v>
      </c>
      <c r="FS63" s="53">
        <f t="shared" si="38"/>
        <v>0</v>
      </c>
      <c r="FT63" s="74">
        <f t="shared" si="38"/>
        <v>0</v>
      </c>
      <c r="FU63" s="53">
        <f t="shared" si="38"/>
        <v>0</v>
      </c>
      <c r="FV63" s="53">
        <f t="shared" si="38"/>
        <v>0</v>
      </c>
      <c r="FW63" s="53">
        <f t="shared" si="38"/>
        <v>0</v>
      </c>
      <c r="FX63" s="53">
        <f t="shared" si="38"/>
        <v>0</v>
      </c>
      <c r="FY63" s="53">
        <f t="shared" si="38"/>
        <v>0</v>
      </c>
      <c r="FZ63" s="53">
        <f t="shared" si="38"/>
        <v>0</v>
      </c>
      <c r="GA63" s="74">
        <f t="shared" si="38"/>
        <v>0</v>
      </c>
      <c r="GB63" s="53">
        <f t="shared" si="38"/>
        <v>0</v>
      </c>
      <c r="GC63" s="53">
        <f t="shared" si="38"/>
        <v>0</v>
      </c>
      <c r="GD63" s="53">
        <f t="shared" si="38"/>
        <v>0</v>
      </c>
      <c r="GE63" s="53">
        <f t="shared" si="38"/>
        <v>0</v>
      </c>
      <c r="GF63" s="53">
        <f t="shared" si="38"/>
        <v>0</v>
      </c>
      <c r="GG63" s="53">
        <f t="shared" si="38"/>
        <v>0</v>
      </c>
      <c r="GH63" s="74">
        <f t="shared" si="38"/>
        <v>0</v>
      </c>
      <c r="GI63" s="276"/>
      <c r="GJ63" s="276"/>
      <c r="GK63" s="276"/>
      <c r="GL63" s="276"/>
      <c r="GM63" s="276"/>
      <c r="GN63" s="276"/>
      <c r="GO63" s="276"/>
      <c r="GP63" s="53">
        <f t="shared" si="38"/>
        <v>0</v>
      </c>
      <c r="GQ63" s="53">
        <f t="shared" si="38"/>
        <v>0</v>
      </c>
      <c r="GR63" s="53">
        <f t="shared" si="38"/>
        <v>0</v>
      </c>
      <c r="GS63" s="53">
        <f t="shared" si="38"/>
        <v>0</v>
      </c>
      <c r="GT63" s="53">
        <f t="shared" si="38"/>
        <v>0</v>
      </c>
      <c r="GU63" s="53">
        <f t="shared" si="38"/>
        <v>0</v>
      </c>
      <c r="GV63" s="74">
        <f t="shared" si="38"/>
        <v>0</v>
      </c>
      <c r="GW63" s="53">
        <f t="shared" si="38"/>
        <v>0</v>
      </c>
      <c r="GX63" s="53">
        <f t="shared" si="38"/>
        <v>0</v>
      </c>
      <c r="GY63" s="53">
        <f t="shared" si="38"/>
        <v>0</v>
      </c>
      <c r="GZ63" s="53">
        <f t="shared" si="38"/>
        <v>0</v>
      </c>
      <c r="HA63" s="53">
        <f t="shared" si="38"/>
        <v>0</v>
      </c>
      <c r="HB63" s="53">
        <f t="shared" si="38"/>
        <v>0</v>
      </c>
      <c r="HC63" s="74">
        <f t="shared" si="38"/>
        <v>0</v>
      </c>
      <c r="HD63" s="53">
        <f t="shared" si="38"/>
        <v>0</v>
      </c>
      <c r="HE63" s="53">
        <f t="shared" si="38"/>
        <v>0</v>
      </c>
      <c r="HF63" s="53">
        <f t="shared" si="38"/>
        <v>0</v>
      </c>
      <c r="HG63" s="53">
        <f t="shared" si="38"/>
        <v>0</v>
      </c>
      <c r="HH63" s="53">
        <f t="shared" si="38"/>
        <v>0</v>
      </c>
      <c r="HI63" s="53">
        <f t="shared" si="38"/>
        <v>0</v>
      </c>
      <c r="HJ63" s="74">
        <f t="shared" si="38"/>
        <v>0</v>
      </c>
    </row>
    <row r="64" spans="1:218" ht="21.75" customHeight="1" x14ac:dyDescent="0.6">
      <c r="A64" s="75" t="s">
        <v>178</v>
      </c>
      <c r="B64" s="53">
        <f t="shared" ref="B64:HJ64" si="39">SUM(B47:B50)</f>
        <v>160</v>
      </c>
      <c r="C64" s="53">
        <f t="shared" si="39"/>
        <v>21</v>
      </c>
      <c r="D64" s="53">
        <f t="shared" si="39"/>
        <v>0</v>
      </c>
      <c r="E64" s="53">
        <f t="shared" si="39"/>
        <v>0</v>
      </c>
      <c r="F64" s="53">
        <f t="shared" si="39"/>
        <v>2</v>
      </c>
      <c r="G64" s="53">
        <f t="shared" si="39"/>
        <v>1</v>
      </c>
      <c r="H64" s="74">
        <f t="shared" si="39"/>
        <v>184</v>
      </c>
      <c r="I64" s="53">
        <f t="shared" si="39"/>
        <v>92</v>
      </c>
      <c r="J64" s="53">
        <f t="shared" si="39"/>
        <v>42</v>
      </c>
      <c r="K64" s="53">
        <f t="shared" si="39"/>
        <v>0</v>
      </c>
      <c r="L64" s="53">
        <f t="shared" si="39"/>
        <v>0</v>
      </c>
      <c r="M64" s="53">
        <f t="shared" si="39"/>
        <v>0</v>
      </c>
      <c r="N64" s="53">
        <f t="shared" si="39"/>
        <v>0</v>
      </c>
      <c r="O64" s="74">
        <f t="shared" si="39"/>
        <v>134</v>
      </c>
      <c r="P64" s="53">
        <f t="shared" si="39"/>
        <v>64</v>
      </c>
      <c r="Q64" s="53">
        <f t="shared" si="39"/>
        <v>19</v>
      </c>
      <c r="R64" s="53">
        <f t="shared" si="39"/>
        <v>0</v>
      </c>
      <c r="S64" s="53">
        <f t="shared" si="39"/>
        <v>0</v>
      </c>
      <c r="T64" s="53">
        <f t="shared" si="39"/>
        <v>0</v>
      </c>
      <c r="U64" s="53">
        <f t="shared" si="39"/>
        <v>0</v>
      </c>
      <c r="V64" s="74">
        <f t="shared" si="39"/>
        <v>83</v>
      </c>
      <c r="W64" s="53">
        <f t="shared" si="39"/>
        <v>0</v>
      </c>
      <c r="X64" s="53">
        <f t="shared" si="39"/>
        <v>0</v>
      </c>
      <c r="Y64" s="53">
        <f t="shared" si="39"/>
        <v>0</v>
      </c>
      <c r="Z64" s="53">
        <f t="shared" si="39"/>
        <v>0</v>
      </c>
      <c r="AA64" s="53">
        <f t="shared" si="39"/>
        <v>0</v>
      </c>
      <c r="AB64" s="53">
        <f t="shared" si="39"/>
        <v>0</v>
      </c>
      <c r="AC64" s="74">
        <f t="shared" si="39"/>
        <v>0</v>
      </c>
      <c r="AD64" s="53">
        <f t="shared" si="39"/>
        <v>213</v>
      </c>
      <c r="AE64" s="53">
        <f t="shared" si="39"/>
        <v>68</v>
      </c>
      <c r="AF64" s="53">
        <f t="shared" si="39"/>
        <v>0</v>
      </c>
      <c r="AG64" s="53">
        <f t="shared" si="39"/>
        <v>0</v>
      </c>
      <c r="AH64" s="53">
        <f t="shared" si="39"/>
        <v>1</v>
      </c>
      <c r="AI64" s="53">
        <f t="shared" si="39"/>
        <v>0</v>
      </c>
      <c r="AJ64" s="74">
        <f t="shared" si="39"/>
        <v>282</v>
      </c>
      <c r="AK64" s="53">
        <f t="shared" si="39"/>
        <v>569</v>
      </c>
      <c r="AL64" s="53">
        <f t="shared" si="39"/>
        <v>130</v>
      </c>
      <c r="AM64" s="53">
        <f t="shared" si="39"/>
        <v>2</v>
      </c>
      <c r="AN64" s="53">
        <f t="shared" si="39"/>
        <v>0</v>
      </c>
      <c r="AO64" s="53">
        <f t="shared" si="39"/>
        <v>5</v>
      </c>
      <c r="AP64" s="53">
        <f t="shared" si="39"/>
        <v>0</v>
      </c>
      <c r="AQ64" s="74">
        <f t="shared" si="39"/>
        <v>706</v>
      </c>
      <c r="AR64" s="53">
        <f t="shared" si="39"/>
        <v>188</v>
      </c>
      <c r="AS64" s="53">
        <f t="shared" si="39"/>
        <v>25</v>
      </c>
      <c r="AT64" s="53">
        <f t="shared" si="39"/>
        <v>0</v>
      </c>
      <c r="AU64" s="53">
        <f t="shared" si="39"/>
        <v>0</v>
      </c>
      <c r="AV64" s="53">
        <f t="shared" si="39"/>
        <v>1</v>
      </c>
      <c r="AW64" s="53">
        <f t="shared" si="39"/>
        <v>2</v>
      </c>
      <c r="AX64" s="74">
        <f t="shared" si="39"/>
        <v>216</v>
      </c>
      <c r="AY64" s="53">
        <f t="shared" si="39"/>
        <v>192</v>
      </c>
      <c r="AZ64" s="53">
        <f t="shared" si="39"/>
        <v>72</v>
      </c>
      <c r="BA64" s="53">
        <f t="shared" si="39"/>
        <v>0</v>
      </c>
      <c r="BB64" s="53">
        <f t="shared" si="39"/>
        <v>0</v>
      </c>
      <c r="BC64" s="53">
        <f t="shared" si="39"/>
        <v>1</v>
      </c>
      <c r="BD64" s="53">
        <f t="shared" si="39"/>
        <v>0</v>
      </c>
      <c r="BE64" s="74">
        <f t="shared" si="39"/>
        <v>265</v>
      </c>
      <c r="BF64" s="53">
        <f t="shared" si="39"/>
        <v>12</v>
      </c>
      <c r="BG64" s="53">
        <f t="shared" si="39"/>
        <v>2</v>
      </c>
      <c r="BH64" s="53">
        <f t="shared" si="39"/>
        <v>0</v>
      </c>
      <c r="BI64" s="53">
        <f t="shared" si="39"/>
        <v>0</v>
      </c>
      <c r="BJ64" s="53">
        <f t="shared" si="39"/>
        <v>0</v>
      </c>
      <c r="BK64" s="53">
        <f t="shared" si="39"/>
        <v>0</v>
      </c>
      <c r="BL64" s="74">
        <f t="shared" si="39"/>
        <v>14</v>
      </c>
      <c r="BM64" s="53">
        <f t="shared" si="39"/>
        <v>145</v>
      </c>
      <c r="BN64" s="53">
        <f t="shared" si="39"/>
        <v>52</v>
      </c>
      <c r="BO64" s="53">
        <f t="shared" si="39"/>
        <v>1</v>
      </c>
      <c r="BP64" s="53">
        <f t="shared" si="39"/>
        <v>0</v>
      </c>
      <c r="BQ64" s="53">
        <f t="shared" si="39"/>
        <v>1</v>
      </c>
      <c r="BR64" s="53">
        <f t="shared" si="39"/>
        <v>0</v>
      </c>
      <c r="BS64" s="74">
        <f t="shared" si="39"/>
        <v>199</v>
      </c>
      <c r="BT64" s="53">
        <f t="shared" si="39"/>
        <v>256</v>
      </c>
      <c r="BU64" s="53">
        <f t="shared" si="39"/>
        <v>39</v>
      </c>
      <c r="BV64" s="53">
        <f t="shared" si="39"/>
        <v>0</v>
      </c>
      <c r="BW64" s="53">
        <f t="shared" si="39"/>
        <v>0</v>
      </c>
      <c r="BX64" s="53">
        <f t="shared" si="39"/>
        <v>0</v>
      </c>
      <c r="BY64" s="53">
        <f t="shared" si="39"/>
        <v>0</v>
      </c>
      <c r="BZ64" s="74">
        <f t="shared" si="39"/>
        <v>295</v>
      </c>
      <c r="CA64" s="53">
        <f t="shared" si="39"/>
        <v>0</v>
      </c>
      <c r="CB64" s="53">
        <f t="shared" si="39"/>
        <v>0</v>
      </c>
      <c r="CC64" s="53">
        <f t="shared" si="39"/>
        <v>0</v>
      </c>
      <c r="CD64" s="53">
        <f t="shared" si="39"/>
        <v>0</v>
      </c>
      <c r="CE64" s="53">
        <f t="shared" si="39"/>
        <v>0</v>
      </c>
      <c r="CF64" s="53">
        <f t="shared" si="39"/>
        <v>0</v>
      </c>
      <c r="CG64" s="74">
        <f t="shared" si="39"/>
        <v>0</v>
      </c>
      <c r="CH64" s="53">
        <f t="shared" si="39"/>
        <v>264</v>
      </c>
      <c r="CI64" s="53">
        <f t="shared" si="39"/>
        <v>33</v>
      </c>
      <c r="CJ64" s="53">
        <f t="shared" si="39"/>
        <v>0</v>
      </c>
      <c r="CK64" s="53">
        <f t="shared" si="39"/>
        <v>0</v>
      </c>
      <c r="CL64" s="53">
        <f t="shared" si="39"/>
        <v>1</v>
      </c>
      <c r="CM64" s="53">
        <f t="shared" si="39"/>
        <v>1</v>
      </c>
      <c r="CN64" s="74">
        <f t="shared" si="39"/>
        <v>299</v>
      </c>
      <c r="CO64" s="53">
        <f t="shared" si="39"/>
        <v>623</v>
      </c>
      <c r="CP64" s="53">
        <f t="shared" si="39"/>
        <v>173</v>
      </c>
      <c r="CQ64" s="53">
        <f t="shared" si="39"/>
        <v>1</v>
      </c>
      <c r="CR64" s="53">
        <f t="shared" si="39"/>
        <v>3</v>
      </c>
      <c r="CS64" s="53">
        <f t="shared" si="39"/>
        <v>0</v>
      </c>
      <c r="CT64" s="53">
        <f t="shared" si="39"/>
        <v>0</v>
      </c>
      <c r="CU64" s="74">
        <f t="shared" si="39"/>
        <v>800</v>
      </c>
      <c r="CV64" s="53">
        <f t="shared" si="39"/>
        <v>0</v>
      </c>
      <c r="CW64" s="53">
        <f t="shared" si="39"/>
        <v>0</v>
      </c>
      <c r="CX64" s="53">
        <f t="shared" si="39"/>
        <v>0</v>
      </c>
      <c r="CY64" s="53">
        <f t="shared" si="39"/>
        <v>0</v>
      </c>
      <c r="CZ64" s="53">
        <f t="shared" si="39"/>
        <v>0</v>
      </c>
      <c r="DA64" s="53">
        <f t="shared" si="39"/>
        <v>0</v>
      </c>
      <c r="DB64" s="74">
        <f t="shared" si="39"/>
        <v>0</v>
      </c>
      <c r="DC64" s="53">
        <f t="shared" si="39"/>
        <v>0</v>
      </c>
      <c r="DD64" s="53">
        <f t="shared" si="39"/>
        <v>0</v>
      </c>
      <c r="DE64" s="53">
        <f t="shared" si="39"/>
        <v>0</v>
      </c>
      <c r="DF64" s="53">
        <f t="shared" si="39"/>
        <v>0</v>
      </c>
      <c r="DG64" s="53">
        <f t="shared" si="39"/>
        <v>0</v>
      </c>
      <c r="DH64" s="53">
        <f t="shared" si="39"/>
        <v>0</v>
      </c>
      <c r="DI64" s="74">
        <f t="shared" si="39"/>
        <v>0</v>
      </c>
      <c r="DJ64" s="53">
        <f t="shared" si="39"/>
        <v>0</v>
      </c>
      <c r="DK64" s="53">
        <f t="shared" si="39"/>
        <v>0</v>
      </c>
      <c r="DL64" s="53">
        <f t="shared" si="39"/>
        <v>0</v>
      </c>
      <c r="DM64" s="53">
        <f t="shared" si="39"/>
        <v>0</v>
      </c>
      <c r="DN64" s="53">
        <f t="shared" si="39"/>
        <v>0</v>
      </c>
      <c r="DO64" s="53">
        <f t="shared" si="39"/>
        <v>0</v>
      </c>
      <c r="DP64" s="74">
        <f t="shared" si="39"/>
        <v>0</v>
      </c>
      <c r="DQ64" s="53">
        <f t="shared" si="39"/>
        <v>0</v>
      </c>
      <c r="DR64" s="53">
        <f t="shared" si="39"/>
        <v>0</v>
      </c>
      <c r="DS64" s="53">
        <f t="shared" si="39"/>
        <v>0</v>
      </c>
      <c r="DT64" s="53">
        <f t="shared" si="39"/>
        <v>0</v>
      </c>
      <c r="DU64" s="53">
        <f t="shared" si="39"/>
        <v>0</v>
      </c>
      <c r="DV64" s="53">
        <f t="shared" si="39"/>
        <v>0</v>
      </c>
      <c r="DW64" s="74">
        <f t="shared" si="39"/>
        <v>0</v>
      </c>
      <c r="DX64" s="53">
        <f t="shared" si="39"/>
        <v>0</v>
      </c>
      <c r="DY64" s="53">
        <f t="shared" si="39"/>
        <v>0</v>
      </c>
      <c r="DZ64" s="53">
        <f t="shared" si="39"/>
        <v>0</v>
      </c>
      <c r="EA64" s="53">
        <f t="shared" si="39"/>
        <v>0</v>
      </c>
      <c r="EB64" s="53">
        <f t="shared" si="39"/>
        <v>0</v>
      </c>
      <c r="EC64" s="53">
        <f t="shared" si="39"/>
        <v>0</v>
      </c>
      <c r="ED64" s="74">
        <f t="shared" si="39"/>
        <v>0</v>
      </c>
      <c r="EE64" s="276"/>
      <c r="EF64" s="276"/>
      <c r="EG64" s="276"/>
      <c r="EH64" s="276"/>
      <c r="EI64" s="276"/>
      <c r="EJ64" s="276"/>
      <c r="EK64" s="276"/>
      <c r="EL64" s="53">
        <f t="shared" si="39"/>
        <v>0</v>
      </c>
      <c r="EM64" s="53">
        <f t="shared" si="39"/>
        <v>0</v>
      </c>
      <c r="EN64" s="53">
        <f t="shared" si="39"/>
        <v>0</v>
      </c>
      <c r="EO64" s="53">
        <f t="shared" si="39"/>
        <v>0</v>
      </c>
      <c r="EP64" s="53">
        <f t="shared" si="39"/>
        <v>0</v>
      </c>
      <c r="EQ64" s="53">
        <f t="shared" si="39"/>
        <v>0</v>
      </c>
      <c r="ER64" s="74">
        <f t="shared" si="39"/>
        <v>0</v>
      </c>
      <c r="ES64" s="53">
        <f t="shared" si="39"/>
        <v>0</v>
      </c>
      <c r="ET64" s="53">
        <f t="shared" si="39"/>
        <v>0</v>
      </c>
      <c r="EU64" s="53">
        <f t="shared" si="39"/>
        <v>0</v>
      </c>
      <c r="EV64" s="53">
        <f t="shared" si="39"/>
        <v>0</v>
      </c>
      <c r="EW64" s="53">
        <f t="shared" si="39"/>
        <v>0</v>
      </c>
      <c r="EX64" s="53">
        <f t="shared" si="39"/>
        <v>0</v>
      </c>
      <c r="EY64" s="74">
        <f t="shared" si="39"/>
        <v>0</v>
      </c>
      <c r="EZ64" s="53">
        <f t="shared" si="39"/>
        <v>0</v>
      </c>
      <c r="FA64" s="53">
        <f t="shared" si="39"/>
        <v>0</v>
      </c>
      <c r="FB64" s="53">
        <f t="shared" si="39"/>
        <v>0</v>
      </c>
      <c r="FC64" s="53">
        <f t="shared" si="39"/>
        <v>0</v>
      </c>
      <c r="FD64" s="53">
        <f t="shared" si="39"/>
        <v>0</v>
      </c>
      <c r="FE64" s="53">
        <f t="shared" si="39"/>
        <v>0</v>
      </c>
      <c r="FF64" s="74">
        <f t="shared" si="39"/>
        <v>0</v>
      </c>
      <c r="FG64" s="276"/>
      <c r="FH64" s="276"/>
      <c r="FI64" s="276"/>
      <c r="FJ64" s="276"/>
      <c r="FK64" s="276"/>
      <c r="FL64" s="276"/>
      <c r="FM64" s="276"/>
      <c r="FN64" s="53">
        <f t="shared" si="39"/>
        <v>0</v>
      </c>
      <c r="FO64" s="53">
        <f t="shared" si="39"/>
        <v>0</v>
      </c>
      <c r="FP64" s="53">
        <f t="shared" si="39"/>
        <v>0</v>
      </c>
      <c r="FQ64" s="53">
        <f t="shared" si="39"/>
        <v>0</v>
      </c>
      <c r="FR64" s="53">
        <f t="shared" si="39"/>
        <v>0</v>
      </c>
      <c r="FS64" s="53">
        <f t="shared" si="39"/>
        <v>0</v>
      </c>
      <c r="FT64" s="74">
        <f t="shared" si="39"/>
        <v>0</v>
      </c>
      <c r="FU64" s="53">
        <f t="shared" si="39"/>
        <v>0</v>
      </c>
      <c r="FV64" s="53">
        <f t="shared" si="39"/>
        <v>0</v>
      </c>
      <c r="FW64" s="53">
        <f t="shared" si="39"/>
        <v>0</v>
      </c>
      <c r="FX64" s="53">
        <f t="shared" si="39"/>
        <v>0</v>
      </c>
      <c r="FY64" s="53">
        <f t="shared" si="39"/>
        <v>0</v>
      </c>
      <c r="FZ64" s="53">
        <f t="shared" si="39"/>
        <v>0</v>
      </c>
      <c r="GA64" s="74">
        <f t="shared" si="39"/>
        <v>0</v>
      </c>
      <c r="GB64" s="53">
        <f t="shared" si="39"/>
        <v>0</v>
      </c>
      <c r="GC64" s="53">
        <f t="shared" si="39"/>
        <v>0</v>
      </c>
      <c r="GD64" s="53">
        <f t="shared" si="39"/>
        <v>0</v>
      </c>
      <c r="GE64" s="53">
        <f t="shared" si="39"/>
        <v>0</v>
      </c>
      <c r="GF64" s="53">
        <f t="shared" si="39"/>
        <v>0</v>
      </c>
      <c r="GG64" s="53">
        <f t="shared" si="39"/>
        <v>0</v>
      </c>
      <c r="GH64" s="74">
        <f t="shared" si="39"/>
        <v>0</v>
      </c>
      <c r="GI64" s="276"/>
      <c r="GJ64" s="276"/>
      <c r="GK64" s="276"/>
      <c r="GL64" s="276"/>
      <c r="GM64" s="276"/>
      <c r="GN64" s="276"/>
      <c r="GO64" s="276"/>
      <c r="GP64" s="53">
        <f t="shared" si="39"/>
        <v>0</v>
      </c>
      <c r="GQ64" s="53">
        <f t="shared" si="39"/>
        <v>0</v>
      </c>
      <c r="GR64" s="53">
        <f t="shared" si="39"/>
        <v>0</v>
      </c>
      <c r="GS64" s="53">
        <f t="shared" si="39"/>
        <v>0</v>
      </c>
      <c r="GT64" s="53">
        <f t="shared" si="39"/>
        <v>0</v>
      </c>
      <c r="GU64" s="53">
        <f t="shared" si="39"/>
        <v>0</v>
      </c>
      <c r="GV64" s="74">
        <f t="shared" si="39"/>
        <v>0</v>
      </c>
      <c r="GW64" s="53">
        <f t="shared" si="39"/>
        <v>0</v>
      </c>
      <c r="GX64" s="53">
        <f t="shared" si="39"/>
        <v>0</v>
      </c>
      <c r="GY64" s="53">
        <f t="shared" si="39"/>
        <v>0</v>
      </c>
      <c r="GZ64" s="53">
        <f t="shared" si="39"/>
        <v>0</v>
      </c>
      <c r="HA64" s="53">
        <f t="shared" si="39"/>
        <v>0</v>
      </c>
      <c r="HB64" s="53">
        <f t="shared" si="39"/>
        <v>0</v>
      </c>
      <c r="HC64" s="74">
        <f t="shared" si="39"/>
        <v>0</v>
      </c>
      <c r="HD64" s="53">
        <f t="shared" si="39"/>
        <v>0</v>
      </c>
      <c r="HE64" s="53">
        <f t="shared" si="39"/>
        <v>0</v>
      </c>
      <c r="HF64" s="53">
        <f t="shared" si="39"/>
        <v>0</v>
      </c>
      <c r="HG64" s="53">
        <f t="shared" si="39"/>
        <v>0</v>
      </c>
      <c r="HH64" s="53">
        <f t="shared" si="39"/>
        <v>0</v>
      </c>
      <c r="HI64" s="53">
        <f t="shared" si="39"/>
        <v>0</v>
      </c>
      <c r="HJ64" s="74">
        <f t="shared" si="39"/>
        <v>0</v>
      </c>
    </row>
    <row r="65" spans="1:218" ht="21.75" customHeight="1" x14ac:dyDescent="0.6">
      <c r="A65" s="63" t="s">
        <v>259</v>
      </c>
      <c r="B65" s="76">
        <f t="shared" ref="B65:HJ65" si="40">SUM(B53:B64)</f>
        <v>1831</v>
      </c>
      <c r="C65" s="76">
        <f t="shared" si="40"/>
        <v>330</v>
      </c>
      <c r="D65" s="76">
        <f t="shared" si="40"/>
        <v>3</v>
      </c>
      <c r="E65" s="76">
        <f t="shared" si="40"/>
        <v>0</v>
      </c>
      <c r="F65" s="76">
        <f t="shared" si="40"/>
        <v>26</v>
      </c>
      <c r="G65" s="76">
        <f t="shared" si="40"/>
        <v>21</v>
      </c>
      <c r="H65" s="76">
        <f t="shared" si="40"/>
        <v>2211</v>
      </c>
      <c r="I65" s="76">
        <f t="shared" si="40"/>
        <v>1831</v>
      </c>
      <c r="J65" s="76">
        <f t="shared" si="40"/>
        <v>484</v>
      </c>
      <c r="K65" s="76">
        <f t="shared" si="40"/>
        <v>0</v>
      </c>
      <c r="L65" s="76">
        <f t="shared" si="40"/>
        <v>0</v>
      </c>
      <c r="M65" s="76">
        <f t="shared" si="40"/>
        <v>2</v>
      </c>
      <c r="N65" s="76">
        <f t="shared" si="40"/>
        <v>2</v>
      </c>
      <c r="O65" s="76">
        <f t="shared" si="40"/>
        <v>2319</v>
      </c>
      <c r="P65" s="76">
        <f t="shared" si="40"/>
        <v>1066</v>
      </c>
      <c r="Q65" s="76">
        <f t="shared" si="40"/>
        <v>361</v>
      </c>
      <c r="R65" s="76">
        <f t="shared" si="40"/>
        <v>0</v>
      </c>
      <c r="S65" s="76">
        <f t="shared" si="40"/>
        <v>0</v>
      </c>
      <c r="T65" s="76">
        <f t="shared" si="40"/>
        <v>10</v>
      </c>
      <c r="U65" s="76">
        <f t="shared" si="40"/>
        <v>0</v>
      </c>
      <c r="V65" s="76">
        <f t="shared" si="40"/>
        <v>1437</v>
      </c>
      <c r="W65" s="76">
        <f t="shared" si="40"/>
        <v>0</v>
      </c>
      <c r="X65" s="76">
        <f t="shared" si="40"/>
        <v>0</v>
      </c>
      <c r="Y65" s="76">
        <f t="shared" si="40"/>
        <v>0</v>
      </c>
      <c r="Z65" s="76">
        <f t="shared" si="40"/>
        <v>0</v>
      </c>
      <c r="AA65" s="76">
        <f t="shared" si="40"/>
        <v>0</v>
      </c>
      <c r="AB65" s="76">
        <f t="shared" si="40"/>
        <v>0</v>
      </c>
      <c r="AC65" s="76">
        <f t="shared" si="40"/>
        <v>0</v>
      </c>
      <c r="AD65" s="76">
        <f t="shared" si="40"/>
        <v>2475</v>
      </c>
      <c r="AE65" s="76">
        <f t="shared" si="40"/>
        <v>839</v>
      </c>
      <c r="AF65" s="76">
        <f t="shared" si="40"/>
        <v>6</v>
      </c>
      <c r="AG65" s="76">
        <f t="shared" si="40"/>
        <v>0</v>
      </c>
      <c r="AH65" s="76">
        <f t="shared" si="40"/>
        <v>8</v>
      </c>
      <c r="AI65" s="76">
        <f t="shared" si="40"/>
        <v>2</v>
      </c>
      <c r="AJ65" s="76">
        <f t="shared" si="40"/>
        <v>3330</v>
      </c>
      <c r="AK65" s="76">
        <f t="shared" si="40"/>
        <v>7151</v>
      </c>
      <c r="AL65" s="76">
        <f t="shared" si="40"/>
        <v>2134</v>
      </c>
      <c r="AM65" s="76">
        <f t="shared" si="40"/>
        <v>23</v>
      </c>
      <c r="AN65" s="76">
        <f t="shared" si="40"/>
        <v>11</v>
      </c>
      <c r="AO65" s="76">
        <f t="shared" si="40"/>
        <v>212</v>
      </c>
      <c r="AP65" s="76">
        <f t="shared" si="40"/>
        <v>6</v>
      </c>
      <c r="AQ65" s="76">
        <f t="shared" si="40"/>
        <v>9537</v>
      </c>
      <c r="AR65" s="76">
        <f t="shared" si="40"/>
        <v>1419</v>
      </c>
      <c r="AS65" s="76">
        <f t="shared" si="40"/>
        <v>326</v>
      </c>
      <c r="AT65" s="76">
        <f t="shared" si="40"/>
        <v>0</v>
      </c>
      <c r="AU65" s="76">
        <f t="shared" si="40"/>
        <v>0</v>
      </c>
      <c r="AV65" s="76">
        <f t="shared" si="40"/>
        <v>18</v>
      </c>
      <c r="AW65" s="76">
        <f t="shared" si="40"/>
        <v>8</v>
      </c>
      <c r="AX65" s="76">
        <f t="shared" si="40"/>
        <v>1771</v>
      </c>
      <c r="AY65" s="76">
        <f t="shared" si="40"/>
        <v>2289</v>
      </c>
      <c r="AZ65" s="76">
        <f t="shared" si="40"/>
        <v>867</v>
      </c>
      <c r="BA65" s="76">
        <f t="shared" si="40"/>
        <v>9</v>
      </c>
      <c r="BB65" s="76">
        <f t="shared" si="40"/>
        <v>0</v>
      </c>
      <c r="BC65" s="76">
        <f t="shared" si="40"/>
        <v>53</v>
      </c>
      <c r="BD65" s="76">
        <f t="shared" si="40"/>
        <v>17</v>
      </c>
      <c r="BE65" s="76">
        <f t="shared" si="40"/>
        <v>3235</v>
      </c>
      <c r="BF65" s="76">
        <f t="shared" si="40"/>
        <v>195</v>
      </c>
      <c r="BG65" s="76">
        <f t="shared" si="40"/>
        <v>46</v>
      </c>
      <c r="BH65" s="76">
        <f t="shared" si="40"/>
        <v>0</v>
      </c>
      <c r="BI65" s="76">
        <f t="shared" si="40"/>
        <v>0</v>
      </c>
      <c r="BJ65" s="76">
        <f t="shared" si="40"/>
        <v>11</v>
      </c>
      <c r="BK65" s="76">
        <f t="shared" si="40"/>
        <v>0</v>
      </c>
      <c r="BL65" s="76">
        <f t="shared" si="40"/>
        <v>252</v>
      </c>
      <c r="BM65" s="76">
        <f t="shared" si="40"/>
        <v>2737</v>
      </c>
      <c r="BN65" s="76">
        <f t="shared" si="40"/>
        <v>645</v>
      </c>
      <c r="BO65" s="76">
        <f t="shared" si="40"/>
        <v>3</v>
      </c>
      <c r="BP65" s="76">
        <f t="shared" si="40"/>
        <v>0</v>
      </c>
      <c r="BQ65" s="76">
        <f t="shared" si="40"/>
        <v>25</v>
      </c>
      <c r="BR65" s="76">
        <f t="shared" si="40"/>
        <v>0</v>
      </c>
      <c r="BS65" s="76">
        <f t="shared" si="40"/>
        <v>3410</v>
      </c>
      <c r="BT65" s="76">
        <f t="shared" si="40"/>
        <v>2878</v>
      </c>
      <c r="BU65" s="76">
        <f t="shared" si="40"/>
        <v>599</v>
      </c>
      <c r="BV65" s="76">
        <f t="shared" si="40"/>
        <v>0</v>
      </c>
      <c r="BW65" s="76">
        <f t="shared" si="40"/>
        <v>0</v>
      </c>
      <c r="BX65" s="76">
        <f t="shared" si="40"/>
        <v>0</v>
      </c>
      <c r="BY65" s="76">
        <f t="shared" si="40"/>
        <v>0</v>
      </c>
      <c r="BZ65" s="76">
        <f t="shared" si="40"/>
        <v>3477</v>
      </c>
      <c r="CA65" s="76">
        <f t="shared" si="40"/>
        <v>0</v>
      </c>
      <c r="CB65" s="76">
        <f t="shared" si="40"/>
        <v>0</v>
      </c>
      <c r="CC65" s="76">
        <f t="shared" si="40"/>
        <v>0</v>
      </c>
      <c r="CD65" s="76">
        <f t="shared" si="40"/>
        <v>0</v>
      </c>
      <c r="CE65" s="76">
        <f t="shared" si="40"/>
        <v>0</v>
      </c>
      <c r="CF65" s="76">
        <f t="shared" si="40"/>
        <v>0</v>
      </c>
      <c r="CG65" s="76">
        <f t="shared" si="40"/>
        <v>0</v>
      </c>
      <c r="CH65" s="76">
        <f t="shared" si="40"/>
        <v>2021</v>
      </c>
      <c r="CI65" s="76">
        <f t="shared" si="40"/>
        <v>378</v>
      </c>
      <c r="CJ65" s="76">
        <f t="shared" si="40"/>
        <v>0</v>
      </c>
      <c r="CK65" s="76">
        <f t="shared" si="40"/>
        <v>0</v>
      </c>
      <c r="CL65" s="76">
        <f t="shared" si="40"/>
        <v>22</v>
      </c>
      <c r="CM65" s="76">
        <f t="shared" si="40"/>
        <v>6</v>
      </c>
      <c r="CN65" s="76">
        <f t="shared" si="40"/>
        <v>2427</v>
      </c>
      <c r="CO65" s="76">
        <f t="shared" si="40"/>
        <v>5722</v>
      </c>
      <c r="CP65" s="76">
        <f t="shared" si="40"/>
        <v>1300</v>
      </c>
      <c r="CQ65" s="76">
        <f t="shared" si="40"/>
        <v>25</v>
      </c>
      <c r="CR65" s="76">
        <f t="shared" si="40"/>
        <v>12</v>
      </c>
      <c r="CS65" s="76">
        <f t="shared" si="40"/>
        <v>75</v>
      </c>
      <c r="CT65" s="76">
        <f t="shared" si="40"/>
        <v>11</v>
      </c>
      <c r="CU65" s="76">
        <f t="shared" si="40"/>
        <v>7145</v>
      </c>
      <c r="CV65" s="76">
        <f t="shared" si="40"/>
        <v>0</v>
      </c>
      <c r="CW65" s="76">
        <f t="shared" si="40"/>
        <v>0</v>
      </c>
      <c r="CX65" s="76">
        <f t="shared" si="40"/>
        <v>0</v>
      </c>
      <c r="CY65" s="76">
        <f t="shared" si="40"/>
        <v>0</v>
      </c>
      <c r="CZ65" s="76">
        <f t="shared" si="40"/>
        <v>0</v>
      </c>
      <c r="DA65" s="76">
        <f t="shared" si="40"/>
        <v>0</v>
      </c>
      <c r="DB65" s="76">
        <f t="shared" si="40"/>
        <v>0</v>
      </c>
      <c r="DC65" s="76">
        <f t="shared" si="40"/>
        <v>0</v>
      </c>
      <c r="DD65" s="76">
        <f t="shared" si="40"/>
        <v>0</v>
      </c>
      <c r="DE65" s="76">
        <f t="shared" si="40"/>
        <v>0</v>
      </c>
      <c r="DF65" s="76">
        <f t="shared" si="40"/>
        <v>0</v>
      </c>
      <c r="DG65" s="76">
        <f t="shared" si="40"/>
        <v>0</v>
      </c>
      <c r="DH65" s="76">
        <f t="shared" si="40"/>
        <v>0</v>
      </c>
      <c r="DI65" s="76">
        <f t="shared" si="40"/>
        <v>0</v>
      </c>
      <c r="DJ65" s="76">
        <f t="shared" si="40"/>
        <v>0</v>
      </c>
      <c r="DK65" s="76">
        <f t="shared" si="40"/>
        <v>0</v>
      </c>
      <c r="DL65" s="76">
        <f t="shared" si="40"/>
        <v>0</v>
      </c>
      <c r="DM65" s="76">
        <f t="shared" si="40"/>
        <v>0</v>
      </c>
      <c r="DN65" s="76">
        <f t="shared" si="40"/>
        <v>0</v>
      </c>
      <c r="DO65" s="76">
        <f t="shared" si="40"/>
        <v>0</v>
      </c>
      <c r="DP65" s="76">
        <f t="shared" si="40"/>
        <v>0</v>
      </c>
      <c r="DQ65" s="76">
        <f t="shared" si="40"/>
        <v>0</v>
      </c>
      <c r="DR65" s="76">
        <f t="shared" si="40"/>
        <v>0</v>
      </c>
      <c r="DS65" s="76">
        <f t="shared" si="40"/>
        <v>0</v>
      </c>
      <c r="DT65" s="76">
        <f t="shared" si="40"/>
        <v>0</v>
      </c>
      <c r="DU65" s="76">
        <f t="shared" si="40"/>
        <v>0</v>
      </c>
      <c r="DV65" s="76">
        <f t="shared" si="40"/>
        <v>0</v>
      </c>
      <c r="DW65" s="76">
        <f t="shared" si="40"/>
        <v>0</v>
      </c>
      <c r="DX65" s="76">
        <f t="shared" si="40"/>
        <v>0</v>
      </c>
      <c r="DY65" s="76">
        <f t="shared" si="40"/>
        <v>0</v>
      </c>
      <c r="DZ65" s="76">
        <f t="shared" si="40"/>
        <v>0</v>
      </c>
      <c r="EA65" s="76">
        <f t="shared" si="40"/>
        <v>0</v>
      </c>
      <c r="EB65" s="76">
        <f t="shared" si="40"/>
        <v>0</v>
      </c>
      <c r="EC65" s="76">
        <f t="shared" si="40"/>
        <v>0</v>
      </c>
      <c r="ED65" s="76">
        <f t="shared" si="40"/>
        <v>0</v>
      </c>
      <c r="EE65" s="76"/>
      <c r="EF65" s="76"/>
      <c r="EG65" s="76"/>
      <c r="EH65" s="76"/>
      <c r="EI65" s="76"/>
      <c r="EJ65" s="76"/>
      <c r="EK65" s="76"/>
      <c r="EL65" s="76">
        <f t="shared" si="40"/>
        <v>0</v>
      </c>
      <c r="EM65" s="76">
        <f t="shared" si="40"/>
        <v>0</v>
      </c>
      <c r="EN65" s="76">
        <f t="shared" si="40"/>
        <v>0</v>
      </c>
      <c r="EO65" s="76">
        <f t="shared" si="40"/>
        <v>0</v>
      </c>
      <c r="EP65" s="76">
        <f t="shared" si="40"/>
        <v>0</v>
      </c>
      <c r="EQ65" s="76">
        <f t="shared" si="40"/>
        <v>0</v>
      </c>
      <c r="ER65" s="76">
        <f t="shared" si="40"/>
        <v>0</v>
      </c>
      <c r="ES65" s="76">
        <f t="shared" si="40"/>
        <v>0</v>
      </c>
      <c r="ET65" s="76">
        <f t="shared" si="40"/>
        <v>0</v>
      </c>
      <c r="EU65" s="76">
        <f t="shared" si="40"/>
        <v>0</v>
      </c>
      <c r="EV65" s="76">
        <f t="shared" si="40"/>
        <v>0</v>
      </c>
      <c r="EW65" s="76">
        <f t="shared" si="40"/>
        <v>0</v>
      </c>
      <c r="EX65" s="76">
        <f t="shared" si="40"/>
        <v>0</v>
      </c>
      <c r="EY65" s="76">
        <f t="shared" si="40"/>
        <v>0</v>
      </c>
      <c r="EZ65" s="76">
        <f t="shared" si="40"/>
        <v>0</v>
      </c>
      <c r="FA65" s="76">
        <f t="shared" si="40"/>
        <v>0</v>
      </c>
      <c r="FB65" s="76">
        <f t="shared" si="40"/>
        <v>0</v>
      </c>
      <c r="FC65" s="76">
        <f t="shared" si="40"/>
        <v>0</v>
      </c>
      <c r="FD65" s="76">
        <f t="shared" si="40"/>
        <v>0</v>
      </c>
      <c r="FE65" s="76">
        <f t="shared" si="40"/>
        <v>0</v>
      </c>
      <c r="FF65" s="76">
        <f t="shared" si="40"/>
        <v>0</v>
      </c>
      <c r="FG65" s="76"/>
      <c r="FH65" s="76"/>
      <c r="FI65" s="76"/>
      <c r="FJ65" s="76"/>
      <c r="FK65" s="76"/>
      <c r="FL65" s="76"/>
      <c r="FM65" s="76"/>
      <c r="FN65" s="76">
        <f t="shared" si="40"/>
        <v>0</v>
      </c>
      <c r="FO65" s="76">
        <f t="shared" si="40"/>
        <v>0</v>
      </c>
      <c r="FP65" s="76">
        <f t="shared" si="40"/>
        <v>0</v>
      </c>
      <c r="FQ65" s="76">
        <f t="shared" si="40"/>
        <v>0</v>
      </c>
      <c r="FR65" s="76">
        <f t="shared" si="40"/>
        <v>0</v>
      </c>
      <c r="FS65" s="76">
        <f t="shared" si="40"/>
        <v>0</v>
      </c>
      <c r="FT65" s="76">
        <f t="shared" si="40"/>
        <v>0</v>
      </c>
      <c r="FU65" s="76">
        <f t="shared" si="40"/>
        <v>0</v>
      </c>
      <c r="FV65" s="76">
        <f t="shared" si="40"/>
        <v>0</v>
      </c>
      <c r="FW65" s="76">
        <f t="shared" si="40"/>
        <v>0</v>
      </c>
      <c r="FX65" s="76">
        <f t="shared" si="40"/>
        <v>0</v>
      </c>
      <c r="FY65" s="76">
        <f t="shared" si="40"/>
        <v>0</v>
      </c>
      <c r="FZ65" s="76">
        <f t="shared" si="40"/>
        <v>0</v>
      </c>
      <c r="GA65" s="76">
        <f t="shared" si="40"/>
        <v>0</v>
      </c>
      <c r="GB65" s="76">
        <f t="shared" si="40"/>
        <v>0</v>
      </c>
      <c r="GC65" s="76">
        <f t="shared" si="40"/>
        <v>0</v>
      </c>
      <c r="GD65" s="76">
        <f t="shared" si="40"/>
        <v>0</v>
      </c>
      <c r="GE65" s="76">
        <f t="shared" si="40"/>
        <v>0</v>
      </c>
      <c r="GF65" s="76">
        <f t="shared" si="40"/>
        <v>0</v>
      </c>
      <c r="GG65" s="76">
        <f t="shared" si="40"/>
        <v>0</v>
      </c>
      <c r="GH65" s="76">
        <f t="shared" si="40"/>
        <v>0</v>
      </c>
      <c r="GI65" s="76"/>
      <c r="GJ65" s="76"/>
      <c r="GK65" s="76"/>
      <c r="GL65" s="76"/>
      <c r="GM65" s="76"/>
      <c r="GN65" s="76"/>
      <c r="GO65" s="76"/>
      <c r="GP65" s="76">
        <f t="shared" si="40"/>
        <v>0</v>
      </c>
      <c r="GQ65" s="76">
        <f t="shared" si="40"/>
        <v>0</v>
      </c>
      <c r="GR65" s="76">
        <f t="shared" si="40"/>
        <v>0</v>
      </c>
      <c r="GS65" s="76">
        <f t="shared" si="40"/>
        <v>0</v>
      </c>
      <c r="GT65" s="76">
        <f t="shared" si="40"/>
        <v>0</v>
      </c>
      <c r="GU65" s="76">
        <f t="shared" si="40"/>
        <v>0</v>
      </c>
      <c r="GV65" s="76">
        <f t="shared" si="40"/>
        <v>0</v>
      </c>
      <c r="GW65" s="76">
        <f t="shared" si="40"/>
        <v>0</v>
      </c>
      <c r="GX65" s="76">
        <f t="shared" si="40"/>
        <v>0</v>
      </c>
      <c r="GY65" s="76">
        <f t="shared" si="40"/>
        <v>0</v>
      </c>
      <c r="GZ65" s="76">
        <f t="shared" si="40"/>
        <v>0</v>
      </c>
      <c r="HA65" s="76">
        <f t="shared" si="40"/>
        <v>0</v>
      </c>
      <c r="HB65" s="76">
        <f t="shared" si="40"/>
        <v>0</v>
      </c>
      <c r="HC65" s="76">
        <f t="shared" si="40"/>
        <v>0</v>
      </c>
      <c r="HD65" s="76">
        <f t="shared" si="40"/>
        <v>0</v>
      </c>
      <c r="HE65" s="76">
        <f t="shared" si="40"/>
        <v>0</v>
      </c>
      <c r="HF65" s="76">
        <f t="shared" si="40"/>
        <v>0</v>
      </c>
      <c r="HG65" s="76">
        <f t="shared" si="40"/>
        <v>0</v>
      </c>
      <c r="HH65" s="76">
        <f t="shared" si="40"/>
        <v>0</v>
      </c>
      <c r="HI65" s="76">
        <f t="shared" si="40"/>
        <v>0</v>
      </c>
      <c r="HJ65" s="76">
        <f t="shared" si="40"/>
        <v>0</v>
      </c>
    </row>
    <row r="66" spans="1:218" ht="21.75" customHeight="1" x14ac:dyDescent="0.6">
      <c r="A66" s="62"/>
      <c r="B66" s="62" t="s">
        <v>106</v>
      </c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 t="s">
        <v>155</v>
      </c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 t="s">
        <v>156</v>
      </c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 t="s">
        <v>157</v>
      </c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  <c r="FK66" s="62"/>
      <c r="FL66" s="62"/>
      <c r="FM66" s="62"/>
      <c r="FN66" s="62"/>
      <c r="FO66" s="62"/>
      <c r="FP66" s="62"/>
      <c r="FQ66" s="62"/>
      <c r="FR66" s="62"/>
      <c r="FS66" s="62"/>
      <c r="FT66" s="62"/>
      <c r="FU66" s="62"/>
      <c r="FV66" s="62"/>
      <c r="FW66" s="62"/>
      <c r="FX66" s="62"/>
      <c r="FY66" s="62"/>
      <c r="FZ66" s="62"/>
      <c r="GA66" s="62"/>
      <c r="GB66" s="62"/>
      <c r="GC66" s="62"/>
      <c r="GD66" s="62"/>
      <c r="GE66" s="62"/>
      <c r="GF66" s="62"/>
      <c r="GG66" s="62"/>
      <c r="GH66" s="62"/>
      <c r="GI66" s="62"/>
      <c r="GJ66" s="62"/>
      <c r="GK66" s="62"/>
      <c r="GL66" s="62"/>
      <c r="GM66" s="62"/>
      <c r="GN66" s="62"/>
      <c r="GO66" s="62"/>
      <c r="GP66" s="62"/>
      <c r="GQ66" s="62"/>
      <c r="GR66" s="62"/>
      <c r="GS66" s="62"/>
      <c r="GT66" s="62"/>
      <c r="GU66" s="62"/>
      <c r="GV66" s="62"/>
      <c r="GW66" s="62"/>
      <c r="GX66" s="62"/>
      <c r="GY66" s="62"/>
      <c r="GZ66" s="62"/>
      <c r="HA66" s="62"/>
      <c r="HB66" s="62"/>
      <c r="HC66" s="62"/>
      <c r="HD66" s="62"/>
      <c r="HE66" s="62"/>
      <c r="HF66" s="62"/>
      <c r="HG66" s="62"/>
      <c r="HH66" s="62"/>
      <c r="HI66" s="62"/>
      <c r="HJ66" s="62"/>
    </row>
    <row r="67" spans="1:218" ht="21.75" customHeight="1" x14ac:dyDescent="0.6">
      <c r="A67" s="63" t="s">
        <v>260</v>
      </c>
      <c r="B67" s="77">
        <v>15</v>
      </c>
      <c r="C67" s="77">
        <v>30</v>
      </c>
      <c r="D67" s="77">
        <v>45</v>
      </c>
      <c r="E67" s="53"/>
      <c r="F67" s="269" t="s">
        <v>266</v>
      </c>
      <c r="G67" s="269" t="s">
        <v>267</v>
      </c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78">
        <v>15</v>
      </c>
      <c r="AE67" s="78">
        <v>30</v>
      </c>
      <c r="AF67" s="78">
        <v>45</v>
      </c>
      <c r="AG67" s="53"/>
      <c r="AH67" s="269" t="s">
        <v>266</v>
      </c>
      <c r="AI67" s="269" t="s">
        <v>267</v>
      </c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  <c r="BE67" s="53"/>
      <c r="BF67" s="79">
        <v>15</v>
      </c>
      <c r="BG67" s="79">
        <v>30</v>
      </c>
      <c r="BH67" s="79">
        <v>45</v>
      </c>
      <c r="BI67" s="53"/>
      <c r="BJ67" s="269" t="s">
        <v>266</v>
      </c>
      <c r="BK67" s="269" t="s">
        <v>267</v>
      </c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  <c r="CG67" s="53"/>
      <c r="CH67" s="80">
        <v>15</v>
      </c>
      <c r="CI67" s="80">
        <v>30</v>
      </c>
      <c r="CJ67" s="80">
        <v>45</v>
      </c>
      <c r="CK67" s="53"/>
      <c r="CL67" s="269" t="s">
        <v>266</v>
      </c>
      <c r="CM67" s="269" t="s">
        <v>267</v>
      </c>
      <c r="CN67" s="53"/>
      <c r="CO67" s="53"/>
      <c r="CP67" s="53"/>
      <c r="CQ67" s="53"/>
      <c r="CR67" s="53"/>
      <c r="CS67" s="53"/>
      <c r="CT67" s="53"/>
      <c r="CU67" s="53"/>
      <c r="CV67" s="53"/>
      <c r="CW67" s="53"/>
      <c r="CX67" s="53"/>
      <c r="CY67" s="53"/>
      <c r="CZ67" s="53"/>
      <c r="DA67" s="53"/>
      <c r="DB67" s="53"/>
      <c r="DC67" s="53"/>
      <c r="DD67" s="53"/>
      <c r="DE67" s="53"/>
      <c r="DF67" s="53"/>
      <c r="DG67" s="53"/>
      <c r="DH67" s="53"/>
      <c r="DI67" s="53"/>
      <c r="DJ67" s="53"/>
      <c r="DK67" s="53"/>
      <c r="DL67" s="53"/>
      <c r="DM67" s="53"/>
      <c r="DN67" s="53"/>
      <c r="DO67" s="53"/>
      <c r="DP67" s="53"/>
      <c r="DQ67" s="53"/>
      <c r="DR67" s="53"/>
      <c r="DS67" s="53"/>
      <c r="DT67" s="53"/>
      <c r="DU67" s="53"/>
      <c r="DV67" s="53"/>
      <c r="DW67" s="53"/>
      <c r="DX67" s="53"/>
      <c r="DY67" s="53"/>
      <c r="DZ67" s="53"/>
      <c r="EA67" s="53"/>
      <c r="EB67" s="53"/>
      <c r="EC67" s="53"/>
      <c r="ED67" s="53"/>
      <c r="EE67" s="53"/>
      <c r="EF67" s="53"/>
      <c r="EG67" s="53"/>
      <c r="EH67" s="53"/>
      <c r="EI67" s="53"/>
      <c r="EJ67" s="53"/>
      <c r="EK67" s="53"/>
      <c r="EL67" s="53"/>
      <c r="EM67" s="53"/>
      <c r="EN67" s="53"/>
      <c r="EO67" s="53"/>
      <c r="EP67" s="53"/>
      <c r="EQ67" s="53"/>
      <c r="ER67" s="53"/>
      <c r="ES67" s="53"/>
      <c r="ET67" s="53"/>
      <c r="EU67" s="53"/>
      <c r="EV67" s="53"/>
      <c r="EW67" s="53"/>
      <c r="EX67" s="53"/>
      <c r="EY67" s="53"/>
      <c r="EZ67" s="53"/>
      <c r="FA67" s="53"/>
      <c r="FB67" s="53"/>
      <c r="FC67" s="53"/>
      <c r="FD67" s="53"/>
      <c r="FE67" s="53"/>
      <c r="FF67" s="53"/>
      <c r="FG67" s="53"/>
      <c r="FH67" s="53"/>
      <c r="FI67" s="53"/>
      <c r="FJ67" s="53"/>
      <c r="FK67" s="53"/>
      <c r="FL67" s="53"/>
      <c r="FM67" s="53"/>
      <c r="FN67" s="53"/>
      <c r="FO67" s="53"/>
      <c r="FP67" s="53"/>
      <c r="FQ67" s="53"/>
      <c r="FR67" s="53"/>
      <c r="FS67" s="53"/>
      <c r="FT67" s="53"/>
      <c r="FU67" s="53"/>
      <c r="FV67" s="53"/>
      <c r="FW67" s="53"/>
      <c r="FX67" s="53"/>
      <c r="FY67" s="53"/>
      <c r="FZ67" s="53"/>
      <c r="GA67" s="53"/>
      <c r="GB67" s="53"/>
      <c r="GC67" s="53"/>
      <c r="GD67" s="53"/>
      <c r="GE67" s="53"/>
      <c r="GF67" s="53"/>
      <c r="GG67" s="53"/>
      <c r="GH67" s="53"/>
      <c r="GI67" s="53"/>
      <c r="GJ67" s="53"/>
      <c r="GK67" s="53"/>
      <c r="GL67" s="53"/>
      <c r="GM67" s="53"/>
      <c r="GN67" s="53"/>
      <c r="GO67" s="53"/>
      <c r="GP67" s="53"/>
      <c r="GQ67" s="53"/>
      <c r="GR67" s="53"/>
      <c r="GS67" s="53"/>
      <c r="GT67" s="53"/>
      <c r="GU67" s="53"/>
      <c r="GV67" s="53"/>
      <c r="GW67" s="53"/>
      <c r="GX67" s="53"/>
      <c r="GY67" s="53"/>
      <c r="GZ67" s="53"/>
      <c r="HA67" s="53"/>
      <c r="HB67" s="53"/>
      <c r="HC67" s="53"/>
      <c r="HD67" s="53"/>
      <c r="HE67" s="53"/>
      <c r="HF67" s="53"/>
      <c r="HG67" s="53"/>
      <c r="HH67" s="53"/>
      <c r="HI67" s="53"/>
      <c r="HJ67" s="53"/>
    </row>
    <row r="68" spans="1:218" ht="21.75" customHeight="1" x14ac:dyDescent="0.6">
      <c r="A68" s="73">
        <v>45115</v>
      </c>
      <c r="B68" s="81">
        <f>SUM(H3,O3,V3,AC3,DP3,DW3,ED3)</f>
        <v>111</v>
      </c>
      <c r="C68" s="81">
        <f>$H4+$O4+$V4+$AC4+$DP4+$DW4+$ED4+B68</f>
        <v>224</v>
      </c>
      <c r="D68" s="81">
        <f>$H5+$O5+$V5+$AC5+$DP5+$DW5+$ED5+$C68</f>
        <v>338</v>
      </c>
      <c r="E68" s="53"/>
      <c r="F68" s="270">
        <f>SUM(H53,O53,V53,AC53,DP53,DW53,ED53)</f>
        <v>452</v>
      </c>
      <c r="G68" s="270">
        <f>SUM(AC53,AX53,BS53,CN53,FF53,GA53,GV53)</f>
        <v>709</v>
      </c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82">
        <f>$AJ3+$AQ3+$AX3+$BE3+$ER3+$EY3+$FF3</f>
        <v>405</v>
      </c>
      <c r="AE68" s="82">
        <f>$AJ4+$AQ4+$AX4+$BE4+$ER4+$EY4+$FF4+AD68</f>
        <v>784</v>
      </c>
      <c r="AF68" s="82">
        <f>$AJ5+$AQ5+$AX5+$BE5+$ER5+$EY5+$FF5+AE68</f>
        <v>1179</v>
      </c>
      <c r="AG68" s="53"/>
      <c r="AH68" s="270">
        <f>SUM(AJ53,AQ53,AX53,BE53,ER53,EY53,FF53)</f>
        <v>1555</v>
      </c>
      <c r="AI68" s="270">
        <f>SUM(H53,BE53,BZ53,CU53,DP53,GH53,HC53)</f>
        <v>1460</v>
      </c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  <c r="BE68" s="53"/>
      <c r="BF68" s="83">
        <f>$BL3+$BS3+$BZ3+$CG3+$FT3+$GA3+$GH3</f>
        <v>159</v>
      </c>
      <c r="BG68" s="83">
        <f>$BL4+$BS4+$BZ4+$CG4+$FT4+$GA4+$GH4+BF68</f>
        <v>295</v>
      </c>
      <c r="BH68" s="83">
        <f>$BL5+$BS5+$BZ5+$CG5+$FT5+$GA5+$GH5+BG68</f>
        <v>455</v>
      </c>
      <c r="BI68" s="53"/>
      <c r="BJ68" s="270">
        <f>SUM(BL53,BS53,BZ53,CG53,FT53,GA53,GH53)</f>
        <v>597</v>
      </c>
      <c r="BK68" s="270">
        <f>SUM(O53,AJ53,CG53,DB53,DW53,ER53,HJ53)</f>
        <v>366</v>
      </c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  <c r="CG68" s="53"/>
      <c r="CH68" s="84">
        <f>$CN3+$CU3+$DB3+$DI3+$GV3+$HC3+$HJ3</f>
        <v>234</v>
      </c>
      <c r="CI68" s="84">
        <f>$CN4+$CU4+$DB4+$DI4+$GV4+$HC4+$HJ4+CH68</f>
        <v>466</v>
      </c>
      <c r="CJ68" s="84">
        <f>$CN5+$CU5+$DB5+$DI5+$GV5+$HC5+$HJ5+CI68</f>
        <v>701</v>
      </c>
      <c r="CK68" s="53"/>
      <c r="CL68" s="270">
        <f>SUM(CN53,CU53,DB53,DI53,GV53,HC53,HJ53)</f>
        <v>946</v>
      </c>
      <c r="CM68" s="270">
        <f>SUM(V53,AQ53,BL53,DI53,ED53,EY53,FT53)</f>
        <v>1015</v>
      </c>
      <c r="CN68" s="53"/>
      <c r="CO68" s="53"/>
      <c r="CP68" s="53"/>
      <c r="CQ68" s="53"/>
      <c r="CR68" s="53"/>
      <c r="CS68" s="53"/>
      <c r="CT68" s="53"/>
      <c r="CU68" s="53"/>
      <c r="CV68" s="53"/>
      <c r="CW68" s="53"/>
      <c r="CX68" s="53"/>
      <c r="CY68" s="53"/>
      <c r="CZ68" s="53"/>
      <c r="DA68" s="53"/>
      <c r="DB68" s="53"/>
      <c r="DC68" s="53"/>
      <c r="DD68" s="53"/>
      <c r="DE68" s="53"/>
      <c r="DF68" s="53"/>
      <c r="DG68" s="53"/>
      <c r="DH68" s="53"/>
      <c r="DI68" s="53"/>
      <c r="DJ68" s="53"/>
      <c r="DK68" s="53"/>
      <c r="DL68" s="53"/>
      <c r="DM68" s="53"/>
      <c r="DN68" s="53"/>
      <c r="DO68" s="53"/>
      <c r="DP68" s="53"/>
      <c r="DQ68" s="53"/>
      <c r="DR68" s="53"/>
      <c r="DS68" s="53"/>
      <c r="DT68" s="53"/>
      <c r="DU68" s="53"/>
      <c r="DV68" s="53"/>
      <c r="DW68" s="53"/>
      <c r="DX68" s="53"/>
      <c r="DY68" s="53"/>
      <c r="DZ68" s="53"/>
      <c r="EA68" s="53"/>
      <c r="EB68" s="53"/>
      <c r="EC68" s="53"/>
      <c r="ED68" s="53"/>
      <c r="EE68" s="53"/>
      <c r="EF68" s="53"/>
      <c r="EG68" s="53"/>
      <c r="EH68" s="53"/>
      <c r="EI68" s="53"/>
      <c r="EJ68" s="53"/>
      <c r="EK68" s="53"/>
      <c r="EL68" s="53"/>
      <c r="EM68" s="53"/>
      <c r="EN68" s="53"/>
      <c r="EO68" s="53"/>
      <c r="EP68" s="53"/>
      <c r="EQ68" s="53"/>
      <c r="ER68" s="53"/>
      <c r="ES68" s="53"/>
      <c r="ET68" s="53"/>
      <c r="EU68" s="53"/>
      <c r="EV68" s="53"/>
      <c r="EW68" s="53"/>
      <c r="EX68" s="53"/>
      <c r="EY68" s="53"/>
      <c r="EZ68" s="53"/>
      <c r="FA68" s="53"/>
      <c r="FB68" s="53"/>
      <c r="FC68" s="53"/>
      <c r="FD68" s="53"/>
      <c r="FE68" s="53"/>
      <c r="FF68" s="53"/>
      <c r="FG68" s="53"/>
      <c r="FH68" s="53"/>
      <c r="FI68" s="53"/>
      <c r="FJ68" s="53"/>
      <c r="FK68" s="53"/>
      <c r="FL68" s="53"/>
      <c r="FM68" s="53"/>
      <c r="FN68" s="53"/>
      <c r="FO68" s="53"/>
      <c r="FP68" s="53"/>
      <c r="FQ68" s="53"/>
      <c r="FR68" s="53"/>
      <c r="FS68" s="53"/>
      <c r="FT68" s="53"/>
      <c r="FU68" s="53"/>
      <c r="FV68" s="53"/>
      <c r="FW68" s="53"/>
      <c r="FX68" s="53"/>
      <c r="FY68" s="53"/>
      <c r="FZ68" s="53"/>
      <c r="GA68" s="53"/>
      <c r="GB68" s="53"/>
      <c r="GC68" s="53"/>
      <c r="GD68" s="53"/>
      <c r="GE68" s="53"/>
      <c r="GF68" s="53"/>
      <c r="GG68" s="53"/>
      <c r="GH68" s="53"/>
      <c r="GI68" s="53"/>
      <c r="GJ68" s="53"/>
      <c r="GK68" s="53"/>
      <c r="GL68" s="53"/>
      <c r="GM68" s="53"/>
      <c r="GN68" s="53"/>
      <c r="GO68" s="53"/>
      <c r="GP68" s="53"/>
      <c r="GQ68" s="53"/>
      <c r="GR68" s="53"/>
      <c r="GS68" s="53"/>
      <c r="GT68" s="53"/>
      <c r="GU68" s="53"/>
      <c r="GV68" s="53"/>
      <c r="GW68" s="53"/>
      <c r="GX68" s="53"/>
      <c r="GY68" s="53"/>
      <c r="GZ68" s="53"/>
      <c r="HA68" s="53"/>
      <c r="HB68" s="53"/>
      <c r="HC68" s="53"/>
      <c r="HD68" s="53"/>
      <c r="HE68" s="53"/>
      <c r="HF68" s="53"/>
      <c r="HG68" s="53"/>
      <c r="HH68" s="53"/>
      <c r="HI68" s="53"/>
      <c r="HJ68" s="53"/>
    </row>
    <row r="69" spans="1:218" ht="21.75" customHeight="1" x14ac:dyDescent="0.6">
      <c r="A69" s="73">
        <v>45147</v>
      </c>
      <c r="B69" s="81">
        <f>$H7+$O7+$V7+$AC7+$DP7+$DW7+$ED7</f>
        <v>111</v>
      </c>
      <c r="C69" s="81">
        <f>$H8+$O8+$V8+$AC8+$DP8+$DW8+$ED8+B69</f>
        <v>219</v>
      </c>
      <c r="D69" s="81">
        <f>$H9+$O9+$V9+$AC9+$DP9+$DW9+$ED9+C69</f>
        <v>319</v>
      </c>
      <c r="E69" s="53"/>
      <c r="F69" s="270">
        <f t="shared" ref="F69:F79" si="41">SUM(H54,O54,V54,AC54,DP54,DW54,ED54)</f>
        <v>424</v>
      </c>
      <c r="G69" s="270">
        <f t="shared" ref="G69:G79" si="42">SUM(AC54,AX54,BS54,CN54,FF54,GA54,GV54)</f>
        <v>722</v>
      </c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82">
        <f>$AJ7+$AQ7+$AX7+$BE7+$ER7+$EY7+$FF7</f>
        <v>389</v>
      </c>
      <c r="AE69" s="82">
        <f>$AJ8+$AQ8+$AX8+$BE8+$ER8+$EY8+$FF8+AD69</f>
        <v>757</v>
      </c>
      <c r="AF69" s="82">
        <f>$AJ9+$AQ9+$AX9+$BE9+$ER9+$EY9+$FF9+AE69</f>
        <v>1128</v>
      </c>
      <c r="AG69" s="53"/>
      <c r="AH69" s="270">
        <f t="shared" ref="AH69:AH79" si="43">SUM(AJ54,AQ54,AX54,BE54,ER54,EY54,FF54)</f>
        <v>1505</v>
      </c>
      <c r="AI69" s="270">
        <f t="shared" ref="AI69:AI79" si="44">SUM(H54,BE54,BZ54,CU54,DP54,GH54,HC54)</f>
        <v>1449</v>
      </c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  <c r="BE69" s="53"/>
      <c r="BF69" s="83">
        <f>$BL7+$BS7+$BZ7+$CG7+$FT7+$GA7+$GH7</f>
        <v>152</v>
      </c>
      <c r="BG69" s="83">
        <f>$BL8+$BS8+$BZ8+$CG8+$FT8+$GA8+$GH8+BF69</f>
        <v>330</v>
      </c>
      <c r="BH69" s="83">
        <f>$BL9+$BS9+$BZ9+$CG9+$FT9+$GA9+$GH9+BG69</f>
        <v>468</v>
      </c>
      <c r="BI69" s="53"/>
      <c r="BJ69" s="270">
        <f t="shared" ref="BJ69:BJ79" si="45">SUM(BL54,BS54,BZ54,CG54,FT54,GA54,GH54)</f>
        <v>625</v>
      </c>
      <c r="BK69" s="270">
        <f t="shared" ref="BK69:BK79" si="46">SUM(O54,AJ54,CG54,DB54,DW54,ER54,HJ54)</f>
        <v>334</v>
      </c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  <c r="CG69" s="53"/>
      <c r="CH69" s="84">
        <f>$CN7+$CU7+$DB7+$DI7+$GV7+$HC7+$HJ7</f>
        <v>244</v>
      </c>
      <c r="CI69" s="84">
        <f>$CN8+$CU8+$DB8+$DI8+$GV8+$HC8+$HJ8+CH69</f>
        <v>463</v>
      </c>
      <c r="CJ69" s="84">
        <f>$CN9+$CU9+$DB9+$DI9+$GV9+$HC9+$HJ9+CI69</f>
        <v>685</v>
      </c>
      <c r="CK69" s="53"/>
      <c r="CL69" s="270">
        <f t="shared" ref="CL69:CL79" si="47">SUM(CN54,CU54,DB54,DI54,GV54,HC54,HJ54)</f>
        <v>894</v>
      </c>
      <c r="CM69" s="270">
        <f t="shared" ref="CM69:CM79" si="48">SUM(V54,AQ54,BL54,DI54,ED54,EY54,FT54)</f>
        <v>943</v>
      </c>
      <c r="CN69" s="53"/>
      <c r="CO69" s="53"/>
      <c r="CP69" s="53"/>
      <c r="CQ69" s="53"/>
      <c r="CR69" s="53"/>
      <c r="CS69" s="53"/>
      <c r="CT69" s="53"/>
      <c r="CU69" s="53"/>
      <c r="CV69" s="53"/>
      <c r="CW69" s="53"/>
      <c r="CX69" s="53"/>
      <c r="CY69" s="53"/>
      <c r="CZ69" s="53"/>
      <c r="DA69" s="53"/>
      <c r="DB69" s="53"/>
      <c r="DC69" s="53"/>
      <c r="DD69" s="53"/>
      <c r="DE69" s="53"/>
      <c r="DF69" s="53"/>
      <c r="DG69" s="53"/>
      <c r="DH69" s="53"/>
      <c r="DI69" s="53"/>
      <c r="DJ69" s="53"/>
      <c r="DK69" s="53"/>
      <c r="DL69" s="53"/>
      <c r="DM69" s="53"/>
      <c r="DN69" s="53"/>
      <c r="DO69" s="53"/>
      <c r="DP69" s="53"/>
      <c r="DQ69" s="53"/>
      <c r="DR69" s="53"/>
      <c r="DS69" s="53"/>
      <c r="DT69" s="53"/>
      <c r="DU69" s="53"/>
      <c r="DV69" s="53"/>
      <c r="DW69" s="53"/>
      <c r="DX69" s="53"/>
      <c r="DY69" s="53"/>
      <c r="DZ69" s="53"/>
      <c r="EA69" s="53"/>
      <c r="EB69" s="53"/>
      <c r="EC69" s="53"/>
      <c r="ED69" s="53"/>
      <c r="EE69" s="53"/>
      <c r="EF69" s="53"/>
      <c r="EG69" s="53"/>
      <c r="EH69" s="53"/>
      <c r="EI69" s="53"/>
      <c r="EJ69" s="53"/>
      <c r="EK69" s="53"/>
      <c r="EL69" s="53"/>
      <c r="EM69" s="53"/>
      <c r="EN69" s="53"/>
      <c r="EO69" s="53"/>
      <c r="EP69" s="53"/>
      <c r="EQ69" s="53"/>
      <c r="ER69" s="53"/>
      <c r="ES69" s="53"/>
      <c r="ET69" s="53"/>
      <c r="EU69" s="53"/>
      <c r="EV69" s="53"/>
      <c r="EW69" s="53"/>
      <c r="EX69" s="53"/>
      <c r="EY69" s="53"/>
      <c r="EZ69" s="53"/>
      <c r="FA69" s="53"/>
      <c r="FB69" s="53"/>
      <c r="FC69" s="53"/>
      <c r="FD69" s="53"/>
      <c r="FE69" s="53"/>
      <c r="FF69" s="53"/>
      <c r="FG69" s="53"/>
      <c r="FH69" s="53"/>
      <c r="FI69" s="53"/>
      <c r="FJ69" s="53"/>
      <c r="FK69" s="53"/>
      <c r="FL69" s="53"/>
      <c r="FM69" s="53"/>
      <c r="FN69" s="53"/>
      <c r="FO69" s="53"/>
      <c r="FP69" s="53"/>
      <c r="FQ69" s="53"/>
      <c r="FR69" s="53"/>
      <c r="FS69" s="53"/>
      <c r="FT69" s="53"/>
      <c r="FU69" s="53"/>
      <c r="FV69" s="53"/>
      <c r="FW69" s="53"/>
      <c r="FX69" s="53"/>
      <c r="FY69" s="53"/>
      <c r="FZ69" s="53"/>
      <c r="GA69" s="53"/>
      <c r="GB69" s="53"/>
      <c r="GC69" s="53"/>
      <c r="GD69" s="53"/>
      <c r="GE69" s="53"/>
      <c r="GF69" s="53"/>
      <c r="GG69" s="53"/>
      <c r="GH69" s="53"/>
      <c r="GI69" s="53"/>
      <c r="GJ69" s="53"/>
      <c r="GK69" s="53"/>
      <c r="GL69" s="53"/>
      <c r="GM69" s="53"/>
      <c r="GN69" s="53"/>
      <c r="GO69" s="53"/>
      <c r="GP69" s="53"/>
      <c r="GQ69" s="53"/>
      <c r="GR69" s="53"/>
      <c r="GS69" s="53"/>
      <c r="GT69" s="53"/>
      <c r="GU69" s="53"/>
      <c r="GV69" s="53"/>
      <c r="GW69" s="53"/>
      <c r="GX69" s="53"/>
      <c r="GY69" s="53"/>
      <c r="GZ69" s="53"/>
      <c r="HA69" s="53"/>
      <c r="HB69" s="53"/>
      <c r="HC69" s="53"/>
      <c r="HD69" s="53"/>
      <c r="HE69" s="53"/>
      <c r="HF69" s="53"/>
      <c r="HG69" s="53"/>
      <c r="HH69" s="53"/>
      <c r="HI69" s="53"/>
      <c r="HJ69" s="53"/>
    </row>
    <row r="70" spans="1:218" ht="21.75" customHeight="1" x14ac:dyDescent="0.6">
      <c r="A70" s="73">
        <v>45179</v>
      </c>
      <c r="B70" s="81">
        <f>$H11+$O11+$V11+$AC11+$DP11+$DW11+$ED11</f>
        <v>130</v>
      </c>
      <c r="C70" s="81">
        <f>$H12+$O12+$V12+$AC12+$DP12+$DW12+$ED12+B70</f>
        <v>270</v>
      </c>
      <c r="D70" s="81">
        <f>$H13+$O13+$V13+$AC13+$DP13+$DW13+$ED13+C70</f>
        <v>419</v>
      </c>
      <c r="E70" s="53"/>
      <c r="F70" s="270">
        <f t="shared" si="41"/>
        <v>539</v>
      </c>
      <c r="G70" s="270">
        <f t="shared" si="42"/>
        <v>702</v>
      </c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82">
        <f>$AJ11+$AQ11+$AX11+$BE11+$ER11+$EY11+$FF11</f>
        <v>381</v>
      </c>
      <c r="AE70" s="82">
        <f>$AJ12+$AQ12+$AX12+$BE12+$ER12+$EY12+$FF12+AD70</f>
        <v>739</v>
      </c>
      <c r="AF70" s="82">
        <f>$AJ13+$AQ13+$AX13+$BE13+$ER13+$EY13+$FF13+AE70</f>
        <v>1122</v>
      </c>
      <c r="AG70" s="53"/>
      <c r="AH70" s="270">
        <f t="shared" si="43"/>
        <v>1469</v>
      </c>
      <c r="AI70" s="270">
        <f t="shared" si="44"/>
        <v>1274</v>
      </c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  <c r="BE70" s="53"/>
      <c r="BF70" s="83">
        <f>$BL11+$BS11+$BZ11+$CG11+$FT11+$GA11+$GH11</f>
        <v>154</v>
      </c>
      <c r="BG70" s="83">
        <f>$BL12+$BS12+$BZ12+$CG12+$FT12+$GA12+$GH12+BF70</f>
        <v>285</v>
      </c>
      <c r="BH70" s="83">
        <f>$BL13+$BS13+$BZ13+$CG13+$FT13+$GA13+$GH13+BG70</f>
        <v>445</v>
      </c>
      <c r="BI70" s="53"/>
      <c r="BJ70" s="270">
        <f t="shared" si="45"/>
        <v>570</v>
      </c>
      <c r="BK70" s="270">
        <f t="shared" si="46"/>
        <v>452</v>
      </c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  <c r="CG70" s="53"/>
      <c r="CH70" s="84">
        <f>$CN11+$CU11+$DB11+$DI11+$GV11+$HC11+$HJ11</f>
        <v>215</v>
      </c>
      <c r="CI70" s="84">
        <f>$CN12+$CU12+$DB12+$DI12+$GV12+$HC12+$HJ12+CH70</f>
        <v>413</v>
      </c>
      <c r="CJ70" s="84">
        <f>$CN13+$CU13+$DB13+$DI13+$GV13+$HC13+$HJ13+CI70</f>
        <v>607</v>
      </c>
      <c r="CK70" s="53"/>
      <c r="CL70" s="270">
        <f t="shared" si="47"/>
        <v>790</v>
      </c>
      <c r="CM70" s="270">
        <f t="shared" si="48"/>
        <v>940</v>
      </c>
      <c r="CN70" s="53"/>
      <c r="CO70" s="53"/>
      <c r="CP70" s="53"/>
      <c r="CQ70" s="53"/>
      <c r="CR70" s="53"/>
      <c r="CS70" s="53"/>
      <c r="CT70" s="53"/>
      <c r="CU70" s="53"/>
      <c r="CV70" s="53"/>
      <c r="CW70" s="53"/>
      <c r="CX70" s="53"/>
      <c r="CY70" s="53"/>
      <c r="CZ70" s="53"/>
      <c r="DA70" s="53"/>
      <c r="DB70" s="53"/>
      <c r="DC70" s="53"/>
      <c r="DD70" s="53"/>
      <c r="DE70" s="53"/>
      <c r="DF70" s="53"/>
      <c r="DG70" s="53"/>
      <c r="DH70" s="53"/>
      <c r="DI70" s="53"/>
      <c r="DJ70" s="53"/>
      <c r="DK70" s="53"/>
      <c r="DL70" s="53"/>
      <c r="DM70" s="53"/>
      <c r="DN70" s="53"/>
      <c r="DO70" s="53"/>
      <c r="DP70" s="53"/>
      <c r="DQ70" s="53"/>
      <c r="DR70" s="53"/>
      <c r="DS70" s="53"/>
      <c r="DT70" s="53"/>
      <c r="DU70" s="53"/>
      <c r="DV70" s="53"/>
      <c r="DW70" s="53"/>
      <c r="DX70" s="53"/>
      <c r="DY70" s="53"/>
      <c r="DZ70" s="53"/>
      <c r="EA70" s="53"/>
      <c r="EB70" s="53"/>
      <c r="EC70" s="53"/>
      <c r="ED70" s="53"/>
      <c r="EE70" s="53"/>
      <c r="EF70" s="53"/>
      <c r="EG70" s="53"/>
      <c r="EH70" s="53"/>
      <c r="EI70" s="53"/>
      <c r="EJ70" s="53"/>
      <c r="EK70" s="53"/>
      <c r="EL70" s="53"/>
      <c r="EM70" s="53"/>
      <c r="EN70" s="53"/>
      <c r="EO70" s="53"/>
      <c r="EP70" s="53"/>
      <c r="EQ70" s="53"/>
      <c r="ER70" s="53"/>
      <c r="ES70" s="53"/>
      <c r="ET70" s="53"/>
      <c r="EU70" s="53"/>
      <c r="EV70" s="53"/>
      <c r="EW70" s="53"/>
      <c r="EX70" s="53"/>
      <c r="EY70" s="53"/>
      <c r="EZ70" s="53"/>
      <c r="FA70" s="53"/>
      <c r="FB70" s="53"/>
      <c r="FC70" s="53"/>
      <c r="FD70" s="53"/>
      <c r="FE70" s="53"/>
      <c r="FF70" s="53"/>
      <c r="FG70" s="53"/>
      <c r="FH70" s="53"/>
      <c r="FI70" s="53"/>
      <c r="FJ70" s="53"/>
      <c r="FK70" s="53"/>
      <c r="FL70" s="53"/>
      <c r="FM70" s="53"/>
      <c r="FN70" s="53"/>
      <c r="FO70" s="53"/>
      <c r="FP70" s="53"/>
      <c r="FQ70" s="53"/>
      <c r="FR70" s="53"/>
      <c r="FS70" s="53"/>
      <c r="FT70" s="53"/>
      <c r="FU70" s="53"/>
      <c r="FV70" s="53"/>
      <c r="FW70" s="53"/>
      <c r="FX70" s="53"/>
      <c r="FY70" s="53"/>
      <c r="FZ70" s="53"/>
      <c r="GA70" s="53"/>
      <c r="GB70" s="53"/>
      <c r="GC70" s="53"/>
      <c r="GD70" s="53"/>
      <c r="GE70" s="53"/>
      <c r="GF70" s="53"/>
      <c r="GG70" s="53"/>
      <c r="GH70" s="53"/>
      <c r="GI70" s="53"/>
      <c r="GJ70" s="53"/>
      <c r="GK70" s="53"/>
      <c r="GL70" s="53"/>
      <c r="GM70" s="53"/>
      <c r="GN70" s="53"/>
      <c r="GO70" s="53"/>
      <c r="GP70" s="53"/>
      <c r="GQ70" s="53"/>
      <c r="GR70" s="53"/>
      <c r="GS70" s="53"/>
      <c r="GT70" s="53"/>
      <c r="GU70" s="53"/>
      <c r="GV70" s="53"/>
      <c r="GW70" s="53"/>
      <c r="GX70" s="53"/>
      <c r="GY70" s="53"/>
      <c r="GZ70" s="53"/>
      <c r="HA70" s="53"/>
      <c r="HB70" s="53"/>
      <c r="HC70" s="53"/>
      <c r="HD70" s="53"/>
      <c r="HE70" s="53"/>
      <c r="HF70" s="53"/>
      <c r="HG70" s="53"/>
      <c r="HH70" s="53"/>
      <c r="HI70" s="53"/>
      <c r="HJ70" s="53"/>
    </row>
    <row r="71" spans="1:218" ht="21.75" customHeight="1" x14ac:dyDescent="0.6">
      <c r="A71" s="73">
        <v>45210</v>
      </c>
      <c r="B71" s="81">
        <f>$H15+$O15+$V15+$AC15+$DP15+$DW15+$ED15</f>
        <v>126</v>
      </c>
      <c r="C71" s="81">
        <f>$H16+$O16+$V16+$AC16+$DP16+$DW16+$ED16+B71</f>
        <v>259</v>
      </c>
      <c r="D71" s="81">
        <f>$H17+$O17+$V17+$AC17+$DP17+$DW17+$ED17+C71</f>
        <v>387</v>
      </c>
      <c r="E71" s="53"/>
      <c r="F71" s="270">
        <f t="shared" si="41"/>
        <v>519</v>
      </c>
      <c r="G71" s="270">
        <f t="shared" si="42"/>
        <v>540</v>
      </c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82">
        <f>$AJ15+$AQ15+$AX15+$BE15+$ER15+$EY15+$FF15</f>
        <v>333</v>
      </c>
      <c r="AE71" s="82">
        <f>$AJ16+$AQ16+$AX16+$BE16+$ER16+$EY16+$FF16+AD71</f>
        <v>673</v>
      </c>
      <c r="AF71" s="82">
        <f>$AJ17+$AQ17+$AX17+$BE17+$ER17+$EY17+$FF17+AE71</f>
        <v>1025</v>
      </c>
      <c r="AG71" s="53"/>
      <c r="AH71" s="270">
        <f t="shared" si="43"/>
        <v>1399</v>
      </c>
      <c r="AI71" s="270">
        <f t="shared" si="44"/>
        <v>1223</v>
      </c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83">
        <f>$BL15+$BS15+$BZ15+$CG15+$FT15+$GA15+$GH15</f>
        <v>139</v>
      </c>
      <c r="BG71" s="83">
        <f>$BL16+$BS16+$BZ16+$CG16+$FT16+$GA16+$GH16+BF71</f>
        <v>298</v>
      </c>
      <c r="BH71" s="83">
        <f>$BL17+$BS17+$BZ17+$CG17+$FT17+$GA17+$GH17+BG71</f>
        <v>460</v>
      </c>
      <c r="BI71" s="53"/>
      <c r="BJ71" s="270">
        <f t="shared" si="45"/>
        <v>599</v>
      </c>
      <c r="BK71" s="270">
        <f t="shared" si="46"/>
        <v>509</v>
      </c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84">
        <f>$CN15+$CU15+$DB15+$DI15+$GV15+$HC15+$HJ15</f>
        <v>186</v>
      </c>
      <c r="CI71" s="84">
        <f>$CN16+$CU16+$DB16+$DI16+$GV16+$HC16+$HJ16+CH71</f>
        <v>341</v>
      </c>
      <c r="CJ71" s="84">
        <f>$CN17+$CU17+$DB17+$DI17+$GV17+$HC17+$HJ17+CI71</f>
        <v>500</v>
      </c>
      <c r="CK71" s="53"/>
      <c r="CL71" s="270">
        <f t="shared" si="47"/>
        <v>656</v>
      </c>
      <c r="CM71" s="270">
        <f t="shared" si="48"/>
        <v>901</v>
      </c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  <c r="DL71" s="53"/>
      <c r="DM71" s="53"/>
      <c r="DN71" s="53"/>
      <c r="DO71" s="53"/>
      <c r="DP71" s="53"/>
      <c r="DQ71" s="53"/>
      <c r="DR71" s="53"/>
      <c r="DS71" s="53"/>
      <c r="DT71" s="53"/>
      <c r="DU71" s="53"/>
      <c r="DV71" s="53"/>
      <c r="DW71" s="53"/>
      <c r="DX71" s="53"/>
      <c r="DY71" s="53"/>
      <c r="DZ71" s="53"/>
      <c r="EA71" s="53"/>
      <c r="EB71" s="53"/>
      <c r="EC71" s="53"/>
      <c r="ED71" s="53"/>
      <c r="EE71" s="53"/>
      <c r="EF71" s="53"/>
      <c r="EG71" s="53"/>
      <c r="EH71" s="53"/>
      <c r="EI71" s="53"/>
      <c r="EJ71" s="53"/>
      <c r="EK71" s="53"/>
      <c r="EL71" s="53"/>
      <c r="EM71" s="53"/>
      <c r="EN71" s="53"/>
      <c r="EO71" s="53"/>
      <c r="EP71" s="53"/>
      <c r="EQ71" s="53"/>
      <c r="ER71" s="53"/>
      <c r="ES71" s="53"/>
      <c r="ET71" s="53"/>
      <c r="EU71" s="53"/>
      <c r="EV71" s="53"/>
      <c r="EW71" s="53"/>
      <c r="EX71" s="53"/>
      <c r="EY71" s="53"/>
      <c r="EZ71" s="53"/>
      <c r="FA71" s="53"/>
      <c r="FB71" s="53"/>
      <c r="FC71" s="53"/>
      <c r="FD71" s="53"/>
      <c r="FE71" s="53"/>
      <c r="FF71" s="53"/>
      <c r="FG71" s="53"/>
      <c r="FH71" s="53"/>
      <c r="FI71" s="53"/>
      <c r="FJ71" s="53"/>
      <c r="FK71" s="53"/>
      <c r="FL71" s="53"/>
      <c r="FM71" s="53"/>
      <c r="FN71" s="53"/>
      <c r="FO71" s="53"/>
      <c r="FP71" s="53"/>
      <c r="FQ71" s="53"/>
      <c r="FR71" s="53"/>
      <c r="FS71" s="53"/>
      <c r="FT71" s="53"/>
      <c r="FU71" s="53"/>
      <c r="FV71" s="53"/>
      <c r="FW71" s="53"/>
      <c r="FX71" s="53"/>
      <c r="FY71" s="53"/>
      <c r="FZ71" s="53"/>
      <c r="GA71" s="53"/>
      <c r="GB71" s="53"/>
      <c r="GC71" s="53"/>
      <c r="GD71" s="53"/>
      <c r="GE71" s="53"/>
      <c r="GF71" s="53"/>
      <c r="GG71" s="53"/>
      <c r="GH71" s="53"/>
      <c r="GI71" s="53"/>
      <c r="GJ71" s="53"/>
      <c r="GK71" s="53"/>
      <c r="GL71" s="53"/>
      <c r="GM71" s="53"/>
      <c r="GN71" s="53"/>
      <c r="GO71" s="53"/>
      <c r="GP71" s="53"/>
      <c r="GQ71" s="53"/>
      <c r="GR71" s="53"/>
      <c r="GS71" s="53"/>
      <c r="GT71" s="53"/>
      <c r="GU71" s="53"/>
      <c r="GV71" s="53"/>
      <c r="GW71" s="53"/>
      <c r="GX71" s="53"/>
      <c r="GY71" s="53"/>
      <c r="GZ71" s="53"/>
      <c r="HA71" s="53"/>
      <c r="HB71" s="53"/>
      <c r="HC71" s="53"/>
      <c r="HD71" s="53"/>
      <c r="HE71" s="53"/>
      <c r="HF71" s="53"/>
      <c r="HG71" s="53"/>
      <c r="HH71" s="53"/>
      <c r="HI71" s="53"/>
      <c r="HJ71" s="53"/>
    </row>
    <row r="72" spans="1:218" ht="21.75" customHeight="1" x14ac:dyDescent="0.6">
      <c r="A72" s="73">
        <v>45242</v>
      </c>
      <c r="B72" s="81">
        <f>$H19+$O19+$V19+$AC19+$DP19+$DW19+$ED19</f>
        <v>124</v>
      </c>
      <c r="C72" s="81">
        <f>$H20+$O20+$V20+$AC20+$DP20+$DW20+$ED20+B72</f>
        <v>267</v>
      </c>
      <c r="D72" s="81">
        <f>$H21+$O21+$V21+$AC21+$DP21+$DW21+$ED21+C72</f>
        <v>386</v>
      </c>
      <c r="E72" s="53"/>
      <c r="F72" s="270">
        <f t="shared" si="41"/>
        <v>523</v>
      </c>
      <c r="G72" s="270">
        <f t="shared" si="42"/>
        <v>530</v>
      </c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82">
        <f>$AJ19+$AQ19+$AX19+$BE19+$ER19+$EY19+$FF19</f>
        <v>338</v>
      </c>
      <c r="AE72" s="82">
        <f>$AJ20+$AQ20+$AX20+$BE20+$ER20+$EY20+$FF20+AD72</f>
        <v>702</v>
      </c>
      <c r="AF72" s="82">
        <f>$AJ21+$AQ21+$AX21+$BE21+$ER21+$EY21+$FF21+AE72</f>
        <v>1057</v>
      </c>
      <c r="AG72" s="53"/>
      <c r="AH72" s="270">
        <f t="shared" si="43"/>
        <v>1394</v>
      </c>
      <c r="AI72" s="270">
        <f t="shared" si="44"/>
        <v>1155</v>
      </c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  <c r="BE72" s="53"/>
      <c r="BF72" s="83">
        <f>$BL19+$BS19+$BZ19+$CG19+$FT19+$GA19+$GH19</f>
        <v>162</v>
      </c>
      <c r="BG72" s="83">
        <f>$BL20+$BS20+$BZ20+$CG20+$FT20+$GA20+$GH20+BF72</f>
        <v>298</v>
      </c>
      <c r="BH72" s="83">
        <f>$BL21+$BS21+$BZ21+$CG21+$FT21+$GA21+$GH21+BG72</f>
        <v>457</v>
      </c>
      <c r="BI72" s="53"/>
      <c r="BJ72" s="270">
        <f t="shared" si="45"/>
        <v>599</v>
      </c>
      <c r="BK72" s="270">
        <f t="shared" si="46"/>
        <v>574</v>
      </c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  <c r="CG72" s="53"/>
      <c r="CH72" s="84">
        <f>$CN19+$CU19+$DB19+$DI19+$GV19+$HC19+$HJ19</f>
        <v>163</v>
      </c>
      <c r="CI72" s="84">
        <f>$CN20+$CU20+$DB20+$DI20+$GV20+$HC20+$HJ20+CH72</f>
        <v>314</v>
      </c>
      <c r="CJ72" s="84">
        <f>$CN21+$CU21+$DB21+$DI21+$GV21+$HC21+$HJ21+CI72</f>
        <v>467</v>
      </c>
      <c r="CK72" s="53"/>
      <c r="CL72" s="270">
        <f t="shared" si="47"/>
        <v>618</v>
      </c>
      <c r="CM72" s="270">
        <f t="shared" si="48"/>
        <v>875</v>
      </c>
      <c r="CN72" s="53"/>
      <c r="CO72" s="53"/>
      <c r="CP72" s="53"/>
      <c r="CQ72" s="53"/>
      <c r="CR72" s="53"/>
      <c r="CS72" s="53"/>
      <c r="CT72" s="53"/>
      <c r="CU72" s="53"/>
      <c r="CV72" s="53"/>
      <c r="CW72" s="53"/>
      <c r="CX72" s="53"/>
      <c r="CY72" s="53"/>
      <c r="CZ72" s="53"/>
      <c r="DA72" s="53"/>
      <c r="DB72" s="53"/>
      <c r="DC72" s="53"/>
      <c r="DD72" s="53"/>
      <c r="DE72" s="53"/>
      <c r="DF72" s="53"/>
      <c r="DG72" s="53"/>
      <c r="DH72" s="53"/>
      <c r="DI72" s="53"/>
      <c r="DJ72" s="53"/>
      <c r="DK72" s="53"/>
      <c r="DL72" s="53"/>
      <c r="DM72" s="53"/>
      <c r="DN72" s="53"/>
      <c r="DO72" s="53"/>
      <c r="DP72" s="53"/>
      <c r="DQ72" s="53"/>
      <c r="DR72" s="53"/>
      <c r="DS72" s="53"/>
      <c r="DT72" s="53"/>
      <c r="DU72" s="53"/>
      <c r="DV72" s="53"/>
      <c r="DW72" s="53"/>
      <c r="DX72" s="53"/>
      <c r="DY72" s="53"/>
      <c r="DZ72" s="53"/>
      <c r="EA72" s="53"/>
      <c r="EB72" s="53"/>
      <c r="EC72" s="53"/>
      <c r="ED72" s="53"/>
      <c r="EE72" s="53"/>
      <c r="EF72" s="53"/>
      <c r="EG72" s="53"/>
      <c r="EH72" s="53"/>
      <c r="EI72" s="53"/>
      <c r="EJ72" s="53"/>
      <c r="EK72" s="53"/>
      <c r="EL72" s="53"/>
      <c r="EM72" s="53"/>
      <c r="EN72" s="53"/>
      <c r="EO72" s="53"/>
      <c r="EP72" s="53"/>
      <c r="EQ72" s="53"/>
      <c r="ER72" s="53"/>
      <c r="ES72" s="53"/>
      <c r="ET72" s="53"/>
      <c r="EU72" s="53"/>
      <c r="EV72" s="53"/>
      <c r="EW72" s="53"/>
      <c r="EX72" s="53"/>
      <c r="EY72" s="53"/>
      <c r="EZ72" s="53"/>
      <c r="FA72" s="53"/>
      <c r="FB72" s="53"/>
      <c r="FC72" s="53"/>
      <c r="FD72" s="53"/>
      <c r="FE72" s="53"/>
      <c r="FF72" s="53"/>
      <c r="FG72" s="53"/>
      <c r="FH72" s="53"/>
      <c r="FI72" s="53"/>
      <c r="FJ72" s="53"/>
      <c r="FK72" s="53"/>
      <c r="FL72" s="53"/>
      <c r="FM72" s="53"/>
      <c r="FN72" s="53"/>
      <c r="FO72" s="53"/>
      <c r="FP72" s="53"/>
      <c r="FQ72" s="53"/>
      <c r="FR72" s="53"/>
      <c r="FS72" s="53"/>
      <c r="FT72" s="53"/>
      <c r="FU72" s="53"/>
      <c r="FV72" s="53"/>
      <c r="FW72" s="53"/>
      <c r="FX72" s="53"/>
      <c r="FY72" s="53"/>
      <c r="FZ72" s="53"/>
      <c r="GA72" s="53"/>
      <c r="GB72" s="53"/>
      <c r="GC72" s="53"/>
      <c r="GD72" s="53"/>
      <c r="GE72" s="53"/>
      <c r="GF72" s="53"/>
      <c r="GG72" s="53"/>
      <c r="GH72" s="53"/>
      <c r="GI72" s="53"/>
      <c r="GJ72" s="53"/>
      <c r="GK72" s="53"/>
      <c r="GL72" s="53"/>
      <c r="GM72" s="53"/>
      <c r="GN72" s="53"/>
      <c r="GO72" s="53"/>
      <c r="GP72" s="53"/>
      <c r="GQ72" s="53"/>
      <c r="GR72" s="53"/>
      <c r="GS72" s="53"/>
      <c r="GT72" s="53"/>
      <c r="GU72" s="53"/>
      <c r="GV72" s="53"/>
      <c r="GW72" s="53"/>
      <c r="GX72" s="53"/>
      <c r="GY72" s="53"/>
      <c r="GZ72" s="53"/>
      <c r="HA72" s="53"/>
      <c r="HB72" s="53"/>
      <c r="HC72" s="53"/>
      <c r="HD72" s="53"/>
      <c r="HE72" s="53"/>
      <c r="HF72" s="53"/>
      <c r="HG72" s="53"/>
      <c r="HH72" s="53"/>
      <c r="HI72" s="53"/>
      <c r="HJ72" s="53"/>
    </row>
    <row r="73" spans="1:218" ht="21.75" customHeight="1" x14ac:dyDescent="0.6">
      <c r="A73" s="73">
        <v>45273</v>
      </c>
      <c r="B73" s="81">
        <f>$H23+$O23+$V23+$AC23+$DP23+$DW23+$ED23</f>
        <v>136</v>
      </c>
      <c r="C73" s="81">
        <f>$H24+$O24+$V24+$AC24+$DP24+$DW24+$ED24+B73</f>
        <v>261</v>
      </c>
      <c r="D73" s="81">
        <f>$H25+$O25+$V25+$AC25+$DP25+$DW25+$ED25+C73</f>
        <v>386</v>
      </c>
      <c r="E73" s="53"/>
      <c r="F73" s="270">
        <f t="shared" si="41"/>
        <v>523</v>
      </c>
      <c r="G73" s="270">
        <f t="shared" si="42"/>
        <v>500</v>
      </c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82">
        <f>$AJ23+$AQ23+$AX23+$BE23+$ER23+$EY23+$FF23</f>
        <v>366</v>
      </c>
      <c r="AE73" s="82">
        <f>$AJ24+$AQ24+$AX24+$BE24+$ER24+$EY24+$FF24+AD73</f>
        <v>704</v>
      </c>
      <c r="AF73" s="82">
        <f>$AJ25+$AQ25+$AX25+$BE25+$ER25+$EY25+$FF25+AE73</f>
        <v>1052</v>
      </c>
      <c r="AG73" s="53"/>
      <c r="AH73" s="270">
        <f t="shared" si="43"/>
        <v>1408</v>
      </c>
      <c r="AI73" s="270">
        <f t="shared" si="44"/>
        <v>1164</v>
      </c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  <c r="BE73" s="53"/>
      <c r="BF73" s="83">
        <f>$BL23+$BS23+$BZ23+$CG23+$FT23+$GA23+$GH23</f>
        <v>148</v>
      </c>
      <c r="BG73" s="83">
        <f>$BL24+$BS24+$BZ24+$CG24+$FT24+$GA24+$GH24+BF73</f>
        <v>305</v>
      </c>
      <c r="BH73" s="83">
        <f>$BL25+$BS25+$BZ25+$CG25+$FT25+$GA25+$GH25+BG73</f>
        <v>433</v>
      </c>
      <c r="BI73" s="53"/>
      <c r="BJ73" s="270">
        <f t="shared" si="45"/>
        <v>593</v>
      </c>
      <c r="BK73" s="270">
        <f t="shared" si="46"/>
        <v>622</v>
      </c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  <c r="CG73" s="53"/>
      <c r="CH73" s="84">
        <f>$CN23+$CU23+$DB23+$DI23+$GV23+$HC23+$HJ23</f>
        <v>155</v>
      </c>
      <c r="CI73" s="84">
        <f>$CN24+$CU24+$DB24+$DI24+$GV24+$HC24+$HJ24+CH73</f>
        <v>320</v>
      </c>
      <c r="CJ73" s="84">
        <f>$CN25+$CU25+$DB25+$DI25+$GV25+$HC25+$HJ25+CI73</f>
        <v>468</v>
      </c>
      <c r="CK73" s="53"/>
      <c r="CL73" s="270">
        <f t="shared" si="47"/>
        <v>609</v>
      </c>
      <c r="CM73" s="270">
        <f t="shared" si="48"/>
        <v>847</v>
      </c>
      <c r="CN73" s="53"/>
      <c r="CO73" s="53"/>
      <c r="CP73" s="53"/>
      <c r="CQ73" s="53"/>
      <c r="CR73" s="53"/>
      <c r="CS73" s="53"/>
      <c r="CT73" s="53"/>
      <c r="CU73" s="53"/>
      <c r="CV73" s="53"/>
      <c r="CW73" s="53"/>
      <c r="CX73" s="53"/>
      <c r="CY73" s="53"/>
      <c r="CZ73" s="53"/>
      <c r="DA73" s="53"/>
      <c r="DB73" s="53"/>
      <c r="DC73" s="53"/>
      <c r="DD73" s="53"/>
      <c r="DE73" s="53"/>
      <c r="DF73" s="53"/>
      <c r="DG73" s="53"/>
      <c r="DH73" s="53"/>
      <c r="DI73" s="53"/>
      <c r="DJ73" s="53"/>
      <c r="DK73" s="53"/>
      <c r="DL73" s="53"/>
      <c r="DM73" s="53"/>
      <c r="DN73" s="53"/>
      <c r="DO73" s="53"/>
      <c r="DP73" s="53"/>
      <c r="DQ73" s="53"/>
      <c r="DR73" s="53"/>
      <c r="DS73" s="53"/>
      <c r="DT73" s="53"/>
      <c r="DU73" s="53"/>
      <c r="DV73" s="53"/>
      <c r="DW73" s="53"/>
      <c r="DX73" s="53"/>
      <c r="DY73" s="53"/>
      <c r="DZ73" s="53"/>
      <c r="EA73" s="53"/>
      <c r="EB73" s="53"/>
      <c r="EC73" s="53"/>
      <c r="ED73" s="53"/>
      <c r="EE73" s="53"/>
      <c r="EF73" s="53"/>
      <c r="EG73" s="53"/>
      <c r="EH73" s="53"/>
      <c r="EI73" s="53"/>
      <c r="EJ73" s="53"/>
      <c r="EK73" s="53"/>
      <c r="EL73" s="53"/>
      <c r="EM73" s="53"/>
      <c r="EN73" s="53"/>
      <c r="EO73" s="53"/>
      <c r="EP73" s="53"/>
      <c r="EQ73" s="53"/>
      <c r="ER73" s="53"/>
      <c r="ES73" s="53"/>
      <c r="ET73" s="53"/>
      <c r="EU73" s="53"/>
      <c r="EV73" s="53"/>
      <c r="EW73" s="53"/>
      <c r="EX73" s="53"/>
      <c r="EY73" s="53"/>
      <c r="EZ73" s="53"/>
      <c r="FA73" s="53"/>
      <c r="FB73" s="53"/>
      <c r="FC73" s="53"/>
      <c r="FD73" s="53"/>
      <c r="FE73" s="53"/>
      <c r="FF73" s="53"/>
      <c r="FG73" s="53"/>
      <c r="FH73" s="53"/>
      <c r="FI73" s="53"/>
      <c r="FJ73" s="53"/>
      <c r="FK73" s="53"/>
      <c r="FL73" s="53"/>
      <c r="FM73" s="53"/>
      <c r="FN73" s="53"/>
      <c r="FO73" s="53"/>
      <c r="FP73" s="53"/>
      <c r="FQ73" s="53"/>
      <c r="FR73" s="53"/>
      <c r="FS73" s="53"/>
      <c r="FT73" s="53"/>
      <c r="FU73" s="53"/>
      <c r="FV73" s="53"/>
      <c r="FW73" s="53"/>
      <c r="FX73" s="53"/>
      <c r="FY73" s="53"/>
      <c r="FZ73" s="53"/>
      <c r="GA73" s="53"/>
      <c r="GB73" s="53"/>
      <c r="GC73" s="53"/>
      <c r="GD73" s="53"/>
      <c r="GE73" s="53"/>
      <c r="GF73" s="53"/>
      <c r="GG73" s="53"/>
      <c r="GH73" s="53"/>
      <c r="GI73" s="53"/>
      <c r="GJ73" s="53"/>
      <c r="GK73" s="53"/>
      <c r="GL73" s="53"/>
      <c r="GM73" s="53"/>
      <c r="GN73" s="53"/>
      <c r="GO73" s="53"/>
      <c r="GP73" s="53"/>
      <c r="GQ73" s="53"/>
      <c r="GR73" s="53"/>
      <c r="GS73" s="53"/>
      <c r="GT73" s="53"/>
      <c r="GU73" s="53"/>
      <c r="GV73" s="53"/>
      <c r="GW73" s="53"/>
      <c r="GX73" s="53"/>
      <c r="GY73" s="53"/>
      <c r="GZ73" s="53"/>
      <c r="HA73" s="53"/>
      <c r="HB73" s="53"/>
      <c r="HC73" s="53"/>
      <c r="HD73" s="53"/>
      <c r="HE73" s="53"/>
      <c r="HF73" s="53"/>
      <c r="HG73" s="53"/>
      <c r="HH73" s="53"/>
      <c r="HI73" s="53"/>
      <c r="HJ73" s="53"/>
    </row>
    <row r="74" spans="1:218" ht="21.75" customHeight="1" x14ac:dyDescent="0.6">
      <c r="A74" s="75" t="s">
        <v>173</v>
      </c>
      <c r="B74" s="81">
        <f>$H27+$O27+$V27+$AC27+$DP27+$DW27+$ED27</f>
        <v>133</v>
      </c>
      <c r="C74" s="81">
        <f>$H28+$O28+$V28+$AC28+$DP28+$DW28+$ED28+B74</f>
        <v>261</v>
      </c>
      <c r="D74" s="81">
        <f>$H29+$O29+$V29+$AC29+$DP29+$DW29+$ED29+C74</f>
        <v>387</v>
      </c>
      <c r="E74" s="53"/>
      <c r="F74" s="270">
        <f t="shared" si="41"/>
        <v>494</v>
      </c>
      <c r="G74" s="270">
        <f t="shared" si="42"/>
        <v>482</v>
      </c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82">
        <f>$AJ27+$AQ27+$AX27+$BE27+$ER27+$EY27+$FF27</f>
        <v>350</v>
      </c>
      <c r="AE74" s="82">
        <f>$AJ28+$AQ28+$AX28+$BE28+$ER28+$EY28+$FF28+AD74</f>
        <v>737</v>
      </c>
      <c r="AF74" s="82">
        <f>$AJ29+$AQ29+$AX29+$BE29+$ER29+$EY29+$FF29+AE74</f>
        <v>1085</v>
      </c>
      <c r="AG74" s="53"/>
      <c r="AH74" s="270">
        <f t="shared" si="43"/>
        <v>1458</v>
      </c>
      <c r="AI74" s="270">
        <f t="shared" si="44"/>
        <v>1223</v>
      </c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  <c r="BE74" s="53"/>
      <c r="BF74" s="83">
        <f>$BL27+$BS27+$BZ27+$CG27+$FT27+$GA27+$GH27</f>
        <v>162</v>
      </c>
      <c r="BG74" s="83">
        <f>$BL28+$BS28+$BZ28+$CG28+$FT28+$GA28+$GH28+BF74</f>
        <v>326</v>
      </c>
      <c r="BH74" s="83">
        <f>$BL29+$BS29+$BZ29+$CG29+$FT29+$GA29+$GH29+BG74</f>
        <v>452</v>
      </c>
      <c r="BI74" s="53"/>
      <c r="BJ74" s="270">
        <f t="shared" si="45"/>
        <v>604</v>
      </c>
      <c r="BK74" s="270">
        <f t="shared" si="46"/>
        <v>508</v>
      </c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  <c r="CG74" s="53"/>
      <c r="CH74" s="84">
        <f>$CN27+$CU27+$DB27+$DI27+$GV27+$HC27+$HJ27</f>
        <v>164</v>
      </c>
      <c r="CI74" s="84">
        <f>$CN28+$CU28+$DB28+$DI28+$GV28+$HC28+$HJ28+CH74</f>
        <v>329</v>
      </c>
      <c r="CJ74" s="84">
        <f>$CN29+$CU29+$DB29+$DI29+$GV29+$HC29+$HJ29+CI74</f>
        <v>476</v>
      </c>
      <c r="CK74" s="53"/>
      <c r="CL74" s="270">
        <f t="shared" si="47"/>
        <v>624</v>
      </c>
      <c r="CM74" s="270">
        <f t="shared" si="48"/>
        <v>967</v>
      </c>
      <c r="CN74" s="53"/>
      <c r="CO74" s="53"/>
      <c r="CP74" s="53"/>
      <c r="CQ74" s="53"/>
      <c r="CR74" s="53"/>
      <c r="CS74" s="53"/>
      <c r="CT74" s="53"/>
      <c r="CU74" s="53"/>
      <c r="CV74" s="53"/>
      <c r="CW74" s="53"/>
      <c r="CX74" s="53"/>
      <c r="CY74" s="53"/>
      <c r="CZ74" s="53"/>
      <c r="DA74" s="53"/>
      <c r="DB74" s="53"/>
      <c r="DC74" s="53"/>
      <c r="DD74" s="53"/>
      <c r="DE74" s="53"/>
      <c r="DF74" s="53"/>
      <c r="DG74" s="53"/>
      <c r="DH74" s="53"/>
      <c r="DI74" s="53"/>
      <c r="DJ74" s="53"/>
      <c r="DK74" s="53"/>
      <c r="DL74" s="53"/>
      <c r="DM74" s="53"/>
      <c r="DN74" s="53"/>
      <c r="DO74" s="53"/>
      <c r="DP74" s="53"/>
      <c r="DQ74" s="53"/>
      <c r="DR74" s="53"/>
      <c r="DS74" s="53"/>
      <c r="DT74" s="53"/>
      <c r="DU74" s="53"/>
      <c r="DV74" s="53"/>
      <c r="DW74" s="53"/>
      <c r="DX74" s="53"/>
      <c r="DY74" s="53"/>
      <c r="DZ74" s="53"/>
      <c r="EA74" s="53"/>
      <c r="EB74" s="53"/>
      <c r="EC74" s="53"/>
      <c r="ED74" s="53"/>
      <c r="EE74" s="53"/>
      <c r="EF74" s="53"/>
      <c r="EG74" s="53"/>
      <c r="EH74" s="53"/>
      <c r="EI74" s="53"/>
      <c r="EJ74" s="53"/>
      <c r="EK74" s="53"/>
      <c r="EL74" s="53"/>
      <c r="EM74" s="53"/>
      <c r="EN74" s="53"/>
      <c r="EO74" s="53"/>
      <c r="EP74" s="53"/>
      <c r="EQ74" s="53"/>
      <c r="ER74" s="53"/>
      <c r="ES74" s="53"/>
      <c r="ET74" s="53"/>
      <c r="EU74" s="53"/>
      <c r="EV74" s="53"/>
      <c r="EW74" s="53"/>
      <c r="EX74" s="53"/>
      <c r="EY74" s="53"/>
      <c r="EZ74" s="53"/>
      <c r="FA74" s="53"/>
      <c r="FB74" s="53"/>
      <c r="FC74" s="53"/>
      <c r="FD74" s="53"/>
      <c r="FE74" s="53"/>
      <c r="FF74" s="53"/>
      <c r="FG74" s="53"/>
      <c r="FH74" s="53"/>
      <c r="FI74" s="53"/>
      <c r="FJ74" s="53"/>
      <c r="FK74" s="53"/>
      <c r="FL74" s="53"/>
      <c r="FM74" s="53"/>
      <c r="FN74" s="53"/>
      <c r="FO74" s="53"/>
      <c r="FP74" s="53"/>
      <c r="FQ74" s="53"/>
      <c r="FR74" s="53"/>
      <c r="FS74" s="53"/>
      <c r="FT74" s="53"/>
      <c r="FU74" s="53"/>
      <c r="FV74" s="53"/>
      <c r="FW74" s="53"/>
      <c r="FX74" s="53"/>
      <c r="FY74" s="53"/>
      <c r="FZ74" s="53"/>
      <c r="GA74" s="53"/>
      <c r="GB74" s="53"/>
      <c r="GC74" s="53"/>
      <c r="GD74" s="53"/>
      <c r="GE74" s="53"/>
      <c r="GF74" s="53"/>
      <c r="GG74" s="53"/>
      <c r="GH74" s="53"/>
      <c r="GI74" s="53"/>
      <c r="GJ74" s="53"/>
      <c r="GK74" s="53"/>
      <c r="GL74" s="53"/>
      <c r="GM74" s="53"/>
      <c r="GN74" s="53"/>
      <c r="GO74" s="53"/>
      <c r="GP74" s="53"/>
      <c r="GQ74" s="53"/>
      <c r="GR74" s="53"/>
      <c r="GS74" s="53"/>
      <c r="GT74" s="53"/>
      <c r="GU74" s="53"/>
      <c r="GV74" s="53"/>
      <c r="GW74" s="53"/>
      <c r="GX74" s="53"/>
      <c r="GY74" s="53"/>
      <c r="GZ74" s="53"/>
      <c r="HA74" s="53"/>
      <c r="HB74" s="53"/>
      <c r="HC74" s="53"/>
      <c r="HD74" s="53"/>
      <c r="HE74" s="53"/>
      <c r="HF74" s="53"/>
      <c r="HG74" s="53"/>
      <c r="HH74" s="53"/>
      <c r="HI74" s="53"/>
      <c r="HJ74" s="53"/>
    </row>
    <row r="75" spans="1:218" ht="21.75" customHeight="1" x14ac:dyDescent="0.6">
      <c r="A75" s="75" t="s">
        <v>174</v>
      </c>
      <c r="B75" s="81">
        <f>$H31+$O31+$V31+$AC31+$DP31+$DW31+$ED31</f>
        <v>124</v>
      </c>
      <c r="C75" s="81">
        <f>$H32+$O32+$V32+$AC32+$DP32+$DW32+$ED32+B75</f>
        <v>246</v>
      </c>
      <c r="D75" s="81">
        <f>$H33+$O33+$V33+$AC33+$DP33+$DW33+$ED33+C75</f>
        <v>377</v>
      </c>
      <c r="E75" s="53"/>
      <c r="F75" s="270">
        <f t="shared" si="41"/>
        <v>519</v>
      </c>
      <c r="G75" s="270">
        <f t="shared" si="42"/>
        <v>529</v>
      </c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82">
        <f>$AJ31+$AQ31+$AX31+$BE31+$ER31+$EY31+$FF31</f>
        <v>358</v>
      </c>
      <c r="AE75" s="82">
        <f>$AJ32+$AQ32+$AX32+$BE32+$ER32+$EY32+$FF32+AD75</f>
        <v>714</v>
      </c>
      <c r="AF75" s="82">
        <f>$AJ33+$AQ33+$AX33+$BE33+$ER33+$EY33+$FF33+AE75</f>
        <v>1065</v>
      </c>
      <c r="AG75" s="53"/>
      <c r="AH75" s="270">
        <f t="shared" si="43"/>
        <v>1434</v>
      </c>
      <c r="AI75" s="270">
        <f t="shared" si="44"/>
        <v>1239</v>
      </c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  <c r="BE75" s="53"/>
      <c r="BF75" s="83">
        <f>$BL31+$BS31+$BZ31+$CG31+$FT31+$GA31+$GH31</f>
        <v>152</v>
      </c>
      <c r="BG75" s="83">
        <f>$BL32+$BS32+$BZ32+$CG32+$FT32+$GA32+$GH32+BF75</f>
        <v>315</v>
      </c>
      <c r="BH75" s="83">
        <f>$BL33+$BS33+$BZ33+$CG33+$FT33+$GA33+$GH33+BG75</f>
        <v>484</v>
      </c>
      <c r="BI75" s="53"/>
      <c r="BJ75" s="270">
        <f t="shared" si="45"/>
        <v>621</v>
      </c>
      <c r="BK75" s="270">
        <f t="shared" si="46"/>
        <v>457</v>
      </c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  <c r="CG75" s="53"/>
      <c r="CH75" s="84">
        <f>$CN31+$CU31+$DB31+$DI31+$GV31+$HC31+$HJ31</f>
        <v>152</v>
      </c>
      <c r="CI75" s="84">
        <f>$CN32+$CU32+$DB32+$DI32+$GV32+$HC32+$HJ32+CH75</f>
        <v>311</v>
      </c>
      <c r="CJ75" s="84">
        <f>$CN33+$CU33+$DB33+$DI33+$GV33+$HC33+$HJ33+CI75</f>
        <v>473</v>
      </c>
      <c r="CK75" s="53"/>
      <c r="CL75" s="270">
        <f t="shared" si="47"/>
        <v>636</v>
      </c>
      <c r="CM75" s="270">
        <f t="shared" si="48"/>
        <v>985</v>
      </c>
      <c r="CN75" s="53"/>
      <c r="CO75" s="53"/>
      <c r="CP75" s="53"/>
      <c r="CQ75" s="53"/>
      <c r="CR75" s="53"/>
      <c r="CS75" s="53"/>
      <c r="CT75" s="53"/>
      <c r="CU75" s="53"/>
      <c r="CV75" s="53"/>
      <c r="CW75" s="53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53"/>
      <c r="DJ75" s="53"/>
      <c r="DK75" s="53"/>
      <c r="DL75" s="53"/>
      <c r="DM75" s="53"/>
      <c r="DN75" s="53"/>
      <c r="DO75" s="53"/>
      <c r="DP75" s="53"/>
      <c r="DQ75" s="53"/>
      <c r="DR75" s="53"/>
      <c r="DS75" s="53"/>
      <c r="DT75" s="53"/>
      <c r="DU75" s="53"/>
      <c r="DV75" s="53"/>
      <c r="DW75" s="53"/>
      <c r="DX75" s="53"/>
      <c r="DY75" s="53"/>
      <c r="DZ75" s="53"/>
      <c r="EA75" s="53"/>
      <c r="EB75" s="53"/>
      <c r="EC75" s="53"/>
      <c r="ED75" s="53"/>
      <c r="EE75" s="53"/>
      <c r="EF75" s="53"/>
      <c r="EG75" s="53"/>
      <c r="EH75" s="53"/>
      <c r="EI75" s="53"/>
      <c r="EJ75" s="53"/>
      <c r="EK75" s="53"/>
      <c r="EL75" s="53"/>
      <c r="EM75" s="53"/>
      <c r="EN75" s="53"/>
      <c r="EO75" s="53"/>
      <c r="EP75" s="53"/>
      <c r="EQ75" s="53"/>
      <c r="ER75" s="53"/>
      <c r="ES75" s="53"/>
      <c r="ET75" s="53"/>
      <c r="EU75" s="53"/>
      <c r="EV75" s="53"/>
      <c r="EW75" s="53"/>
      <c r="EX75" s="53"/>
      <c r="EY75" s="53"/>
      <c r="EZ75" s="53"/>
      <c r="FA75" s="53"/>
      <c r="FB75" s="53"/>
      <c r="FC75" s="53"/>
      <c r="FD75" s="53"/>
      <c r="FE75" s="53"/>
      <c r="FF75" s="53"/>
      <c r="FG75" s="53"/>
      <c r="FH75" s="53"/>
      <c r="FI75" s="53"/>
      <c r="FJ75" s="53"/>
      <c r="FK75" s="53"/>
      <c r="FL75" s="53"/>
      <c r="FM75" s="53"/>
      <c r="FN75" s="53"/>
      <c r="FO75" s="53"/>
      <c r="FP75" s="53"/>
      <c r="FQ75" s="53"/>
      <c r="FR75" s="53"/>
      <c r="FS75" s="53"/>
      <c r="FT75" s="53"/>
      <c r="FU75" s="53"/>
      <c r="FV75" s="53"/>
      <c r="FW75" s="53"/>
      <c r="FX75" s="53"/>
      <c r="FY75" s="53"/>
      <c r="FZ75" s="53"/>
      <c r="GA75" s="53"/>
      <c r="GB75" s="53"/>
      <c r="GC75" s="53"/>
      <c r="GD75" s="53"/>
      <c r="GE75" s="53"/>
      <c r="GF75" s="53"/>
      <c r="GG75" s="53"/>
      <c r="GH75" s="53"/>
      <c r="GI75" s="53"/>
      <c r="GJ75" s="53"/>
      <c r="GK75" s="53"/>
      <c r="GL75" s="53"/>
      <c r="GM75" s="53"/>
      <c r="GN75" s="53"/>
      <c r="GO75" s="53"/>
      <c r="GP75" s="53"/>
      <c r="GQ75" s="53"/>
      <c r="GR75" s="53"/>
      <c r="GS75" s="53"/>
      <c r="GT75" s="53"/>
      <c r="GU75" s="53"/>
      <c r="GV75" s="53"/>
      <c r="GW75" s="53"/>
      <c r="GX75" s="53"/>
      <c r="GY75" s="53"/>
      <c r="GZ75" s="53"/>
      <c r="HA75" s="53"/>
      <c r="HB75" s="53"/>
      <c r="HC75" s="53"/>
      <c r="HD75" s="53"/>
      <c r="HE75" s="53"/>
      <c r="HF75" s="53"/>
      <c r="HG75" s="53"/>
      <c r="HH75" s="53"/>
      <c r="HI75" s="53"/>
      <c r="HJ75" s="53"/>
    </row>
    <row r="76" spans="1:218" ht="21.75" customHeight="1" x14ac:dyDescent="0.6">
      <c r="A76" s="75" t="s">
        <v>175</v>
      </c>
      <c r="B76" s="81">
        <f>$H35+$O35+$V35+$AC35+$DP35+$DW35+$ED35</f>
        <v>122</v>
      </c>
      <c r="C76" s="81">
        <f>$H36+$O36+$V36+$AC36+$DP36+$DW36+$ED36+B76</f>
        <v>256</v>
      </c>
      <c r="D76" s="81">
        <f>$H37+$O37+$V37+$AC37+$DP37+$DW37+$ED37+C76</f>
        <v>392</v>
      </c>
      <c r="E76" s="53"/>
      <c r="F76" s="270">
        <f t="shared" si="41"/>
        <v>513</v>
      </c>
      <c r="G76" s="270">
        <f t="shared" si="42"/>
        <v>621</v>
      </c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82">
        <f>$AJ35+$AQ35+$AX35+$BE35+$ER35+$EY35+$FF35</f>
        <v>367</v>
      </c>
      <c r="AE76" s="82">
        <f>$AJ36+$AQ36+$AX36+$BE36+$ER36+$EY36+$FF36+AD76</f>
        <v>720</v>
      </c>
      <c r="AF76" s="82">
        <f>$AJ37+$AQ37+$AX37+$BE37+$ER37+$EY37+$FF37+AE76</f>
        <v>1137</v>
      </c>
      <c r="AG76" s="53"/>
      <c r="AH76" s="270">
        <f t="shared" si="43"/>
        <v>1524</v>
      </c>
      <c r="AI76" s="270">
        <f t="shared" si="44"/>
        <v>1254</v>
      </c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  <c r="BE76" s="53"/>
      <c r="BF76" s="83">
        <f>$BL35+$BS35+$BZ35+$CG35+$FT35+$GA35+$GH35</f>
        <v>148</v>
      </c>
      <c r="BG76" s="83">
        <f>$BL36+$BS36+$BZ36+$CG36+$FT36+$GA36+$GH36+BF76</f>
        <v>270</v>
      </c>
      <c r="BH76" s="83">
        <f>$BL37+$BS37+$BZ37+$CG37+$FT37+$GA37+$GH37+BG76</f>
        <v>402</v>
      </c>
      <c r="BI76" s="53"/>
      <c r="BJ76" s="270">
        <f t="shared" si="45"/>
        <v>550</v>
      </c>
      <c r="BK76" s="270">
        <f t="shared" si="46"/>
        <v>469</v>
      </c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  <c r="CG76" s="53"/>
      <c r="CH76" s="84">
        <f>$CN35+$CU35+$DB35+$DI35+$GV35+$HC35+$HJ35</f>
        <v>151</v>
      </c>
      <c r="CI76" s="84">
        <f>$CN36+$CU36+$DB36+$DI36+$GV36+$HC36+$HJ36+CH76</f>
        <v>344</v>
      </c>
      <c r="CJ76" s="84">
        <f>$CN37+$CU37+$DB37+$DI37+$GV37+$HC37+$HJ37+CI76</f>
        <v>533</v>
      </c>
      <c r="CK76" s="53"/>
      <c r="CL76" s="270">
        <f t="shared" si="47"/>
        <v>722</v>
      </c>
      <c r="CM76" s="270">
        <f t="shared" si="48"/>
        <v>965</v>
      </c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B76" s="53"/>
      <c r="DC76" s="53"/>
      <c r="DD76" s="53"/>
      <c r="DE76" s="53"/>
      <c r="DF76" s="53"/>
      <c r="DG76" s="53"/>
      <c r="DH76" s="53"/>
      <c r="DI76" s="53"/>
      <c r="DJ76" s="53"/>
      <c r="DK76" s="53"/>
      <c r="DL76" s="53"/>
      <c r="DM76" s="53"/>
      <c r="DN76" s="53"/>
      <c r="DO76" s="53"/>
      <c r="DP76" s="53"/>
      <c r="DQ76" s="53"/>
      <c r="DR76" s="53"/>
      <c r="DS76" s="53"/>
      <c r="DT76" s="53"/>
      <c r="DU76" s="53"/>
      <c r="DV76" s="53"/>
      <c r="DW76" s="53"/>
      <c r="DX76" s="53"/>
      <c r="DY76" s="53"/>
      <c r="DZ76" s="53"/>
      <c r="EA76" s="53"/>
      <c r="EB76" s="53"/>
      <c r="EC76" s="53"/>
      <c r="ED76" s="53"/>
      <c r="EE76" s="53"/>
      <c r="EF76" s="53"/>
      <c r="EG76" s="53"/>
      <c r="EH76" s="53"/>
      <c r="EI76" s="53"/>
      <c r="EJ76" s="53"/>
      <c r="EK76" s="53"/>
      <c r="EL76" s="53"/>
      <c r="EM76" s="53"/>
      <c r="EN76" s="53"/>
      <c r="EO76" s="53"/>
      <c r="EP76" s="53"/>
      <c r="EQ76" s="53"/>
      <c r="ER76" s="53"/>
      <c r="ES76" s="53"/>
      <c r="ET76" s="53"/>
      <c r="EU76" s="53"/>
      <c r="EV76" s="53"/>
      <c r="EW76" s="53"/>
      <c r="EX76" s="53"/>
      <c r="EY76" s="53"/>
      <c r="EZ76" s="53"/>
      <c r="FA76" s="53"/>
      <c r="FB76" s="53"/>
      <c r="FC76" s="53"/>
      <c r="FD76" s="53"/>
      <c r="FE76" s="53"/>
      <c r="FF76" s="53"/>
      <c r="FG76" s="53"/>
      <c r="FH76" s="53"/>
      <c r="FI76" s="53"/>
      <c r="FJ76" s="53"/>
      <c r="FK76" s="53"/>
      <c r="FL76" s="53"/>
      <c r="FM76" s="53"/>
      <c r="FN76" s="53"/>
      <c r="FO76" s="53"/>
      <c r="FP76" s="53"/>
      <c r="FQ76" s="53"/>
      <c r="FR76" s="53"/>
      <c r="FS76" s="53"/>
      <c r="FT76" s="53"/>
      <c r="FU76" s="53"/>
      <c r="FV76" s="53"/>
      <c r="FW76" s="53"/>
      <c r="FX76" s="53"/>
      <c r="FY76" s="53"/>
      <c r="FZ76" s="53"/>
      <c r="GA76" s="53"/>
      <c r="GB76" s="53"/>
      <c r="GC76" s="53"/>
      <c r="GD76" s="53"/>
      <c r="GE76" s="53"/>
      <c r="GF76" s="53"/>
      <c r="GG76" s="53"/>
      <c r="GH76" s="53"/>
      <c r="GI76" s="53"/>
      <c r="GJ76" s="53"/>
      <c r="GK76" s="53"/>
      <c r="GL76" s="53"/>
      <c r="GM76" s="53"/>
      <c r="GN76" s="53"/>
      <c r="GO76" s="53"/>
      <c r="GP76" s="53"/>
      <c r="GQ76" s="53"/>
      <c r="GR76" s="53"/>
      <c r="GS76" s="53"/>
      <c r="GT76" s="53"/>
      <c r="GU76" s="53"/>
      <c r="GV76" s="53"/>
      <c r="GW76" s="53"/>
      <c r="GX76" s="53"/>
      <c r="GY76" s="53"/>
      <c r="GZ76" s="53"/>
      <c r="HA76" s="53"/>
      <c r="HB76" s="53"/>
      <c r="HC76" s="53"/>
      <c r="HD76" s="53"/>
      <c r="HE76" s="53"/>
      <c r="HF76" s="53"/>
      <c r="HG76" s="53"/>
      <c r="HH76" s="53"/>
      <c r="HI76" s="53"/>
      <c r="HJ76" s="53"/>
    </row>
    <row r="77" spans="1:218" ht="21.75" customHeight="1" x14ac:dyDescent="0.6">
      <c r="A77" s="75" t="s">
        <v>176</v>
      </c>
      <c r="B77" s="81">
        <f>$H39+$O39+$V39+$AC39+$DP39+$DW39+$ED39</f>
        <v>130</v>
      </c>
      <c r="C77" s="81">
        <f>$H40+$O40+$V40+$AC40+$DP40+$DW40+$ED40+B77</f>
        <v>267</v>
      </c>
      <c r="D77" s="81">
        <f>$H41+$O41+$V41+$AC41+$DP41+$DW41+$ED41+C77</f>
        <v>413</v>
      </c>
      <c r="E77" s="53"/>
      <c r="F77" s="270">
        <f t="shared" si="41"/>
        <v>567</v>
      </c>
      <c r="G77" s="270">
        <f t="shared" si="42"/>
        <v>741</v>
      </c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82">
        <f>$AJ39+$AQ39+$AX39+$BE39+$ER39+$EY39+$FF39</f>
        <v>412</v>
      </c>
      <c r="AE77" s="82">
        <f>$AJ40+$AQ40+$AX40+$BE40+$ER40+$EY40+$FF40+AD77</f>
        <v>815</v>
      </c>
      <c r="AF77" s="82">
        <f>$AJ41+$AQ41+$AX41+$BE41+$ER41+$EY41+$FF41+AE77</f>
        <v>1240</v>
      </c>
      <c r="AG77" s="53"/>
      <c r="AH77" s="270">
        <f t="shared" si="43"/>
        <v>1667</v>
      </c>
      <c r="AI77" s="270">
        <f t="shared" si="44"/>
        <v>1463</v>
      </c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83">
        <f>$BL39+$BS39+$BZ39+$CG39+$FT39+$GA39+$GH39</f>
        <v>150</v>
      </c>
      <c r="BG77" s="83">
        <f>$BL40+$BS40+$BZ40+$CG40+$FT40+$GA40+$GH40+BF77</f>
        <v>293</v>
      </c>
      <c r="BH77" s="83">
        <f>$BL41+$BS41+$BZ41+$CG41+$FT41+$GA41+$GH41+BG77</f>
        <v>447</v>
      </c>
      <c r="BI77" s="53"/>
      <c r="BJ77" s="270">
        <f t="shared" si="45"/>
        <v>604</v>
      </c>
      <c r="BK77" s="270">
        <f t="shared" si="46"/>
        <v>498</v>
      </c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  <c r="CG77" s="53"/>
      <c r="CH77" s="84">
        <f>$CN39+$CU39+$DB39+$DI39+$GV39+$HC39+$HJ39</f>
        <v>229</v>
      </c>
      <c r="CI77" s="84">
        <f>$CN40+$CU40+$DB40+$DI40+$GV40+$HC40+$HJ40+CH77</f>
        <v>468</v>
      </c>
      <c r="CJ77" s="84">
        <f>$CN41+$CU41+$DB41+$DI41+$GV41+$HC41+$HJ41+CI77</f>
        <v>667</v>
      </c>
      <c r="CK77" s="53"/>
      <c r="CL77" s="270">
        <f t="shared" si="47"/>
        <v>896</v>
      </c>
      <c r="CM77" s="270">
        <f t="shared" si="48"/>
        <v>1032</v>
      </c>
      <c r="CN77" s="53"/>
      <c r="CO77" s="53"/>
      <c r="CP77" s="53"/>
      <c r="CQ77" s="53"/>
      <c r="CR77" s="53"/>
      <c r="CS77" s="53"/>
      <c r="CT77" s="53"/>
      <c r="CU77" s="53"/>
      <c r="CV77" s="53"/>
      <c r="CW77" s="53"/>
      <c r="CX77" s="53"/>
      <c r="CY77" s="53"/>
      <c r="CZ77" s="53"/>
      <c r="DA77" s="53"/>
      <c r="DB77" s="53"/>
      <c r="DC77" s="53"/>
      <c r="DD77" s="53"/>
      <c r="DE77" s="53"/>
      <c r="DF77" s="53"/>
      <c r="DG77" s="53"/>
      <c r="DH77" s="53"/>
      <c r="DI77" s="53"/>
      <c r="DJ77" s="53"/>
      <c r="DK77" s="53"/>
      <c r="DL77" s="53"/>
      <c r="DM77" s="53"/>
      <c r="DN77" s="53"/>
      <c r="DO77" s="53"/>
      <c r="DP77" s="53"/>
      <c r="DQ77" s="53"/>
      <c r="DR77" s="53"/>
      <c r="DS77" s="53"/>
      <c r="DT77" s="53"/>
      <c r="DU77" s="53"/>
      <c r="DV77" s="53"/>
      <c r="DW77" s="53"/>
      <c r="DX77" s="53"/>
      <c r="DY77" s="53"/>
      <c r="DZ77" s="53"/>
      <c r="EA77" s="53"/>
      <c r="EB77" s="53"/>
      <c r="EC77" s="53"/>
      <c r="ED77" s="53"/>
      <c r="EE77" s="53"/>
      <c r="EF77" s="53"/>
      <c r="EG77" s="53"/>
      <c r="EH77" s="53"/>
      <c r="EI77" s="53"/>
      <c r="EJ77" s="53"/>
      <c r="EK77" s="53"/>
      <c r="EL77" s="53"/>
      <c r="EM77" s="53"/>
      <c r="EN77" s="53"/>
      <c r="EO77" s="53"/>
      <c r="EP77" s="53"/>
      <c r="EQ77" s="53"/>
      <c r="ER77" s="53"/>
      <c r="ES77" s="53"/>
      <c r="ET77" s="53"/>
      <c r="EU77" s="53"/>
      <c r="EV77" s="53"/>
      <c r="EW77" s="53"/>
      <c r="EX77" s="53"/>
      <c r="EY77" s="53"/>
      <c r="EZ77" s="53"/>
      <c r="FA77" s="53"/>
      <c r="FB77" s="53"/>
      <c r="FC77" s="53"/>
      <c r="FD77" s="53"/>
      <c r="FE77" s="53"/>
      <c r="FF77" s="53"/>
      <c r="FG77" s="53"/>
      <c r="FH77" s="53"/>
      <c r="FI77" s="53"/>
      <c r="FJ77" s="53"/>
      <c r="FK77" s="53"/>
      <c r="FL77" s="53"/>
      <c r="FM77" s="53"/>
      <c r="FN77" s="53"/>
      <c r="FO77" s="53"/>
      <c r="FP77" s="53"/>
      <c r="FQ77" s="53"/>
      <c r="FR77" s="53"/>
      <c r="FS77" s="53"/>
      <c r="FT77" s="53"/>
      <c r="FU77" s="53"/>
      <c r="FV77" s="53"/>
      <c r="FW77" s="53"/>
      <c r="FX77" s="53"/>
      <c r="FY77" s="53"/>
      <c r="FZ77" s="53"/>
      <c r="GA77" s="53"/>
      <c r="GB77" s="53"/>
      <c r="GC77" s="53"/>
      <c r="GD77" s="53"/>
      <c r="GE77" s="53"/>
      <c r="GF77" s="53"/>
      <c r="GG77" s="53"/>
      <c r="GH77" s="53"/>
      <c r="GI77" s="53"/>
      <c r="GJ77" s="53"/>
      <c r="GK77" s="53"/>
      <c r="GL77" s="53"/>
      <c r="GM77" s="53"/>
      <c r="GN77" s="53"/>
      <c r="GO77" s="53"/>
      <c r="GP77" s="53"/>
      <c r="GQ77" s="53"/>
      <c r="GR77" s="53"/>
      <c r="GS77" s="53"/>
      <c r="GT77" s="53"/>
      <c r="GU77" s="53"/>
      <c r="GV77" s="53"/>
      <c r="GW77" s="53"/>
      <c r="GX77" s="53"/>
      <c r="GY77" s="53"/>
      <c r="GZ77" s="53"/>
      <c r="HA77" s="53"/>
      <c r="HB77" s="53"/>
      <c r="HC77" s="53"/>
      <c r="HD77" s="53"/>
      <c r="HE77" s="53"/>
      <c r="HF77" s="53"/>
      <c r="HG77" s="53"/>
      <c r="HH77" s="53"/>
      <c r="HI77" s="53"/>
      <c r="HJ77" s="53"/>
    </row>
    <row r="78" spans="1:218" ht="21.75" customHeight="1" x14ac:dyDescent="0.6">
      <c r="A78" s="75" t="s">
        <v>177</v>
      </c>
      <c r="B78" s="81">
        <f>$H43+$O43+$V43+$AC43+$DP43+$DW43+$ED43</f>
        <v>123</v>
      </c>
      <c r="C78" s="81">
        <f>$H44+$O44+$V44+$AC44+$DP44+$DW44+$ED44+B78</f>
        <v>250</v>
      </c>
      <c r="D78" s="81">
        <f>$H45+$O45+$V45+$AC45+$DP45+$DW45+$ED45+C78</f>
        <v>371</v>
      </c>
      <c r="E78" s="53"/>
      <c r="F78" s="270">
        <f t="shared" si="41"/>
        <v>493</v>
      </c>
      <c r="G78" s="270">
        <f t="shared" si="42"/>
        <v>818</v>
      </c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82">
        <f>$AJ43+$AQ43+$AX43+$BE43+$ER43+$EY43+$FF43</f>
        <v>393</v>
      </c>
      <c r="AE78" s="82">
        <f>$AJ44+$AQ44+$AX44+$BE44+$ER44+$EY44+$FF44+AD78</f>
        <v>811</v>
      </c>
      <c r="AF78" s="82">
        <f>$AJ45+$AQ45+$AX45+$BE45+$ER45+$EY45+$FF45+AE78</f>
        <v>1210</v>
      </c>
      <c r="AG78" s="53"/>
      <c r="AH78" s="270">
        <f t="shared" si="43"/>
        <v>1591</v>
      </c>
      <c r="AI78" s="270">
        <f t="shared" si="44"/>
        <v>1620</v>
      </c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83">
        <f>$BL43+$BS43+$BZ43+$CG43+$FT43+$GA43+$GH43</f>
        <v>174</v>
      </c>
      <c r="BG78" s="83">
        <f>$BL44+$BS44+$BZ44+$CG44+$FT44+$GA44+$GH44+BF78</f>
        <v>338</v>
      </c>
      <c r="BH78" s="83">
        <f>$BL45+$BS45+$BZ45+$CG45+$FT45+$GA45+$GH45+BG78</f>
        <v>498</v>
      </c>
      <c r="BI78" s="53"/>
      <c r="BJ78" s="270">
        <f t="shared" si="45"/>
        <v>669</v>
      </c>
      <c r="BK78" s="270">
        <f t="shared" si="46"/>
        <v>444</v>
      </c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84">
        <f>$CN43+$CU43+$DB43+$DI43+$GV43+$HC43+$HJ43</f>
        <v>261</v>
      </c>
      <c r="CI78" s="84">
        <f>$CN44+$CU44+$DB44+$DI44+$GV44+$HC44+$HJ44+CH78</f>
        <v>537</v>
      </c>
      <c r="CJ78" s="84">
        <f>$CN45+$CU45+$DB45+$DI45+$GV45+$HC45+$HJ45+CI78</f>
        <v>761</v>
      </c>
      <c r="CK78" s="53"/>
      <c r="CL78" s="270">
        <f t="shared" si="47"/>
        <v>1082</v>
      </c>
      <c r="CM78" s="270">
        <f t="shared" si="48"/>
        <v>953</v>
      </c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  <c r="DL78" s="53"/>
      <c r="DM78" s="53"/>
      <c r="DN78" s="53"/>
      <c r="DO78" s="53"/>
      <c r="DP78" s="53"/>
      <c r="DQ78" s="53"/>
      <c r="DR78" s="53"/>
      <c r="DS78" s="53"/>
      <c r="DT78" s="53"/>
      <c r="DU78" s="53"/>
      <c r="DV78" s="53"/>
      <c r="DW78" s="53"/>
      <c r="DX78" s="53"/>
      <c r="DY78" s="53"/>
      <c r="DZ78" s="53"/>
      <c r="EA78" s="53"/>
      <c r="EB78" s="53"/>
      <c r="EC78" s="53"/>
      <c r="ED78" s="53"/>
      <c r="EE78" s="53"/>
      <c r="EF78" s="53"/>
      <c r="EG78" s="53"/>
      <c r="EH78" s="53"/>
      <c r="EI78" s="53"/>
      <c r="EJ78" s="53"/>
      <c r="EK78" s="53"/>
      <c r="EL78" s="53"/>
      <c r="EM78" s="53"/>
      <c r="EN78" s="53"/>
      <c r="EO78" s="53"/>
      <c r="EP78" s="53"/>
      <c r="EQ78" s="53"/>
      <c r="ER78" s="53"/>
      <c r="ES78" s="53"/>
      <c r="ET78" s="53"/>
      <c r="EU78" s="53"/>
      <c r="EV78" s="53"/>
      <c r="EW78" s="53"/>
      <c r="EX78" s="53"/>
      <c r="EY78" s="53"/>
      <c r="EZ78" s="53"/>
      <c r="FA78" s="53"/>
      <c r="FB78" s="53"/>
      <c r="FC78" s="53"/>
      <c r="FD78" s="53"/>
      <c r="FE78" s="53"/>
      <c r="FF78" s="53"/>
      <c r="FG78" s="53"/>
      <c r="FH78" s="53"/>
      <c r="FI78" s="53"/>
      <c r="FJ78" s="53"/>
      <c r="FK78" s="53"/>
      <c r="FL78" s="53"/>
      <c r="FM78" s="53"/>
      <c r="FN78" s="53"/>
      <c r="FO78" s="53"/>
      <c r="FP78" s="53"/>
      <c r="FQ78" s="53"/>
      <c r="FR78" s="53"/>
      <c r="FS78" s="53"/>
      <c r="FT78" s="53"/>
      <c r="FU78" s="53"/>
      <c r="FV78" s="53"/>
      <c r="FW78" s="53"/>
      <c r="FX78" s="53"/>
      <c r="FY78" s="53"/>
      <c r="FZ78" s="53"/>
      <c r="GA78" s="53"/>
      <c r="GB78" s="53"/>
      <c r="GC78" s="53"/>
      <c r="GD78" s="53"/>
      <c r="GE78" s="53"/>
      <c r="GF78" s="53"/>
      <c r="GG78" s="53"/>
      <c r="GH78" s="53"/>
      <c r="GI78" s="53"/>
      <c r="GJ78" s="53"/>
      <c r="GK78" s="53"/>
      <c r="GL78" s="53"/>
      <c r="GM78" s="53"/>
      <c r="GN78" s="53"/>
      <c r="GO78" s="53"/>
      <c r="GP78" s="53"/>
      <c r="GQ78" s="53"/>
      <c r="GR78" s="53"/>
      <c r="GS78" s="53"/>
      <c r="GT78" s="53"/>
      <c r="GU78" s="53"/>
      <c r="GV78" s="53"/>
      <c r="GW78" s="53"/>
      <c r="GX78" s="53"/>
      <c r="GY78" s="53"/>
      <c r="GZ78" s="53"/>
      <c r="HA78" s="53"/>
      <c r="HB78" s="53"/>
      <c r="HC78" s="53"/>
      <c r="HD78" s="53"/>
      <c r="HE78" s="53"/>
      <c r="HF78" s="53"/>
      <c r="HG78" s="53"/>
      <c r="HH78" s="53"/>
      <c r="HI78" s="53"/>
      <c r="HJ78" s="53"/>
    </row>
    <row r="79" spans="1:218" ht="21.75" customHeight="1" x14ac:dyDescent="0.6">
      <c r="A79" s="75" t="s">
        <v>178</v>
      </c>
      <c r="B79" s="81">
        <f>$H47+$O47+$V47+$AC47+$DP47+$DW47+$ED47</f>
        <v>114</v>
      </c>
      <c r="C79" s="81">
        <f>$H48+$O48+$V48+$AC48+$DP48+$DW48+$ED48+B79</f>
        <v>206</v>
      </c>
      <c r="D79" s="81">
        <f>$H49+$O49+$V49+$AC49+$DP49+$DW49+$ED49+C79</f>
        <v>308</v>
      </c>
      <c r="E79" s="53"/>
      <c r="F79" s="270">
        <f t="shared" si="41"/>
        <v>401</v>
      </c>
      <c r="G79" s="270">
        <f t="shared" si="42"/>
        <v>714</v>
      </c>
      <c r="H79" s="53">
        <f>SUM(F68:F79)</f>
        <v>5967</v>
      </c>
      <c r="I79" s="53">
        <f>SUM(G68:G79)</f>
        <v>7608</v>
      </c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82">
        <f>$AJ47+$AQ47+$AX47+$BE47+$ER47+$EY47+$FF47</f>
        <v>385</v>
      </c>
      <c r="AE79" s="82">
        <f>$AJ48+$AQ48+$AX48+$BE48+$ER48+$EY48+$FF48+AD79</f>
        <v>764</v>
      </c>
      <c r="AF79" s="82">
        <f>$AJ49+$AQ49+$AX49+$BE49+$ER49+$EY49+$FF49+AE79</f>
        <v>1137</v>
      </c>
      <c r="AG79" s="53"/>
      <c r="AH79" s="270">
        <f t="shared" si="43"/>
        <v>1469</v>
      </c>
      <c r="AI79" s="270">
        <f t="shared" si="44"/>
        <v>1544</v>
      </c>
      <c r="AJ79" s="53">
        <f>SUM(AH68:AH79)</f>
        <v>17873</v>
      </c>
      <c r="AK79" s="53">
        <f>SUM(AI68:AI79)</f>
        <v>16068</v>
      </c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  <c r="BE79" s="53"/>
      <c r="BF79" s="83">
        <f>$BL47+$BS47+$BZ47+$CG47+$FT47+$GA47+$GH47</f>
        <v>151</v>
      </c>
      <c r="BG79" s="83">
        <f>$BL48+$BS48+$BZ48+$CG48+$FT48+$GA48+$GH48+BF79</f>
        <v>273</v>
      </c>
      <c r="BH79" s="83">
        <f>$BL49+$BS49+$BZ49+$CG49+$FT49+$GA49+$GH49+BG79</f>
        <v>400</v>
      </c>
      <c r="BI79" s="53"/>
      <c r="BJ79" s="270">
        <f t="shared" si="45"/>
        <v>508</v>
      </c>
      <c r="BK79" s="270">
        <f t="shared" si="46"/>
        <v>416</v>
      </c>
      <c r="BL79" s="53">
        <f>SUM(BJ68:BJ79)</f>
        <v>7139</v>
      </c>
      <c r="BM79" s="53">
        <f>SUM(BK68:BK79)</f>
        <v>5649</v>
      </c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  <c r="CG79" s="53"/>
      <c r="CH79" s="84">
        <f>$CN47+$CU47+$DB47+$DI47+$GV47+$HC47+$HJ47</f>
        <v>297</v>
      </c>
      <c r="CI79" s="84">
        <f>$CN48+$CU48+$DB48+$DI48+$GV48+$HC48+$HJ48+CH79</f>
        <v>565</v>
      </c>
      <c r="CJ79" s="84">
        <f>$CN49+$CU49+$DB49+$DI49+$GV49+$HC49+$HJ49+CI79</f>
        <v>835</v>
      </c>
      <c r="CK79" s="53"/>
      <c r="CL79" s="270">
        <f t="shared" si="47"/>
        <v>1099</v>
      </c>
      <c r="CM79" s="270">
        <f t="shared" si="48"/>
        <v>803</v>
      </c>
      <c r="CN79" s="53">
        <f>SUM(CL68:CL79)</f>
        <v>9572</v>
      </c>
      <c r="CO79" s="53">
        <f>SUM(CM68:CM79)</f>
        <v>11226</v>
      </c>
      <c r="CP79" s="53"/>
      <c r="CQ79" s="53"/>
      <c r="CR79" s="53"/>
      <c r="CS79" s="53"/>
      <c r="CT79" s="53"/>
      <c r="CU79" s="53"/>
      <c r="CV79" s="53"/>
      <c r="CW79" s="53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53"/>
      <c r="DP79" s="53"/>
      <c r="DQ79" s="53"/>
      <c r="DR79" s="53"/>
      <c r="DS79" s="53"/>
      <c r="DT79" s="53"/>
      <c r="DU79" s="53"/>
      <c r="DV79" s="53"/>
      <c r="DW79" s="53"/>
      <c r="DX79" s="53"/>
      <c r="DY79" s="53"/>
      <c r="DZ79" s="53"/>
      <c r="EA79" s="53"/>
      <c r="EB79" s="53"/>
      <c r="EC79" s="53"/>
      <c r="ED79" s="53"/>
      <c r="EE79" s="53"/>
      <c r="EF79" s="53"/>
      <c r="EG79" s="53"/>
      <c r="EH79" s="53"/>
      <c r="EI79" s="53"/>
      <c r="EJ79" s="53"/>
      <c r="EK79" s="53"/>
      <c r="EL79" s="53"/>
      <c r="EM79" s="53"/>
      <c r="EN79" s="53"/>
      <c r="EO79" s="53"/>
      <c r="EP79" s="53"/>
      <c r="EQ79" s="53"/>
      <c r="ER79" s="53"/>
      <c r="ES79" s="53"/>
      <c r="ET79" s="53"/>
      <c r="EU79" s="53"/>
      <c r="EV79" s="53"/>
      <c r="EW79" s="53"/>
      <c r="EX79" s="53"/>
      <c r="EY79" s="53"/>
      <c r="EZ79" s="53"/>
      <c r="FA79" s="53"/>
      <c r="FB79" s="53"/>
      <c r="FC79" s="53"/>
      <c r="FD79" s="53"/>
      <c r="FE79" s="53"/>
      <c r="FF79" s="53"/>
      <c r="FG79" s="53"/>
      <c r="FH79" s="53"/>
      <c r="FI79" s="53"/>
      <c r="FJ79" s="53"/>
      <c r="FK79" s="53"/>
      <c r="FL79" s="53"/>
      <c r="FM79" s="53"/>
      <c r="FN79" s="53"/>
      <c r="FO79" s="53"/>
      <c r="FP79" s="53"/>
      <c r="FQ79" s="53"/>
      <c r="FR79" s="53"/>
      <c r="FS79" s="53"/>
      <c r="FT79" s="53"/>
      <c r="FU79" s="53"/>
      <c r="FV79" s="53"/>
      <c r="FW79" s="53"/>
      <c r="FX79" s="53"/>
      <c r="FY79" s="53"/>
      <c r="FZ79" s="53"/>
      <c r="GA79" s="53"/>
      <c r="GB79" s="53"/>
      <c r="GC79" s="53"/>
      <c r="GD79" s="53"/>
      <c r="GE79" s="53"/>
      <c r="GF79" s="53"/>
      <c r="GG79" s="53"/>
      <c r="GH79" s="53"/>
      <c r="GI79" s="53"/>
      <c r="GJ79" s="53"/>
      <c r="GK79" s="53"/>
      <c r="GL79" s="53"/>
      <c r="GM79" s="53"/>
      <c r="GN79" s="53"/>
      <c r="GO79" s="53"/>
      <c r="GP79" s="53"/>
      <c r="GQ79" s="53"/>
      <c r="GR79" s="53"/>
      <c r="GS79" s="53"/>
      <c r="GT79" s="53"/>
      <c r="GU79" s="53"/>
      <c r="GV79" s="53"/>
      <c r="GW79" s="53"/>
      <c r="GX79" s="53"/>
      <c r="GY79" s="53"/>
      <c r="GZ79" s="53"/>
      <c r="HA79" s="53"/>
      <c r="HB79" s="53"/>
      <c r="HC79" s="53"/>
      <c r="HD79" s="53"/>
      <c r="HE79" s="53"/>
      <c r="HF79" s="53"/>
      <c r="HG79" s="53"/>
      <c r="HH79" s="53"/>
      <c r="HI79" s="53"/>
      <c r="HJ79" s="53"/>
    </row>
    <row r="80" spans="1:218" ht="21.75" customHeight="1" x14ac:dyDescent="0.6">
      <c r="A80" s="85" t="s">
        <v>261</v>
      </c>
      <c r="B80" s="85">
        <v>1</v>
      </c>
      <c r="C80" s="85">
        <v>1</v>
      </c>
      <c r="D80" s="85">
        <v>2.1</v>
      </c>
      <c r="E80" s="85">
        <v>1.5</v>
      </c>
      <c r="F80" s="85">
        <v>2.5</v>
      </c>
      <c r="G80" s="85">
        <v>0.93</v>
      </c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  <c r="FU80" s="85"/>
      <c r="FV80" s="85"/>
      <c r="FW80" s="85"/>
      <c r="FX80" s="85"/>
      <c r="FY80" s="85"/>
      <c r="FZ80" s="85"/>
      <c r="GA80" s="85"/>
      <c r="GB80" s="85"/>
      <c r="GC80" s="85"/>
      <c r="GD80" s="85"/>
      <c r="GE80" s="85"/>
      <c r="GF80" s="85"/>
      <c r="GG80" s="85"/>
      <c r="GH80" s="85"/>
      <c r="GI80" s="85"/>
      <c r="GJ80" s="85"/>
      <c r="GK80" s="85"/>
      <c r="GL80" s="85"/>
      <c r="GM80" s="85"/>
      <c r="GN80" s="85"/>
      <c r="GO80" s="85"/>
      <c r="GP80" s="85"/>
      <c r="GQ80" s="85"/>
      <c r="GR80" s="85"/>
      <c r="GS80" s="85"/>
      <c r="GT80" s="85"/>
      <c r="GU80" s="85"/>
      <c r="GV80" s="85"/>
      <c r="GW80" s="85"/>
      <c r="GX80" s="85"/>
      <c r="GY80" s="85"/>
      <c r="GZ80" s="85"/>
      <c r="HA80" s="85"/>
      <c r="HB80" s="85"/>
      <c r="HC80" s="85"/>
      <c r="HD80" s="85"/>
      <c r="HE80" s="85"/>
      <c r="HF80" s="85"/>
      <c r="HG80" s="85"/>
      <c r="HH80" s="85"/>
      <c r="HI80" s="85"/>
      <c r="HJ80" s="85"/>
    </row>
    <row r="81" spans="1:218" ht="21.75" customHeight="1" x14ac:dyDescent="0.6">
      <c r="A81" s="86"/>
      <c r="B81" s="64"/>
      <c r="C81" s="65"/>
      <c r="D81" s="65"/>
      <c r="E81" s="66" t="s">
        <v>22</v>
      </c>
      <c r="F81" s="65"/>
      <c r="G81" s="65"/>
      <c r="H81" s="65"/>
      <c r="I81" s="64"/>
      <c r="J81" s="65"/>
      <c r="K81" s="65"/>
      <c r="L81" s="66" t="s">
        <v>23</v>
      </c>
      <c r="M81" s="65"/>
      <c r="N81" s="65"/>
      <c r="O81" s="65"/>
      <c r="P81" s="64"/>
      <c r="Q81" s="65"/>
      <c r="R81" s="65"/>
      <c r="S81" s="67" t="s">
        <v>24</v>
      </c>
      <c r="T81" s="65"/>
      <c r="U81" s="65"/>
      <c r="V81" s="65"/>
      <c r="W81" s="64"/>
      <c r="X81" s="65"/>
      <c r="Y81" s="65"/>
      <c r="Z81" s="66" t="s">
        <v>25</v>
      </c>
      <c r="AA81" s="65"/>
      <c r="AB81" s="65"/>
      <c r="AC81" s="65"/>
      <c r="AD81" s="64"/>
      <c r="AE81" s="65"/>
      <c r="AF81" s="65"/>
      <c r="AG81" s="66" t="s">
        <v>26</v>
      </c>
      <c r="AH81" s="65"/>
      <c r="AI81" s="65"/>
      <c r="AJ81" s="65"/>
      <c r="AK81" s="64"/>
      <c r="AL81" s="65"/>
      <c r="AM81" s="65"/>
      <c r="AN81" s="66" t="s">
        <v>27</v>
      </c>
      <c r="AO81" s="65"/>
      <c r="AP81" s="65"/>
      <c r="AQ81" s="65"/>
      <c r="AR81" s="64"/>
      <c r="AS81" s="65"/>
      <c r="AT81" s="65"/>
      <c r="AU81" s="67" t="s">
        <v>28</v>
      </c>
      <c r="AV81" s="65"/>
      <c r="AW81" s="65"/>
      <c r="AX81" s="65"/>
      <c r="AY81" s="64"/>
      <c r="AZ81" s="65"/>
      <c r="BA81" s="65"/>
      <c r="BB81" s="66" t="s">
        <v>29</v>
      </c>
      <c r="BC81" s="65"/>
      <c r="BD81" s="65"/>
      <c r="BE81" s="68"/>
      <c r="BF81" s="64"/>
      <c r="BG81" s="65"/>
      <c r="BH81" s="65"/>
      <c r="BI81" s="66" t="s">
        <v>30</v>
      </c>
      <c r="BJ81" s="65"/>
      <c r="BK81" s="65"/>
      <c r="BL81" s="65"/>
      <c r="BM81" s="64"/>
      <c r="BN81" s="65"/>
      <c r="BO81" s="65"/>
      <c r="BP81" s="66" t="s">
        <v>31</v>
      </c>
      <c r="BQ81" s="65"/>
      <c r="BR81" s="65"/>
      <c r="BS81" s="65"/>
      <c r="BT81" s="64"/>
      <c r="BU81" s="65"/>
      <c r="BV81" s="65"/>
      <c r="BW81" s="67" t="s">
        <v>32</v>
      </c>
      <c r="BX81" s="65"/>
      <c r="BY81" s="65"/>
      <c r="BZ81" s="65"/>
      <c r="CA81" s="64"/>
      <c r="CB81" s="65"/>
      <c r="CC81" s="65"/>
      <c r="CD81" s="66" t="s">
        <v>33</v>
      </c>
      <c r="CE81" s="65"/>
      <c r="CF81" s="65"/>
      <c r="CG81" s="68"/>
      <c r="CH81" s="64"/>
      <c r="CI81" s="65"/>
      <c r="CJ81" s="65"/>
      <c r="CK81" s="66" t="s">
        <v>34</v>
      </c>
      <c r="CL81" s="65"/>
      <c r="CM81" s="65"/>
      <c r="CN81" s="65"/>
      <c r="CO81" s="64"/>
      <c r="CP81" s="65"/>
      <c r="CQ81" s="65"/>
      <c r="CR81" s="66" t="s">
        <v>35</v>
      </c>
      <c r="CS81" s="65"/>
      <c r="CT81" s="65"/>
      <c r="CU81" s="65"/>
      <c r="CV81" s="64"/>
      <c r="CW81" s="65"/>
      <c r="CX81" s="65"/>
      <c r="CY81" s="67" t="s">
        <v>36</v>
      </c>
      <c r="CZ81" s="65"/>
      <c r="DA81" s="65"/>
      <c r="DB81" s="65"/>
      <c r="DC81" s="64"/>
      <c r="DD81" s="65"/>
      <c r="DE81" s="65"/>
      <c r="DF81" s="66" t="s">
        <v>37</v>
      </c>
      <c r="DG81" s="65"/>
      <c r="DH81" s="65"/>
      <c r="DI81" s="68"/>
      <c r="DJ81" s="69"/>
      <c r="DK81" s="70"/>
      <c r="DL81" s="70"/>
      <c r="DM81" s="71" t="s">
        <v>38</v>
      </c>
      <c r="DN81" s="70"/>
      <c r="DO81" s="70"/>
      <c r="DP81" s="70"/>
      <c r="DQ81" s="69"/>
      <c r="DR81" s="70"/>
      <c r="DS81" s="70"/>
      <c r="DT81" s="71" t="s">
        <v>39</v>
      </c>
      <c r="DU81" s="70"/>
      <c r="DV81" s="70"/>
      <c r="DW81" s="70"/>
      <c r="DX81" s="69"/>
      <c r="DY81" s="70"/>
      <c r="DZ81" s="70"/>
      <c r="EA81" s="71" t="s">
        <v>40</v>
      </c>
      <c r="EB81" s="70"/>
      <c r="EC81" s="70"/>
      <c r="ED81" s="70"/>
      <c r="EE81" s="275"/>
      <c r="EF81" s="275"/>
      <c r="EG81" s="275"/>
      <c r="EH81" s="275"/>
      <c r="EI81" s="275"/>
      <c r="EJ81" s="275"/>
      <c r="EK81" s="275"/>
      <c r="EL81" s="69"/>
      <c r="EM81" s="70"/>
      <c r="EN81" s="70"/>
      <c r="EO81" s="71" t="s">
        <v>41</v>
      </c>
      <c r="EP81" s="70"/>
      <c r="EQ81" s="70"/>
      <c r="ER81" s="70"/>
      <c r="ES81" s="69"/>
      <c r="ET81" s="70"/>
      <c r="EU81" s="70"/>
      <c r="EV81" s="71" t="s">
        <v>42</v>
      </c>
      <c r="EW81" s="70"/>
      <c r="EX81" s="70"/>
      <c r="EY81" s="72"/>
      <c r="EZ81" s="69"/>
      <c r="FA81" s="70"/>
      <c r="FB81" s="70"/>
      <c r="FC81" s="71" t="s">
        <v>43</v>
      </c>
      <c r="FD81" s="70"/>
      <c r="FE81" s="70"/>
      <c r="FF81" s="70"/>
      <c r="FG81" s="275"/>
      <c r="FH81" s="275"/>
      <c r="FI81" s="275"/>
      <c r="FJ81" s="275"/>
      <c r="FK81" s="275"/>
      <c r="FL81" s="275"/>
      <c r="FM81" s="275"/>
      <c r="FN81" s="69"/>
      <c r="FO81" s="70"/>
      <c r="FP81" s="70"/>
      <c r="FQ81" s="71" t="s">
        <v>44</v>
      </c>
      <c r="FR81" s="70"/>
      <c r="FS81" s="70"/>
      <c r="FT81" s="70"/>
      <c r="FU81" s="69"/>
      <c r="FV81" s="70"/>
      <c r="FW81" s="70"/>
      <c r="FX81" s="71" t="s">
        <v>45</v>
      </c>
      <c r="FY81" s="70"/>
      <c r="FZ81" s="70"/>
      <c r="GA81" s="72"/>
      <c r="GB81" s="69"/>
      <c r="GC81" s="70"/>
      <c r="GD81" s="70"/>
      <c r="GE81" s="71" t="s">
        <v>46</v>
      </c>
      <c r="GF81" s="70"/>
      <c r="GG81" s="70"/>
      <c r="GH81" s="70"/>
      <c r="GI81" s="275"/>
      <c r="GJ81" s="275"/>
      <c r="GK81" s="275"/>
      <c r="GL81" s="275"/>
      <c r="GM81" s="275"/>
      <c r="GN81" s="275"/>
      <c r="GO81" s="275"/>
      <c r="GP81" s="69"/>
      <c r="GQ81" s="70"/>
      <c r="GR81" s="70"/>
      <c r="GS81" s="71" t="s">
        <v>47</v>
      </c>
      <c r="GT81" s="70"/>
      <c r="GU81" s="70"/>
      <c r="GV81" s="70"/>
      <c r="GW81" s="69"/>
      <c r="GX81" s="70"/>
      <c r="GY81" s="70"/>
      <c r="GZ81" s="71" t="s">
        <v>48</v>
      </c>
      <c r="HA81" s="70"/>
      <c r="HB81" s="70"/>
      <c r="HC81" s="72"/>
      <c r="HD81" s="69"/>
      <c r="HE81" s="70"/>
      <c r="HF81" s="70"/>
      <c r="HG81" s="71" t="s">
        <v>49</v>
      </c>
      <c r="HH81" s="70"/>
      <c r="HI81" s="70"/>
      <c r="HJ81" s="70"/>
    </row>
    <row r="82" spans="1:218" ht="21.75" customHeight="1" x14ac:dyDescent="0.6">
      <c r="A82" s="87">
        <v>45115</v>
      </c>
      <c r="B82" s="88">
        <f t="shared" ref="B82:C82" si="49">B53*1</f>
        <v>179</v>
      </c>
      <c r="C82" s="88">
        <f t="shared" si="49"/>
        <v>25</v>
      </c>
      <c r="D82" s="88">
        <f t="shared" ref="D82:D93" si="50">D53*2.1</f>
        <v>0</v>
      </c>
      <c r="E82" s="88">
        <f t="shared" ref="E82:E93" si="51">E53*1.5</f>
        <v>0</v>
      </c>
      <c r="F82" s="88">
        <f t="shared" ref="F82:F93" si="52">F53*2.5</f>
        <v>7.5</v>
      </c>
      <c r="G82" s="88">
        <f t="shared" ref="G82:G93" si="53">G53*0.93</f>
        <v>0.93</v>
      </c>
      <c r="H82" s="89">
        <f t="shared" ref="H82:H93" si="54">SUM(B82:G82)</f>
        <v>212.43</v>
      </c>
      <c r="I82" s="88">
        <f t="shared" ref="I82:J82" si="55">I53*1</f>
        <v>88</v>
      </c>
      <c r="J82" s="88">
        <f t="shared" si="55"/>
        <v>29</v>
      </c>
      <c r="K82" s="88">
        <f t="shared" ref="K82:K93" si="56">K53*2.1</f>
        <v>0</v>
      </c>
      <c r="L82" s="88">
        <f t="shared" ref="L82:L93" si="57">L53*1.5</f>
        <v>0</v>
      </c>
      <c r="M82" s="88">
        <f t="shared" ref="M82:M93" si="58">M53*2.5</f>
        <v>0</v>
      </c>
      <c r="N82" s="88">
        <f t="shared" ref="N82:N93" si="59">N53*0.93</f>
        <v>0</v>
      </c>
      <c r="O82" s="89">
        <f t="shared" ref="O82:O93" si="60">SUM(I82:N82)</f>
        <v>117</v>
      </c>
      <c r="P82" s="88">
        <f t="shared" ref="P82:Q82" si="61">P53*1</f>
        <v>104</v>
      </c>
      <c r="Q82" s="88">
        <f t="shared" si="61"/>
        <v>23</v>
      </c>
      <c r="R82" s="88">
        <f t="shared" ref="R82:R93" si="62">R53*2.1</f>
        <v>0</v>
      </c>
      <c r="S82" s="88">
        <f t="shared" ref="S82:S93" si="63">S53*1.5</f>
        <v>0</v>
      </c>
      <c r="T82" s="88">
        <f t="shared" ref="T82:T93" si="64">T53*2.5</f>
        <v>0</v>
      </c>
      <c r="U82" s="88">
        <f t="shared" ref="U82:U93" si="65">U53*0.93</f>
        <v>0</v>
      </c>
      <c r="V82" s="89">
        <f t="shared" ref="V82:V93" si="66">SUM(P82:U82)</f>
        <v>127</v>
      </c>
      <c r="W82" s="88">
        <f t="shared" ref="W82:X82" si="67">W53*1</f>
        <v>0</v>
      </c>
      <c r="X82" s="88">
        <f t="shared" si="67"/>
        <v>0</v>
      </c>
      <c r="Y82" s="88">
        <f t="shared" ref="Y82:Y93" si="68">Y53*2.1</f>
        <v>0</v>
      </c>
      <c r="Z82" s="88">
        <f t="shared" ref="Z82:Z93" si="69">Z53*1.5</f>
        <v>0</v>
      </c>
      <c r="AA82" s="88">
        <f t="shared" ref="AA82:AA93" si="70">AA53*2.5</f>
        <v>0</v>
      </c>
      <c r="AB82" s="88">
        <f t="shared" ref="AB82:AB93" si="71">AB53*0.93</f>
        <v>0</v>
      </c>
      <c r="AC82" s="89">
        <f t="shared" ref="AC82:AC93" si="72">SUM(W82:AB82)</f>
        <v>0</v>
      </c>
      <c r="AD82" s="88">
        <f t="shared" ref="AD82:AE82" si="73">AD53*1</f>
        <v>190</v>
      </c>
      <c r="AE82" s="88">
        <f t="shared" si="73"/>
        <v>58</v>
      </c>
      <c r="AF82" s="88">
        <f t="shared" ref="AF82:AF93" si="74">AF53*2.1</f>
        <v>0</v>
      </c>
      <c r="AG82" s="88">
        <f t="shared" ref="AG82:AG93" si="75">AG53*1.5</f>
        <v>0</v>
      </c>
      <c r="AH82" s="88">
        <f t="shared" ref="AH82:AH93" si="76">AH53*2.5</f>
        <v>2.5</v>
      </c>
      <c r="AI82" s="88">
        <f t="shared" ref="AI82:AI93" si="77">AI53*0.93</f>
        <v>0</v>
      </c>
      <c r="AJ82" s="89">
        <f t="shared" ref="AJ82:AJ93" si="78">SUM(AD82:AI82)</f>
        <v>250.5</v>
      </c>
      <c r="AK82" s="88">
        <f t="shared" ref="AK82:AL82" si="79">AK53*1</f>
        <v>716</v>
      </c>
      <c r="AL82" s="88">
        <f t="shared" si="79"/>
        <v>141</v>
      </c>
      <c r="AM82" s="88">
        <f t="shared" ref="AM82:AM93" si="80">AM53*2.1</f>
        <v>2.1</v>
      </c>
      <c r="AN82" s="88">
        <f t="shared" ref="AN82:AN93" si="81">AN53*1.5</f>
        <v>1.5</v>
      </c>
      <c r="AO82" s="88">
        <f t="shared" ref="AO82:AO93" si="82">AO53*2.5</f>
        <v>32.5</v>
      </c>
      <c r="AP82" s="88">
        <f t="shared" ref="AP82:AP93" si="83">AP53*0.93</f>
        <v>0</v>
      </c>
      <c r="AQ82" s="89">
        <f t="shared" ref="AQ82:AQ93" si="84">SUM(AK82:AP82)</f>
        <v>893.1</v>
      </c>
      <c r="AR82" s="88">
        <f t="shared" ref="AR82:AS82" si="85">AR53*1</f>
        <v>115</v>
      </c>
      <c r="AS82" s="88">
        <f t="shared" si="85"/>
        <v>24</v>
      </c>
      <c r="AT82" s="88">
        <f t="shared" ref="AT82:AT93" si="86">AT53*2.1</f>
        <v>0</v>
      </c>
      <c r="AU82" s="88">
        <f t="shared" ref="AU82:AU93" si="87">AU53*1.5</f>
        <v>0</v>
      </c>
      <c r="AV82" s="88">
        <f t="shared" ref="AV82:AV93" si="88">AV53*2.5</f>
        <v>0</v>
      </c>
      <c r="AW82" s="88">
        <f t="shared" ref="AW82:AW93" si="89">AW53*0.93</f>
        <v>0</v>
      </c>
      <c r="AX82" s="89">
        <f t="shared" ref="AX82:AX93" si="90">SUM(AR82:AW82)</f>
        <v>139</v>
      </c>
      <c r="AY82" s="88">
        <f t="shared" ref="AY82:AZ82" si="91">AY53*1</f>
        <v>238</v>
      </c>
      <c r="AZ82" s="88">
        <f t="shared" si="91"/>
        <v>53</v>
      </c>
      <c r="BA82" s="88">
        <f t="shared" ref="BA82:BA93" si="92">BA53*2.1</f>
        <v>2.1</v>
      </c>
      <c r="BB82" s="88">
        <f t="shared" ref="BB82:BB93" si="93">BB53*1.5</f>
        <v>0</v>
      </c>
      <c r="BC82" s="88">
        <f t="shared" ref="BC82:BC93" si="94">BC53*2.5</f>
        <v>7.5</v>
      </c>
      <c r="BD82" s="88">
        <f t="shared" ref="BD82:BD93" si="95">BD53*0.93</f>
        <v>0</v>
      </c>
      <c r="BE82" s="89">
        <f t="shared" ref="BE82:BE93" si="96">SUM(AY82:BD82)</f>
        <v>300.60000000000002</v>
      </c>
      <c r="BF82" s="88">
        <f t="shared" ref="BF82:BG82" si="97">BF53*1</f>
        <v>13</v>
      </c>
      <c r="BG82" s="88">
        <f t="shared" si="97"/>
        <v>3</v>
      </c>
      <c r="BH82" s="88">
        <f t="shared" ref="BH82:BH93" si="98">BH53*2.1</f>
        <v>0</v>
      </c>
      <c r="BI82" s="88">
        <f t="shared" ref="BI82:BI93" si="99">BI53*1.5</f>
        <v>0</v>
      </c>
      <c r="BJ82" s="88">
        <f t="shared" ref="BJ82:BJ93" si="100">BJ53*2.5</f>
        <v>0</v>
      </c>
      <c r="BK82" s="88">
        <f t="shared" ref="BK82:BK93" si="101">BK53*0.93</f>
        <v>0</v>
      </c>
      <c r="BL82" s="89">
        <f t="shared" ref="BL82:BL93" si="102">SUM(BF82:BK82)</f>
        <v>16</v>
      </c>
      <c r="BM82" s="88">
        <f t="shared" ref="BM82:BN82" si="103">BM53*1</f>
        <v>275</v>
      </c>
      <c r="BN82" s="88">
        <f t="shared" si="103"/>
        <v>37</v>
      </c>
      <c r="BO82" s="88">
        <f t="shared" ref="BO82:BO93" si="104">BO53*2.1</f>
        <v>0</v>
      </c>
      <c r="BP82" s="88">
        <f t="shared" ref="BP82:BP93" si="105">BP53*1.5</f>
        <v>0</v>
      </c>
      <c r="BQ82" s="88">
        <f t="shared" ref="BQ82:BQ93" si="106">BQ53*2.5</f>
        <v>2.5</v>
      </c>
      <c r="BR82" s="88">
        <f t="shared" ref="BR82:BR93" si="107">BR53*0.93</f>
        <v>0</v>
      </c>
      <c r="BS82" s="89">
        <f t="shared" ref="BS82:BS93" si="108">SUM(BM82:BR82)</f>
        <v>314.5</v>
      </c>
      <c r="BT82" s="88">
        <f t="shared" ref="BT82:BU82" si="109">BT53*1</f>
        <v>229</v>
      </c>
      <c r="BU82" s="88">
        <f t="shared" si="109"/>
        <v>39</v>
      </c>
      <c r="BV82" s="88">
        <f t="shared" ref="BV82:BV93" si="110">BV53*2.1</f>
        <v>0</v>
      </c>
      <c r="BW82" s="88">
        <f t="shared" ref="BW82:BW93" si="111">BW53*1.5</f>
        <v>0</v>
      </c>
      <c r="BX82" s="88">
        <f t="shared" ref="BX82:BX93" si="112">BX53*2.5</f>
        <v>0</v>
      </c>
      <c r="BY82" s="88">
        <f t="shared" ref="BY82:BY93" si="113">BY53*0.93</f>
        <v>0</v>
      </c>
      <c r="BZ82" s="89">
        <f t="shared" ref="BZ82:BZ93" si="114">SUM(BT82:BY82)</f>
        <v>268</v>
      </c>
      <c r="CA82" s="88">
        <f t="shared" ref="CA82:CB82" si="115">CA53*1</f>
        <v>0</v>
      </c>
      <c r="CB82" s="88">
        <f t="shared" si="115"/>
        <v>0</v>
      </c>
      <c r="CC82" s="88">
        <f t="shared" ref="CC82:CC93" si="116">CC53*2.1</f>
        <v>0</v>
      </c>
      <c r="CD82" s="88">
        <f t="shared" ref="CD82:CD93" si="117">CD53*1.5</f>
        <v>0</v>
      </c>
      <c r="CE82" s="88">
        <f t="shared" ref="CE82:CE93" si="118">CE53*2.5</f>
        <v>0</v>
      </c>
      <c r="CF82" s="88">
        <f t="shared" ref="CF82:CF93" si="119">CF53*0.93</f>
        <v>0</v>
      </c>
      <c r="CG82" s="89">
        <f t="shared" ref="CG82:CG93" si="120">SUM(CA82:CF82)</f>
        <v>0</v>
      </c>
      <c r="CH82" s="88">
        <f t="shared" ref="CH82:CI82" si="121">CH53*1</f>
        <v>235</v>
      </c>
      <c r="CI82" s="88">
        <f t="shared" si="121"/>
        <v>21</v>
      </c>
      <c r="CJ82" s="88">
        <f t="shared" ref="CJ82:CJ93" si="122">CJ53*2.1</f>
        <v>0</v>
      </c>
      <c r="CK82" s="88">
        <f t="shared" ref="CK82:CK93" si="123">CK53*1.5</f>
        <v>0</v>
      </c>
      <c r="CL82" s="88">
        <f t="shared" ref="CL82:CL93" si="124">CL53*2.5</f>
        <v>2.5</v>
      </c>
      <c r="CM82" s="88">
        <f t="shared" ref="CM82:CM93" si="125">CM53*0.93</f>
        <v>0</v>
      </c>
      <c r="CN82" s="89">
        <f t="shared" ref="CN82:CN93" si="126">SUM(CH82:CM82)</f>
        <v>258.5</v>
      </c>
      <c r="CO82" s="88">
        <f t="shared" ref="CO82:CP82" si="127">CO53*1</f>
        <v>587</v>
      </c>
      <c r="CP82" s="88">
        <f t="shared" si="127"/>
        <v>84</v>
      </c>
      <c r="CQ82" s="88">
        <f t="shared" ref="CQ82:CQ93" si="128">CQ53*2.1</f>
        <v>14.700000000000001</v>
      </c>
      <c r="CR82" s="88">
        <f t="shared" ref="CR82:CR93" si="129">CR53*1.5</f>
        <v>0</v>
      </c>
      <c r="CS82" s="88">
        <f t="shared" ref="CS82:CS93" si="130">CS53*2.5</f>
        <v>27.5</v>
      </c>
      <c r="CT82" s="88">
        <f t="shared" ref="CT82:CT93" si="131">CT53*0.93</f>
        <v>0</v>
      </c>
      <c r="CU82" s="89">
        <f t="shared" ref="CU82:CU93" si="132">SUM(CO82:CT82)</f>
        <v>713.2</v>
      </c>
      <c r="CV82" s="88">
        <f t="shared" ref="CV82:CW82" si="133">CV53*1</f>
        <v>0</v>
      </c>
      <c r="CW82" s="88">
        <f t="shared" si="133"/>
        <v>0</v>
      </c>
      <c r="CX82" s="88">
        <f t="shared" ref="CX82:CX93" si="134">CX53*2.1</f>
        <v>0</v>
      </c>
      <c r="CY82" s="88">
        <f t="shared" ref="CY82:CY93" si="135">CY53*1.5</f>
        <v>0</v>
      </c>
      <c r="CZ82" s="88">
        <f t="shared" ref="CZ82:CZ93" si="136">CZ53*2.5</f>
        <v>0</v>
      </c>
      <c r="DA82" s="88">
        <f t="shared" ref="DA82:DA93" si="137">DA53*0.93</f>
        <v>0</v>
      </c>
      <c r="DB82" s="89">
        <f t="shared" ref="DB82:DB93" si="138">SUM(CV82:DA82)</f>
        <v>0</v>
      </c>
      <c r="DC82" s="88">
        <f t="shared" ref="DC82:DD82" si="139">DC53*1</f>
        <v>0</v>
      </c>
      <c r="DD82" s="88">
        <f t="shared" si="139"/>
        <v>0</v>
      </c>
      <c r="DE82" s="88">
        <f t="shared" ref="DE82:DE93" si="140">DE53*2.1</f>
        <v>0</v>
      </c>
      <c r="DF82" s="88">
        <f t="shared" ref="DF82:DF93" si="141">DF53*1.5</f>
        <v>0</v>
      </c>
      <c r="DG82" s="88">
        <f t="shared" ref="DG82:DG93" si="142">DG53*2.5</f>
        <v>0</v>
      </c>
      <c r="DH82" s="88">
        <f t="shared" ref="DH82:DH93" si="143">DH53*0.93</f>
        <v>0</v>
      </c>
      <c r="DI82" s="89">
        <f t="shared" ref="DI82:DI93" si="144">SUM(DC82:DH82)</f>
        <v>0</v>
      </c>
      <c r="DJ82" s="88">
        <f t="shared" ref="DJ82:DK82" si="145">DJ53*1</f>
        <v>0</v>
      </c>
      <c r="DK82" s="88">
        <f t="shared" si="145"/>
        <v>0</v>
      </c>
      <c r="DL82" s="88">
        <f t="shared" ref="DL82:DL93" si="146">DL53*2.1</f>
        <v>0</v>
      </c>
      <c r="DM82" s="88">
        <f t="shared" ref="DM82:DM93" si="147">DM53*1.5</f>
        <v>0</v>
      </c>
      <c r="DN82" s="88">
        <f t="shared" ref="DN82:DN93" si="148">DN53*2.5</f>
        <v>0</v>
      </c>
      <c r="DO82" s="88">
        <f t="shared" ref="DO82:DO93" si="149">DO53*0.93</f>
        <v>0</v>
      </c>
      <c r="DP82" s="89">
        <f t="shared" ref="DP82:DP93" si="150">SUM(DJ82:DO82)</f>
        <v>0</v>
      </c>
      <c r="DQ82" s="88">
        <f t="shared" ref="DQ82:DR82" si="151">DQ53*1</f>
        <v>0</v>
      </c>
      <c r="DR82" s="88">
        <f t="shared" si="151"/>
        <v>0</v>
      </c>
      <c r="DS82" s="88">
        <f t="shared" ref="DS82:DS93" si="152">DS53*2.1</f>
        <v>0</v>
      </c>
      <c r="DT82" s="88">
        <f t="shared" ref="DT82:DT93" si="153">DT53*1.5</f>
        <v>0</v>
      </c>
      <c r="DU82" s="88">
        <f t="shared" ref="DU82:DU93" si="154">DU53*2.5</f>
        <v>0</v>
      </c>
      <c r="DV82" s="88">
        <f t="shared" ref="DV82:DV93" si="155">DV53*0.93</f>
        <v>0</v>
      </c>
      <c r="DW82" s="89">
        <f t="shared" ref="DW82:DW93" si="156">SUM(DQ82:DV82)</f>
        <v>0</v>
      </c>
      <c r="DX82" s="88">
        <f t="shared" ref="DX82:DY82" si="157">DX53*1</f>
        <v>0</v>
      </c>
      <c r="DY82" s="88">
        <f t="shared" si="157"/>
        <v>0</v>
      </c>
      <c r="DZ82" s="88">
        <f t="shared" ref="DZ82:DZ93" si="158">DZ53*2.1</f>
        <v>0</v>
      </c>
      <c r="EA82" s="88">
        <f t="shared" ref="EA82:EA93" si="159">EA53*1.5</f>
        <v>0</v>
      </c>
      <c r="EB82" s="88">
        <f t="shared" ref="EB82:EB93" si="160">EB53*2.5</f>
        <v>0</v>
      </c>
      <c r="EC82" s="88">
        <f t="shared" ref="EC82:EC93" si="161">EC53*0.93</f>
        <v>0</v>
      </c>
      <c r="ED82" s="89">
        <f t="shared" ref="ED82:ED93" si="162">SUM(DX82:EC82)</f>
        <v>0</v>
      </c>
      <c r="EE82" s="277"/>
      <c r="EF82" s="277"/>
      <c r="EG82" s="277"/>
      <c r="EH82" s="277"/>
      <c r="EI82" s="277"/>
      <c r="EJ82" s="277"/>
      <c r="EK82" s="277"/>
      <c r="EL82" s="88">
        <f t="shared" ref="EL82:EM82" si="163">EL53*1</f>
        <v>0</v>
      </c>
      <c r="EM82" s="88">
        <f t="shared" si="163"/>
        <v>0</v>
      </c>
      <c r="EN82" s="88">
        <f t="shared" ref="EN82:EN93" si="164">EN53*2.1</f>
        <v>0</v>
      </c>
      <c r="EO82" s="88">
        <f t="shared" ref="EO82:EO93" si="165">EO53*1.5</f>
        <v>0</v>
      </c>
      <c r="EP82" s="88">
        <f t="shared" ref="EP82:EP93" si="166">EP53*2.5</f>
        <v>0</v>
      </c>
      <c r="EQ82" s="88">
        <f t="shared" ref="EQ82:EQ93" si="167">EQ53*0.93</f>
        <v>0</v>
      </c>
      <c r="ER82" s="89">
        <f t="shared" ref="ER82:ER93" si="168">SUM(EL82:EQ82)</f>
        <v>0</v>
      </c>
      <c r="ES82" s="88">
        <f t="shared" ref="ES82:ET82" si="169">ES53*1</f>
        <v>0</v>
      </c>
      <c r="ET82" s="88">
        <f t="shared" si="169"/>
        <v>0</v>
      </c>
      <c r="EU82" s="88">
        <f t="shared" ref="EU82:EU93" si="170">EU53*2.1</f>
        <v>0</v>
      </c>
      <c r="EV82" s="88">
        <f t="shared" ref="EV82:EV93" si="171">EV53*1.5</f>
        <v>0</v>
      </c>
      <c r="EW82" s="88">
        <f t="shared" ref="EW82:EW93" si="172">EW53*2.5</f>
        <v>0</v>
      </c>
      <c r="EX82" s="88">
        <f t="shared" ref="EX82:EX93" si="173">EX53*0.93</f>
        <v>0</v>
      </c>
      <c r="EY82" s="89">
        <f t="shared" ref="EY82:EY93" si="174">SUM(ES82:EX82)</f>
        <v>0</v>
      </c>
      <c r="EZ82" s="88">
        <f t="shared" ref="EZ82:FA82" si="175">EZ53*1</f>
        <v>0</v>
      </c>
      <c r="FA82" s="88">
        <f t="shared" si="175"/>
        <v>0</v>
      </c>
      <c r="FB82" s="88">
        <f t="shared" ref="FB82:FB93" si="176">FB53*2.1</f>
        <v>0</v>
      </c>
      <c r="FC82" s="88">
        <f t="shared" ref="FC82:FC93" si="177">FC53*1.5</f>
        <v>0</v>
      </c>
      <c r="FD82" s="88">
        <f t="shared" ref="FD82:FD93" si="178">FD53*2.5</f>
        <v>0</v>
      </c>
      <c r="FE82" s="88">
        <f t="shared" ref="FE82:FE93" si="179">FE53*0.93</f>
        <v>0</v>
      </c>
      <c r="FF82" s="89">
        <f t="shared" ref="FF82:FF93" si="180">SUM(EZ82:FE82)</f>
        <v>0</v>
      </c>
      <c r="FG82" s="277"/>
      <c r="FH82" s="277"/>
      <c r="FI82" s="277"/>
      <c r="FJ82" s="277"/>
      <c r="FK82" s="277"/>
      <c r="FL82" s="277"/>
      <c r="FM82" s="277"/>
      <c r="FN82" s="88">
        <f t="shared" ref="FN82:FO82" si="181">FN53*1</f>
        <v>0</v>
      </c>
      <c r="FO82" s="88">
        <f t="shared" si="181"/>
        <v>0</v>
      </c>
      <c r="FP82" s="88">
        <f t="shared" ref="FP82:FP93" si="182">FP53*2.1</f>
        <v>0</v>
      </c>
      <c r="FQ82" s="88">
        <f t="shared" ref="FQ82:FQ93" si="183">FQ53*1.5</f>
        <v>0</v>
      </c>
      <c r="FR82" s="88">
        <f t="shared" ref="FR82:FR93" si="184">FR53*2.5</f>
        <v>0</v>
      </c>
      <c r="FS82" s="88">
        <f t="shared" ref="FS82:FS93" si="185">FS53*0.93</f>
        <v>0</v>
      </c>
      <c r="FT82" s="89">
        <f t="shared" ref="FT82:FT93" si="186">SUM(FN82:FS82)</f>
        <v>0</v>
      </c>
      <c r="FU82" s="88">
        <f t="shared" ref="FU82:FV82" si="187">FU53*1</f>
        <v>0</v>
      </c>
      <c r="FV82" s="88">
        <f t="shared" si="187"/>
        <v>0</v>
      </c>
      <c r="FW82" s="88">
        <f t="shared" ref="FW82:FW93" si="188">FW53*2.1</f>
        <v>0</v>
      </c>
      <c r="FX82" s="88">
        <f t="shared" ref="FX82:FX93" si="189">FX53*1.5</f>
        <v>0</v>
      </c>
      <c r="FY82" s="88">
        <f t="shared" ref="FY82:FY93" si="190">FY53*2.5</f>
        <v>0</v>
      </c>
      <c r="FZ82" s="88">
        <f t="shared" ref="FZ82:FZ93" si="191">FZ53*0.93</f>
        <v>0</v>
      </c>
      <c r="GA82" s="89">
        <f t="shared" ref="GA82:GA93" si="192">SUM(FU82:FZ82)</f>
        <v>0</v>
      </c>
      <c r="GB82" s="88">
        <f t="shared" ref="GB82:GC82" si="193">GB53*1</f>
        <v>0</v>
      </c>
      <c r="GC82" s="88">
        <f t="shared" si="193"/>
        <v>0</v>
      </c>
      <c r="GD82" s="88">
        <f t="shared" ref="GD82:GD93" si="194">GD53*2.1</f>
        <v>0</v>
      </c>
      <c r="GE82" s="88">
        <f t="shared" ref="GE82:GE93" si="195">GE53*1.5</f>
        <v>0</v>
      </c>
      <c r="GF82" s="88">
        <f t="shared" ref="GF82:GF93" si="196">GF53*2.5</f>
        <v>0</v>
      </c>
      <c r="GG82" s="88">
        <f t="shared" ref="GG82:GG93" si="197">GG53*0.93</f>
        <v>0</v>
      </c>
      <c r="GH82" s="89">
        <f t="shared" ref="GH82:GH93" si="198">SUM(GB82:GG82)</f>
        <v>0</v>
      </c>
      <c r="GI82" s="277"/>
      <c r="GJ82" s="277"/>
      <c r="GK82" s="277"/>
      <c r="GL82" s="277"/>
      <c r="GM82" s="277"/>
      <c r="GN82" s="277"/>
      <c r="GO82" s="277"/>
      <c r="GP82" s="88">
        <f t="shared" ref="GP82:GQ82" si="199">GP53*1</f>
        <v>0</v>
      </c>
      <c r="GQ82" s="88">
        <f t="shared" si="199"/>
        <v>0</v>
      </c>
      <c r="GR82" s="88">
        <f t="shared" ref="GR82:GR93" si="200">GR53*2.1</f>
        <v>0</v>
      </c>
      <c r="GS82" s="88">
        <f t="shared" ref="GS82:GS93" si="201">GS53*1.5</f>
        <v>0</v>
      </c>
      <c r="GT82" s="88">
        <f t="shared" ref="GT82:GT93" si="202">GT53*2.5</f>
        <v>0</v>
      </c>
      <c r="GU82" s="88">
        <f t="shared" ref="GU82:GU93" si="203">GU53*0.93</f>
        <v>0</v>
      </c>
      <c r="GV82" s="89">
        <f t="shared" ref="GV82:GV93" si="204">SUM(GP82:GU82)</f>
        <v>0</v>
      </c>
      <c r="GW82" s="88">
        <f t="shared" ref="GW82:GX82" si="205">GW53*1</f>
        <v>0</v>
      </c>
      <c r="GX82" s="88">
        <f t="shared" si="205"/>
        <v>0</v>
      </c>
      <c r="GY82" s="88">
        <f t="shared" ref="GY82:GY93" si="206">GY53*2.1</f>
        <v>0</v>
      </c>
      <c r="GZ82" s="88">
        <f t="shared" ref="GZ82:GZ93" si="207">GZ53*1.5</f>
        <v>0</v>
      </c>
      <c r="HA82" s="88">
        <f t="shared" ref="HA82:HA93" si="208">HA53*2.5</f>
        <v>0</v>
      </c>
      <c r="HB82" s="88">
        <f t="shared" ref="HB82:HB93" si="209">HB53*0.93</f>
        <v>0</v>
      </c>
      <c r="HC82" s="89">
        <f t="shared" ref="HC82:HC93" si="210">SUM(GW82:HB82)</f>
        <v>0</v>
      </c>
      <c r="HD82" s="88">
        <f t="shared" ref="HD82:HE82" si="211">HD53*1</f>
        <v>0</v>
      </c>
      <c r="HE82" s="88">
        <f t="shared" si="211"/>
        <v>0</v>
      </c>
      <c r="HF82" s="88">
        <f t="shared" ref="HF82:HF93" si="212">HF53*2.1</f>
        <v>0</v>
      </c>
      <c r="HG82" s="88">
        <f t="shared" ref="HG82:HG93" si="213">HG53*1.5</f>
        <v>0</v>
      </c>
      <c r="HH82" s="88">
        <f t="shared" ref="HH82:HH93" si="214">HH53*2.5</f>
        <v>0</v>
      </c>
      <c r="HI82" s="88">
        <f t="shared" ref="HI82:HI93" si="215">HI53*0.93</f>
        <v>0</v>
      </c>
      <c r="HJ82" s="89">
        <f t="shared" ref="HJ82:HJ93" si="216">SUM(HD82:HI82)</f>
        <v>0</v>
      </c>
    </row>
    <row r="83" spans="1:218" ht="21.75" customHeight="1" x14ac:dyDescent="0.6">
      <c r="A83" s="87">
        <v>45147</v>
      </c>
      <c r="B83" s="88">
        <f t="shared" ref="B83:C83" si="217">B54*1</f>
        <v>185</v>
      </c>
      <c r="C83" s="88">
        <f t="shared" si="217"/>
        <v>21</v>
      </c>
      <c r="D83" s="88">
        <f t="shared" si="50"/>
        <v>2.1</v>
      </c>
      <c r="E83" s="88">
        <f t="shared" si="51"/>
        <v>0</v>
      </c>
      <c r="F83" s="88">
        <f t="shared" si="52"/>
        <v>5</v>
      </c>
      <c r="G83" s="88">
        <f t="shared" si="53"/>
        <v>1.86</v>
      </c>
      <c r="H83" s="89">
        <f t="shared" si="54"/>
        <v>214.96</v>
      </c>
      <c r="I83" s="88">
        <f t="shared" ref="I83:J83" si="218">I54*1</f>
        <v>81</v>
      </c>
      <c r="J83" s="88">
        <f t="shared" si="218"/>
        <v>30</v>
      </c>
      <c r="K83" s="88">
        <f t="shared" si="56"/>
        <v>0</v>
      </c>
      <c r="L83" s="88">
        <f t="shared" si="57"/>
        <v>0</v>
      </c>
      <c r="M83" s="88">
        <f t="shared" si="58"/>
        <v>0</v>
      </c>
      <c r="N83" s="88">
        <f t="shared" si="59"/>
        <v>0</v>
      </c>
      <c r="O83" s="89">
        <f t="shared" si="60"/>
        <v>111</v>
      </c>
      <c r="P83" s="88">
        <f t="shared" ref="P83:Q83" si="219">P54*1</f>
        <v>75</v>
      </c>
      <c r="Q83" s="88">
        <f t="shared" si="219"/>
        <v>27</v>
      </c>
      <c r="R83" s="88">
        <f t="shared" si="62"/>
        <v>0</v>
      </c>
      <c r="S83" s="88">
        <f t="shared" si="63"/>
        <v>0</v>
      </c>
      <c r="T83" s="88">
        <f t="shared" si="64"/>
        <v>0</v>
      </c>
      <c r="U83" s="88">
        <f t="shared" si="65"/>
        <v>0</v>
      </c>
      <c r="V83" s="89">
        <f t="shared" si="66"/>
        <v>102</v>
      </c>
      <c r="W83" s="88">
        <f t="shared" ref="W83:X83" si="220">W54*1</f>
        <v>0</v>
      </c>
      <c r="X83" s="88">
        <f t="shared" si="220"/>
        <v>0</v>
      </c>
      <c r="Y83" s="88">
        <f t="shared" si="68"/>
        <v>0</v>
      </c>
      <c r="Z83" s="88">
        <f t="shared" si="69"/>
        <v>0</v>
      </c>
      <c r="AA83" s="88">
        <f t="shared" si="70"/>
        <v>0</v>
      </c>
      <c r="AB83" s="88">
        <f t="shared" si="71"/>
        <v>0</v>
      </c>
      <c r="AC83" s="89">
        <f t="shared" si="72"/>
        <v>0</v>
      </c>
      <c r="AD83" s="88">
        <f t="shared" ref="AD83:AE83" si="221">AD54*1</f>
        <v>169</v>
      </c>
      <c r="AE83" s="88">
        <f t="shared" si="221"/>
        <v>53</v>
      </c>
      <c r="AF83" s="88">
        <f t="shared" si="74"/>
        <v>0</v>
      </c>
      <c r="AG83" s="88">
        <f t="shared" si="75"/>
        <v>0</v>
      </c>
      <c r="AH83" s="88">
        <f t="shared" si="76"/>
        <v>2.5</v>
      </c>
      <c r="AI83" s="88">
        <f t="shared" si="77"/>
        <v>0</v>
      </c>
      <c r="AJ83" s="89">
        <f t="shared" si="78"/>
        <v>224.5</v>
      </c>
      <c r="AK83" s="88">
        <f t="shared" ref="AK83:AL83" si="222">AK54*1</f>
        <v>602</v>
      </c>
      <c r="AL83" s="88">
        <f t="shared" si="222"/>
        <v>198</v>
      </c>
      <c r="AM83" s="88">
        <f t="shared" si="80"/>
        <v>6.3000000000000007</v>
      </c>
      <c r="AN83" s="88">
        <f t="shared" si="81"/>
        <v>0</v>
      </c>
      <c r="AO83" s="88">
        <f t="shared" si="82"/>
        <v>45</v>
      </c>
      <c r="AP83" s="88">
        <f t="shared" si="83"/>
        <v>0.93</v>
      </c>
      <c r="AQ83" s="89">
        <f t="shared" si="84"/>
        <v>852.2299999999999</v>
      </c>
      <c r="AR83" s="88">
        <f t="shared" ref="AR83:AS83" si="223">AR54*1</f>
        <v>146</v>
      </c>
      <c r="AS83" s="88">
        <f t="shared" si="223"/>
        <v>21</v>
      </c>
      <c r="AT83" s="88">
        <f t="shared" si="86"/>
        <v>0</v>
      </c>
      <c r="AU83" s="88">
        <f t="shared" si="87"/>
        <v>0</v>
      </c>
      <c r="AV83" s="88">
        <f t="shared" si="88"/>
        <v>7.5</v>
      </c>
      <c r="AW83" s="88">
        <f t="shared" si="89"/>
        <v>0.93</v>
      </c>
      <c r="AX83" s="89">
        <f t="shared" si="90"/>
        <v>175.43</v>
      </c>
      <c r="AY83" s="88">
        <f t="shared" ref="AY83:AZ83" si="224">AY54*1</f>
        <v>222</v>
      </c>
      <c r="AZ83" s="88">
        <f t="shared" si="224"/>
        <v>59</v>
      </c>
      <c r="BA83" s="88">
        <f t="shared" si="92"/>
        <v>0</v>
      </c>
      <c r="BB83" s="88">
        <f t="shared" si="93"/>
        <v>0</v>
      </c>
      <c r="BC83" s="88">
        <f t="shared" si="94"/>
        <v>12.5</v>
      </c>
      <c r="BD83" s="88">
        <f t="shared" si="95"/>
        <v>2.79</v>
      </c>
      <c r="BE83" s="89">
        <f t="shared" si="96"/>
        <v>296.29000000000002</v>
      </c>
      <c r="BF83" s="88">
        <f t="shared" ref="BF83:BG83" si="225">BF54*1</f>
        <v>14</v>
      </c>
      <c r="BG83" s="88">
        <f t="shared" si="225"/>
        <v>5</v>
      </c>
      <c r="BH83" s="88">
        <f t="shared" si="98"/>
        <v>0</v>
      </c>
      <c r="BI83" s="88">
        <f t="shared" si="99"/>
        <v>0</v>
      </c>
      <c r="BJ83" s="88">
        <f t="shared" si="100"/>
        <v>0</v>
      </c>
      <c r="BK83" s="88">
        <f t="shared" si="101"/>
        <v>0</v>
      </c>
      <c r="BL83" s="89">
        <f t="shared" si="102"/>
        <v>19</v>
      </c>
      <c r="BM83" s="88">
        <f t="shared" ref="BM83:BN83" si="226">BM54*1</f>
        <v>216</v>
      </c>
      <c r="BN83" s="88">
        <f t="shared" si="226"/>
        <v>51</v>
      </c>
      <c r="BO83" s="88">
        <f t="shared" si="104"/>
        <v>2.1</v>
      </c>
      <c r="BP83" s="88">
        <f t="shared" si="105"/>
        <v>0</v>
      </c>
      <c r="BQ83" s="88">
        <f t="shared" si="106"/>
        <v>5</v>
      </c>
      <c r="BR83" s="88">
        <f t="shared" si="107"/>
        <v>0</v>
      </c>
      <c r="BS83" s="89">
        <f t="shared" si="108"/>
        <v>274.10000000000002</v>
      </c>
      <c r="BT83" s="88">
        <f t="shared" ref="BT83:BU83" si="227">BT54*1</f>
        <v>263</v>
      </c>
      <c r="BU83" s="88">
        <f t="shared" si="227"/>
        <v>73</v>
      </c>
      <c r="BV83" s="88">
        <f t="shared" si="110"/>
        <v>0</v>
      </c>
      <c r="BW83" s="88">
        <f t="shared" si="111"/>
        <v>0</v>
      </c>
      <c r="BX83" s="88">
        <f t="shared" si="112"/>
        <v>0</v>
      </c>
      <c r="BY83" s="88">
        <f t="shared" si="113"/>
        <v>0</v>
      </c>
      <c r="BZ83" s="89">
        <f t="shared" si="114"/>
        <v>336</v>
      </c>
      <c r="CA83" s="88">
        <f t="shared" ref="CA83:CB83" si="228">CA54*1</f>
        <v>0</v>
      </c>
      <c r="CB83" s="88">
        <f t="shared" si="228"/>
        <v>0</v>
      </c>
      <c r="CC83" s="88">
        <f t="shared" si="116"/>
        <v>0</v>
      </c>
      <c r="CD83" s="88">
        <f t="shared" si="117"/>
        <v>0</v>
      </c>
      <c r="CE83" s="88">
        <f t="shared" si="118"/>
        <v>0</v>
      </c>
      <c r="CF83" s="88">
        <f t="shared" si="119"/>
        <v>0</v>
      </c>
      <c r="CG83" s="89">
        <f t="shared" si="120"/>
        <v>0</v>
      </c>
      <c r="CH83" s="88">
        <f t="shared" ref="CH83:CI83" si="229">CH54*1</f>
        <v>243</v>
      </c>
      <c r="CI83" s="88">
        <f t="shared" si="229"/>
        <v>35</v>
      </c>
      <c r="CJ83" s="88">
        <f t="shared" si="122"/>
        <v>0</v>
      </c>
      <c r="CK83" s="88">
        <f t="shared" si="123"/>
        <v>0</v>
      </c>
      <c r="CL83" s="88">
        <f t="shared" si="124"/>
        <v>7.5</v>
      </c>
      <c r="CM83" s="88">
        <f t="shared" si="125"/>
        <v>0</v>
      </c>
      <c r="CN83" s="89">
        <f t="shared" si="126"/>
        <v>285.5</v>
      </c>
      <c r="CO83" s="88">
        <f t="shared" ref="CO83:CP83" si="230">CO54*1</f>
        <v>535</v>
      </c>
      <c r="CP83" s="88">
        <f t="shared" si="230"/>
        <v>62</v>
      </c>
      <c r="CQ83" s="88">
        <f t="shared" si="128"/>
        <v>6.3000000000000007</v>
      </c>
      <c r="CR83" s="88">
        <f t="shared" si="129"/>
        <v>1.5</v>
      </c>
      <c r="CS83" s="88">
        <f t="shared" si="130"/>
        <v>30</v>
      </c>
      <c r="CT83" s="88">
        <f t="shared" si="131"/>
        <v>0</v>
      </c>
      <c r="CU83" s="89">
        <f t="shared" si="132"/>
        <v>634.79999999999995</v>
      </c>
      <c r="CV83" s="88">
        <f t="shared" ref="CV83:CW83" si="231">CV54*1</f>
        <v>0</v>
      </c>
      <c r="CW83" s="88">
        <f t="shared" si="231"/>
        <v>0</v>
      </c>
      <c r="CX83" s="88">
        <f t="shared" si="134"/>
        <v>0</v>
      </c>
      <c r="CY83" s="88">
        <f t="shared" si="135"/>
        <v>0</v>
      </c>
      <c r="CZ83" s="88">
        <f t="shared" si="136"/>
        <v>0</v>
      </c>
      <c r="DA83" s="88">
        <f t="shared" si="137"/>
        <v>0</v>
      </c>
      <c r="DB83" s="89">
        <f t="shared" si="138"/>
        <v>0</v>
      </c>
      <c r="DC83" s="88">
        <f t="shared" ref="DC83:DD83" si="232">DC54*1</f>
        <v>0</v>
      </c>
      <c r="DD83" s="88">
        <f t="shared" si="232"/>
        <v>0</v>
      </c>
      <c r="DE83" s="88">
        <f t="shared" si="140"/>
        <v>0</v>
      </c>
      <c r="DF83" s="88">
        <f t="shared" si="141"/>
        <v>0</v>
      </c>
      <c r="DG83" s="88">
        <f t="shared" si="142"/>
        <v>0</v>
      </c>
      <c r="DH83" s="88">
        <f t="shared" si="143"/>
        <v>0</v>
      </c>
      <c r="DI83" s="89">
        <f t="shared" si="144"/>
        <v>0</v>
      </c>
      <c r="DJ83" s="88">
        <f t="shared" ref="DJ83:DK83" si="233">DJ54*1</f>
        <v>0</v>
      </c>
      <c r="DK83" s="88">
        <f t="shared" si="233"/>
        <v>0</v>
      </c>
      <c r="DL83" s="88">
        <f t="shared" si="146"/>
        <v>0</v>
      </c>
      <c r="DM83" s="88">
        <f t="shared" si="147"/>
        <v>0</v>
      </c>
      <c r="DN83" s="88">
        <f t="shared" si="148"/>
        <v>0</v>
      </c>
      <c r="DO83" s="88">
        <f t="shared" si="149"/>
        <v>0</v>
      </c>
      <c r="DP83" s="89">
        <f t="shared" si="150"/>
        <v>0</v>
      </c>
      <c r="DQ83" s="88">
        <f t="shared" ref="DQ83:DR83" si="234">DQ54*1</f>
        <v>0</v>
      </c>
      <c r="DR83" s="88">
        <f t="shared" si="234"/>
        <v>0</v>
      </c>
      <c r="DS83" s="88">
        <f t="shared" si="152"/>
        <v>0</v>
      </c>
      <c r="DT83" s="88">
        <f t="shared" si="153"/>
        <v>0</v>
      </c>
      <c r="DU83" s="88">
        <f t="shared" si="154"/>
        <v>0</v>
      </c>
      <c r="DV83" s="88">
        <f t="shared" si="155"/>
        <v>0</v>
      </c>
      <c r="DW83" s="89">
        <f t="shared" si="156"/>
        <v>0</v>
      </c>
      <c r="DX83" s="88">
        <f t="shared" ref="DX83:DY83" si="235">DX54*1</f>
        <v>0</v>
      </c>
      <c r="DY83" s="88">
        <f t="shared" si="235"/>
        <v>0</v>
      </c>
      <c r="DZ83" s="88">
        <f t="shared" si="158"/>
        <v>0</v>
      </c>
      <c r="EA83" s="88">
        <f t="shared" si="159"/>
        <v>0</v>
      </c>
      <c r="EB83" s="88">
        <f t="shared" si="160"/>
        <v>0</v>
      </c>
      <c r="EC83" s="88">
        <f t="shared" si="161"/>
        <v>0</v>
      </c>
      <c r="ED83" s="89">
        <f t="shared" si="162"/>
        <v>0</v>
      </c>
      <c r="EE83" s="277"/>
      <c r="EF83" s="277"/>
      <c r="EG83" s="277"/>
      <c r="EH83" s="277"/>
      <c r="EI83" s="277"/>
      <c r="EJ83" s="277"/>
      <c r="EK83" s="277"/>
      <c r="EL83" s="88">
        <f t="shared" ref="EL83:EM83" si="236">EL54*1</f>
        <v>0</v>
      </c>
      <c r="EM83" s="88">
        <f t="shared" si="236"/>
        <v>0</v>
      </c>
      <c r="EN83" s="88">
        <f t="shared" si="164"/>
        <v>0</v>
      </c>
      <c r="EO83" s="88">
        <f t="shared" si="165"/>
        <v>0</v>
      </c>
      <c r="EP83" s="88">
        <f t="shared" si="166"/>
        <v>0</v>
      </c>
      <c r="EQ83" s="88">
        <f t="shared" si="167"/>
        <v>0</v>
      </c>
      <c r="ER83" s="89">
        <f t="shared" si="168"/>
        <v>0</v>
      </c>
      <c r="ES83" s="88">
        <f t="shared" ref="ES83:ET83" si="237">ES54*1</f>
        <v>0</v>
      </c>
      <c r="ET83" s="88">
        <f t="shared" si="237"/>
        <v>0</v>
      </c>
      <c r="EU83" s="88">
        <f t="shared" si="170"/>
        <v>0</v>
      </c>
      <c r="EV83" s="88">
        <f t="shared" si="171"/>
        <v>0</v>
      </c>
      <c r="EW83" s="88">
        <f t="shared" si="172"/>
        <v>0</v>
      </c>
      <c r="EX83" s="88">
        <f t="shared" si="173"/>
        <v>0</v>
      </c>
      <c r="EY83" s="89">
        <f t="shared" si="174"/>
        <v>0</v>
      </c>
      <c r="EZ83" s="88">
        <f t="shared" ref="EZ83:FA83" si="238">EZ54*1</f>
        <v>0</v>
      </c>
      <c r="FA83" s="88">
        <f t="shared" si="238"/>
        <v>0</v>
      </c>
      <c r="FB83" s="88">
        <f t="shared" si="176"/>
        <v>0</v>
      </c>
      <c r="FC83" s="88">
        <f t="shared" si="177"/>
        <v>0</v>
      </c>
      <c r="FD83" s="88">
        <f t="shared" si="178"/>
        <v>0</v>
      </c>
      <c r="FE83" s="88">
        <f t="shared" si="179"/>
        <v>0</v>
      </c>
      <c r="FF83" s="89">
        <f t="shared" si="180"/>
        <v>0</v>
      </c>
      <c r="FG83" s="277"/>
      <c r="FH83" s="277"/>
      <c r="FI83" s="277"/>
      <c r="FJ83" s="277"/>
      <c r="FK83" s="277"/>
      <c r="FL83" s="277"/>
      <c r="FM83" s="277"/>
      <c r="FN83" s="88">
        <f t="shared" ref="FN83:FO83" si="239">FN54*1</f>
        <v>0</v>
      </c>
      <c r="FO83" s="88">
        <f t="shared" si="239"/>
        <v>0</v>
      </c>
      <c r="FP83" s="88">
        <f t="shared" si="182"/>
        <v>0</v>
      </c>
      <c r="FQ83" s="88">
        <f t="shared" si="183"/>
        <v>0</v>
      </c>
      <c r="FR83" s="88">
        <f t="shared" si="184"/>
        <v>0</v>
      </c>
      <c r="FS83" s="88">
        <f t="shared" si="185"/>
        <v>0</v>
      </c>
      <c r="FT83" s="89">
        <f t="shared" si="186"/>
        <v>0</v>
      </c>
      <c r="FU83" s="88">
        <f t="shared" ref="FU83:FV83" si="240">FU54*1</f>
        <v>0</v>
      </c>
      <c r="FV83" s="88">
        <f t="shared" si="240"/>
        <v>0</v>
      </c>
      <c r="FW83" s="88">
        <f t="shared" si="188"/>
        <v>0</v>
      </c>
      <c r="FX83" s="88">
        <f t="shared" si="189"/>
        <v>0</v>
      </c>
      <c r="FY83" s="88">
        <f t="shared" si="190"/>
        <v>0</v>
      </c>
      <c r="FZ83" s="88">
        <f t="shared" si="191"/>
        <v>0</v>
      </c>
      <c r="GA83" s="89">
        <f t="shared" si="192"/>
        <v>0</v>
      </c>
      <c r="GB83" s="88">
        <f t="shared" ref="GB83:GC83" si="241">GB54*1</f>
        <v>0</v>
      </c>
      <c r="GC83" s="88">
        <f t="shared" si="241"/>
        <v>0</v>
      </c>
      <c r="GD83" s="88">
        <f t="shared" si="194"/>
        <v>0</v>
      </c>
      <c r="GE83" s="88">
        <f t="shared" si="195"/>
        <v>0</v>
      </c>
      <c r="GF83" s="88">
        <f t="shared" si="196"/>
        <v>0</v>
      </c>
      <c r="GG83" s="88">
        <f t="shared" si="197"/>
        <v>0</v>
      </c>
      <c r="GH83" s="89">
        <f t="shared" si="198"/>
        <v>0</v>
      </c>
      <c r="GI83" s="277"/>
      <c r="GJ83" s="277"/>
      <c r="GK83" s="277"/>
      <c r="GL83" s="277"/>
      <c r="GM83" s="277"/>
      <c r="GN83" s="277"/>
      <c r="GO83" s="277"/>
      <c r="GP83" s="88">
        <f t="shared" ref="GP83:GQ83" si="242">GP54*1</f>
        <v>0</v>
      </c>
      <c r="GQ83" s="88">
        <f t="shared" si="242"/>
        <v>0</v>
      </c>
      <c r="GR83" s="88">
        <f t="shared" si="200"/>
        <v>0</v>
      </c>
      <c r="GS83" s="88">
        <f t="shared" si="201"/>
        <v>0</v>
      </c>
      <c r="GT83" s="88">
        <f t="shared" si="202"/>
        <v>0</v>
      </c>
      <c r="GU83" s="88">
        <f t="shared" si="203"/>
        <v>0</v>
      </c>
      <c r="GV83" s="89">
        <f t="shared" si="204"/>
        <v>0</v>
      </c>
      <c r="GW83" s="88">
        <f t="shared" ref="GW83:GX83" si="243">GW54*1</f>
        <v>0</v>
      </c>
      <c r="GX83" s="88">
        <f t="shared" si="243"/>
        <v>0</v>
      </c>
      <c r="GY83" s="88">
        <f t="shared" si="206"/>
        <v>0</v>
      </c>
      <c r="GZ83" s="88">
        <f t="shared" si="207"/>
        <v>0</v>
      </c>
      <c r="HA83" s="88">
        <f t="shared" si="208"/>
        <v>0</v>
      </c>
      <c r="HB83" s="88">
        <f t="shared" si="209"/>
        <v>0</v>
      </c>
      <c r="HC83" s="89">
        <f t="shared" si="210"/>
        <v>0</v>
      </c>
      <c r="HD83" s="88">
        <f t="shared" ref="HD83:HE83" si="244">HD54*1</f>
        <v>0</v>
      </c>
      <c r="HE83" s="88">
        <f t="shared" si="244"/>
        <v>0</v>
      </c>
      <c r="HF83" s="88">
        <f t="shared" si="212"/>
        <v>0</v>
      </c>
      <c r="HG83" s="88">
        <f t="shared" si="213"/>
        <v>0</v>
      </c>
      <c r="HH83" s="88">
        <f t="shared" si="214"/>
        <v>0</v>
      </c>
      <c r="HI83" s="88">
        <f t="shared" si="215"/>
        <v>0</v>
      </c>
      <c r="HJ83" s="89">
        <f t="shared" si="216"/>
        <v>0</v>
      </c>
    </row>
    <row r="84" spans="1:218" ht="21.75" customHeight="1" x14ac:dyDescent="0.6">
      <c r="A84" s="87">
        <v>45179</v>
      </c>
      <c r="B84" s="88">
        <f t="shared" ref="B84:C84" si="245">B55*1</f>
        <v>148</v>
      </c>
      <c r="C84" s="88">
        <f t="shared" si="245"/>
        <v>30</v>
      </c>
      <c r="D84" s="88">
        <f t="shared" si="50"/>
        <v>0</v>
      </c>
      <c r="E84" s="88">
        <f t="shared" si="51"/>
        <v>0</v>
      </c>
      <c r="F84" s="88">
        <f t="shared" si="52"/>
        <v>7.5</v>
      </c>
      <c r="G84" s="88">
        <f t="shared" si="53"/>
        <v>0.93</v>
      </c>
      <c r="H84" s="89">
        <f t="shared" si="54"/>
        <v>186.43</v>
      </c>
      <c r="I84" s="88">
        <f t="shared" ref="I84:J84" si="246">I55*1</f>
        <v>212</v>
      </c>
      <c r="J84" s="88">
        <f t="shared" si="246"/>
        <v>38</v>
      </c>
      <c r="K84" s="88">
        <f t="shared" si="56"/>
        <v>0</v>
      </c>
      <c r="L84" s="88">
        <f t="shared" si="57"/>
        <v>0</v>
      </c>
      <c r="M84" s="88">
        <f t="shared" si="58"/>
        <v>0</v>
      </c>
      <c r="N84" s="88">
        <f t="shared" si="59"/>
        <v>0</v>
      </c>
      <c r="O84" s="89">
        <f t="shared" si="60"/>
        <v>250</v>
      </c>
      <c r="P84" s="88">
        <f t="shared" ref="P84:Q84" si="247">P55*1</f>
        <v>75</v>
      </c>
      <c r="Q84" s="88">
        <f t="shared" si="247"/>
        <v>31</v>
      </c>
      <c r="R84" s="88">
        <f t="shared" si="62"/>
        <v>0</v>
      </c>
      <c r="S84" s="88">
        <f t="shared" si="63"/>
        <v>0</v>
      </c>
      <c r="T84" s="88">
        <f t="shared" si="64"/>
        <v>2.5</v>
      </c>
      <c r="U84" s="88">
        <f t="shared" si="65"/>
        <v>0</v>
      </c>
      <c r="V84" s="89">
        <f t="shared" si="66"/>
        <v>108.5</v>
      </c>
      <c r="W84" s="88">
        <f t="shared" ref="W84:X84" si="248">W55*1</f>
        <v>0</v>
      </c>
      <c r="X84" s="88">
        <f t="shared" si="248"/>
        <v>0</v>
      </c>
      <c r="Y84" s="88">
        <f t="shared" si="68"/>
        <v>0</v>
      </c>
      <c r="Z84" s="88">
        <f t="shared" si="69"/>
        <v>0</v>
      </c>
      <c r="AA84" s="88">
        <f t="shared" si="70"/>
        <v>0</v>
      </c>
      <c r="AB84" s="88">
        <f t="shared" si="71"/>
        <v>0</v>
      </c>
      <c r="AC84" s="89">
        <f t="shared" si="72"/>
        <v>0</v>
      </c>
      <c r="AD84" s="88">
        <f t="shared" ref="AD84:AE84" si="249">AD55*1</f>
        <v>157</v>
      </c>
      <c r="AE84" s="88">
        <f t="shared" si="249"/>
        <v>45</v>
      </c>
      <c r="AF84" s="88">
        <f t="shared" si="74"/>
        <v>0</v>
      </c>
      <c r="AG84" s="88">
        <f t="shared" si="75"/>
        <v>0</v>
      </c>
      <c r="AH84" s="88">
        <f t="shared" si="76"/>
        <v>0</v>
      </c>
      <c r="AI84" s="88">
        <f t="shared" si="77"/>
        <v>0</v>
      </c>
      <c r="AJ84" s="89">
        <f t="shared" si="78"/>
        <v>202</v>
      </c>
      <c r="AK84" s="88">
        <f t="shared" ref="AK84:AL84" si="250">AK55*1</f>
        <v>605</v>
      </c>
      <c r="AL84" s="88">
        <f t="shared" si="250"/>
        <v>179</v>
      </c>
      <c r="AM84" s="88">
        <f t="shared" si="80"/>
        <v>2.1</v>
      </c>
      <c r="AN84" s="88">
        <f t="shared" si="81"/>
        <v>1.5</v>
      </c>
      <c r="AO84" s="88">
        <f t="shared" si="82"/>
        <v>57.5</v>
      </c>
      <c r="AP84" s="88">
        <f t="shared" si="83"/>
        <v>0</v>
      </c>
      <c r="AQ84" s="89">
        <f t="shared" si="84"/>
        <v>845.1</v>
      </c>
      <c r="AR84" s="88">
        <f t="shared" ref="AR84:AS84" si="251">AR55*1</f>
        <v>147</v>
      </c>
      <c r="AS84" s="88">
        <f t="shared" si="251"/>
        <v>32</v>
      </c>
      <c r="AT84" s="88">
        <f t="shared" si="86"/>
        <v>0</v>
      </c>
      <c r="AU84" s="88">
        <f t="shared" si="87"/>
        <v>0</v>
      </c>
      <c r="AV84" s="88">
        <f t="shared" si="88"/>
        <v>12.5</v>
      </c>
      <c r="AW84" s="88">
        <f t="shared" si="89"/>
        <v>0.93</v>
      </c>
      <c r="AX84" s="89">
        <f t="shared" si="90"/>
        <v>192.43</v>
      </c>
      <c r="AY84" s="88">
        <f t="shared" ref="AY84:AZ84" si="252">AY55*1</f>
        <v>198</v>
      </c>
      <c r="AZ84" s="88">
        <f t="shared" si="252"/>
        <v>69</v>
      </c>
      <c r="BA84" s="88">
        <f t="shared" si="92"/>
        <v>2.1</v>
      </c>
      <c r="BB84" s="88">
        <f t="shared" si="93"/>
        <v>0</v>
      </c>
      <c r="BC84" s="88">
        <f t="shared" si="94"/>
        <v>10</v>
      </c>
      <c r="BD84" s="88">
        <f t="shared" si="95"/>
        <v>0.93</v>
      </c>
      <c r="BE84" s="89">
        <f t="shared" si="96"/>
        <v>280.03000000000003</v>
      </c>
      <c r="BF84" s="88">
        <f t="shared" ref="BF84:BG84" si="253">BF55*1</f>
        <v>16</v>
      </c>
      <c r="BG84" s="88">
        <f t="shared" si="253"/>
        <v>7</v>
      </c>
      <c r="BH84" s="88">
        <f t="shared" si="98"/>
        <v>0</v>
      </c>
      <c r="BI84" s="88">
        <f t="shared" si="99"/>
        <v>0</v>
      </c>
      <c r="BJ84" s="88">
        <f t="shared" si="100"/>
        <v>2.5</v>
      </c>
      <c r="BK84" s="88">
        <f t="shared" si="101"/>
        <v>0</v>
      </c>
      <c r="BL84" s="89">
        <f t="shared" si="102"/>
        <v>25.5</v>
      </c>
      <c r="BM84" s="88">
        <f t="shared" ref="BM84:BN84" si="254">BM55*1</f>
        <v>226</v>
      </c>
      <c r="BN84" s="88">
        <f t="shared" si="254"/>
        <v>57</v>
      </c>
      <c r="BO84" s="88">
        <f t="shared" si="104"/>
        <v>0</v>
      </c>
      <c r="BP84" s="88">
        <f t="shared" si="105"/>
        <v>0</v>
      </c>
      <c r="BQ84" s="88">
        <f t="shared" si="106"/>
        <v>5</v>
      </c>
      <c r="BR84" s="88">
        <f t="shared" si="107"/>
        <v>0</v>
      </c>
      <c r="BS84" s="89">
        <f t="shared" si="108"/>
        <v>288</v>
      </c>
      <c r="BT84" s="88">
        <f t="shared" ref="BT84:BU84" si="255">BT55*1</f>
        <v>205</v>
      </c>
      <c r="BU84" s="88">
        <f t="shared" si="255"/>
        <v>56</v>
      </c>
      <c r="BV84" s="88">
        <f t="shared" si="110"/>
        <v>0</v>
      </c>
      <c r="BW84" s="88">
        <f t="shared" si="111"/>
        <v>0</v>
      </c>
      <c r="BX84" s="88">
        <f t="shared" si="112"/>
        <v>0</v>
      </c>
      <c r="BY84" s="88">
        <f t="shared" si="113"/>
        <v>0</v>
      </c>
      <c r="BZ84" s="89">
        <f t="shared" si="114"/>
        <v>261</v>
      </c>
      <c r="CA84" s="88">
        <f t="shared" ref="CA84:CB84" si="256">CA55*1</f>
        <v>0</v>
      </c>
      <c r="CB84" s="88">
        <f t="shared" si="256"/>
        <v>0</v>
      </c>
      <c r="CC84" s="88">
        <f t="shared" si="116"/>
        <v>0</v>
      </c>
      <c r="CD84" s="88">
        <f t="shared" si="117"/>
        <v>0</v>
      </c>
      <c r="CE84" s="88">
        <f t="shared" si="118"/>
        <v>0</v>
      </c>
      <c r="CF84" s="88">
        <f t="shared" si="119"/>
        <v>0</v>
      </c>
      <c r="CG84" s="89">
        <f t="shared" si="120"/>
        <v>0</v>
      </c>
      <c r="CH84" s="88">
        <f t="shared" ref="CH84:CI84" si="257">CH55*1</f>
        <v>197</v>
      </c>
      <c r="CI84" s="88">
        <f t="shared" si="257"/>
        <v>33</v>
      </c>
      <c r="CJ84" s="88">
        <f t="shared" si="122"/>
        <v>0</v>
      </c>
      <c r="CK84" s="88">
        <f t="shared" si="123"/>
        <v>0</v>
      </c>
      <c r="CL84" s="88">
        <f t="shared" si="124"/>
        <v>5</v>
      </c>
      <c r="CM84" s="88">
        <f t="shared" si="125"/>
        <v>0</v>
      </c>
      <c r="CN84" s="89">
        <f t="shared" si="126"/>
        <v>235</v>
      </c>
      <c r="CO84" s="88">
        <f t="shared" ref="CO84:CP84" si="258">CO55*1</f>
        <v>455</v>
      </c>
      <c r="CP84" s="88">
        <f t="shared" si="258"/>
        <v>93</v>
      </c>
      <c r="CQ84" s="88">
        <f t="shared" si="128"/>
        <v>6.3000000000000007</v>
      </c>
      <c r="CR84" s="88">
        <f t="shared" si="129"/>
        <v>1.5</v>
      </c>
      <c r="CS84" s="88">
        <f t="shared" si="130"/>
        <v>15</v>
      </c>
      <c r="CT84" s="88">
        <f t="shared" si="131"/>
        <v>0</v>
      </c>
      <c r="CU84" s="89">
        <f t="shared" si="132"/>
        <v>570.79999999999995</v>
      </c>
      <c r="CV84" s="88">
        <f t="shared" ref="CV84:CW84" si="259">CV55*1</f>
        <v>0</v>
      </c>
      <c r="CW84" s="88">
        <f t="shared" si="259"/>
        <v>0</v>
      </c>
      <c r="CX84" s="88">
        <f t="shared" si="134"/>
        <v>0</v>
      </c>
      <c r="CY84" s="88">
        <f t="shared" si="135"/>
        <v>0</v>
      </c>
      <c r="CZ84" s="88">
        <f t="shared" si="136"/>
        <v>0</v>
      </c>
      <c r="DA84" s="88">
        <f t="shared" si="137"/>
        <v>0</v>
      </c>
      <c r="DB84" s="89">
        <f t="shared" si="138"/>
        <v>0</v>
      </c>
      <c r="DC84" s="88">
        <f t="shared" ref="DC84:DD84" si="260">DC55*1</f>
        <v>0</v>
      </c>
      <c r="DD84" s="88">
        <f t="shared" si="260"/>
        <v>0</v>
      </c>
      <c r="DE84" s="88">
        <f t="shared" si="140"/>
        <v>0</v>
      </c>
      <c r="DF84" s="88">
        <f t="shared" si="141"/>
        <v>0</v>
      </c>
      <c r="DG84" s="88">
        <f t="shared" si="142"/>
        <v>0</v>
      </c>
      <c r="DH84" s="88">
        <f t="shared" si="143"/>
        <v>0</v>
      </c>
      <c r="DI84" s="89">
        <f t="shared" si="144"/>
        <v>0</v>
      </c>
      <c r="DJ84" s="88">
        <f t="shared" ref="DJ84:DK84" si="261">DJ55*1</f>
        <v>0</v>
      </c>
      <c r="DK84" s="88">
        <f t="shared" si="261"/>
        <v>0</v>
      </c>
      <c r="DL84" s="88">
        <f t="shared" si="146"/>
        <v>0</v>
      </c>
      <c r="DM84" s="88">
        <f t="shared" si="147"/>
        <v>0</v>
      </c>
      <c r="DN84" s="88">
        <f t="shared" si="148"/>
        <v>0</v>
      </c>
      <c r="DO84" s="88">
        <f t="shared" si="149"/>
        <v>0</v>
      </c>
      <c r="DP84" s="89">
        <f t="shared" si="150"/>
        <v>0</v>
      </c>
      <c r="DQ84" s="88">
        <f t="shared" ref="DQ84:DR84" si="262">DQ55*1</f>
        <v>0</v>
      </c>
      <c r="DR84" s="88">
        <f t="shared" si="262"/>
        <v>0</v>
      </c>
      <c r="DS84" s="88">
        <f t="shared" si="152"/>
        <v>0</v>
      </c>
      <c r="DT84" s="88">
        <f t="shared" si="153"/>
        <v>0</v>
      </c>
      <c r="DU84" s="88">
        <f t="shared" si="154"/>
        <v>0</v>
      </c>
      <c r="DV84" s="88">
        <f t="shared" si="155"/>
        <v>0</v>
      </c>
      <c r="DW84" s="89">
        <f t="shared" si="156"/>
        <v>0</v>
      </c>
      <c r="DX84" s="88">
        <f t="shared" ref="DX84:DY84" si="263">DX55*1</f>
        <v>0</v>
      </c>
      <c r="DY84" s="88">
        <f t="shared" si="263"/>
        <v>0</v>
      </c>
      <c r="DZ84" s="88">
        <f t="shared" si="158"/>
        <v>0</v>
      </c>
      <c r="EA84" s="88">
        <f t="shared" si="159"/>
        <v>0</v>
      </c>
      <c r="EB84" s="88">
        <f t="shared" si="160"/>
        <v>0</v>
      </c>
      <c r="EC84" s="88">
        <f t="shared" si="161"/>
        <v>0</v>
      </c>
      <c r="ED84" s="89">
        <f t="shared" si="162"/>
        <v>0</v>
      </c>
      <c r="EE84" s="277"/>
      <c r="EF84" s="277"/>
      <c r="EG84" s="277"/>
      <c r="EH84" s="277"/>
      <c r="EI84" s="277"/>
      <c r="EJ84" s="277"/>
      <c r="EK84" s="277"/>
      <c r="EL84" s="88">
        <f t="shared" ref="EL84:EM84" si="264">EL55*1</f>
        <v>0</v>
      </c>
      <c r="EM84" s="88">
        <f t="shared" si="264"/>
        <v>0</v>
      </c>
      <c r="EN84" s="88">
        <f t="shared" si="164"/>
        <v>0</v>
      </c>
      <c r="EO84" s="88">
        <f t="shared" si="165"/>
        <v>0</v>
      </c>
      <c r="EP84" s="88">
        <f t="shared" si="166"/>
        <v>0</v>
      </c>
      <c r="EQ84" s="88">
        <f t="shared" si="167"/>
        <v>0</v>
      </c>
      <c r="ER84" s="89">
        <f t="shared" si="168"/>
        <v>0</v>
      </c>
      <c r="ES84" s="88">
        <f t="shared" ref="ES84:ET84" si="265">ES55*1</f>
        <v>0</v>
      </c>
      <c r="ET84" s="88">
        <f t="shared" si="265"/>
        <v>0</v>
      </c>
      <c r="EU84" s="88">
        <f t="shared" si="170"/>
        <v>0</v>
      </c>
      <c r="EV84" s="88">
        <f t="shared" si="171"/>
        <v>0</v>
      </c>
      <c r="EW84" s="88">
        <f t="shared" si="172"/>
        <v>0</v>
      </c>
      <c r="EX84" s="88">
        <f t="shared" si="173"/>
        <v>0</v>
      </c>
      <c r="EY84" s="89">
        <f t="shared" si="174"/>
        <v>0</v>
      </c>
      <c r="EZ84" s="88">
        <f t="shared" ref="EZ84:FA84" si="266">EZ55*1</f>
        <v>0</v>
      </c>
      <c r="FA84" s="88">
        <f t="shared" si="266"/>
        <v>0</v>
      </c>
      <c r="FB84" s="88">
        <f t="shared" si="176"/>
        <v>0</v>
      </c>
      <c r="FC84" s="88">
        <f t="shared" si="177"/>
        <v>0</v>
      </c>
      <c r="FD84" s="88">
        <f t="shared" si="178"/>
        <v>0</v>
      </c>
      <c r="FE84" s="88">
        <f t="shared" si="179"/>
        <v>0</v>
      </c>
      <c r="FF84" s="89">
        <f t="shared" si="180"/>
        <v>0</v>
      </c>
      <c r="FG84" s="277"/>
      <c r="FH84" s="277"/>
      <c r="FI84" s="277"/>
      <c r="FJ84" s="277"/>
      <c r="FK84" s="277"/>
      <c r="FL84" s="277"/>
      <c r="FM84" s="277"/>
      <c r="FN84" s="88">
        <f t="shared" ref="FN84:FO84" si="267">FN55*1</f>
        <v>0</v>
      </c>
      <c r="FO84" s="88">
        <f t="shared" si="267"/>
        <v>0</v>
      </c>
      <c r="FP84" s="88">
        <f t="shared" si="182"/>
        <v>0</v>
      </c>
      <c r="FQ84" s="88">
        <f t="shared" si="183"/>
        <v>0</v>
      </c>
      <c r="FR84" s="88">
        <f t="shared" si="184"/>
        <v>0</v>
      </c>
      <c r="FS84" s="88">
        <f t="shared" si="185"/>
        <v>0</v>
      </c>
      <c r="FT84" s="89">
        <f t="shared" si="186"/>
        <v>0</v>
      </c>
      <c r="FU84" s="88">
        <f t="shared" ref="FU84:FV84" si="268">FU55*1</f>
        <v>0</v>
      </c>
      <c r="FV84" s="88">
        <f t="shared" si="268"/>
        <v>0</v>
      </c>
      <c r="FW84" s="88">
        <f t="shared" si="188"/>
        <v>0</v>
      </c>
      <c r="FX84" s="88">
        <f t="shared" si="189"/>
        <v>0</v>
      </c>
      <c r="FY84" s="88">
        <f t="shared" si="190"/>
        <v>0</v>
      </c>
      <c r="FZ84" s="88">
        <f t="shared" si="191"/>
        <v>0</v>
      </c>
      <c r="GA84" s="89">
        <f t="shared" si="192"/>
        <v>0</v>
      </c>
      <c r="GB84" s="88">
        <f t="shared" ref="GB84:GC84" si="269">GB55*1</f>
        <v>0</v>
      </c>
      <c r="GC84" s="88">
        <f t="shared" si="269"/>
        <v>0</v>
      </c>
      <c r="GD84" s="88">
        <f t="shared" si="194"/>
        <v>0</v>
      </c>
      <c r="GE84" s="88">
        <f t="shared" si="195"/>
        <v>0</v>
      </c>
      <c r="GF84" s="88">
        <f t="shared" si="196"/>
        <v>0</v>
      </c>
      <c r="GG84" s="88">
        <f t="shared" si="197"/>
        <v>0</v>
      </c>
      <c r="GH84" s="89">
        <f t="shared" si="198"/>
        <v>0</v>
      </c>
      <c r="GI84" s="277"/>
      <c r="GJ84" s="277"/>
      <c r="GK84" s="277"/>
      <c r="GL84" s="277"/>
      <c r="GM84" s="277"/>
      <c r="GN84" s="277"/>
      <c r="GO84" s="277"/>
      <c r="GP84" s="88">
        <f t="shared" ref="GP84:GQ84" si="270">GP55*1</f>
        <v>0</v>
      </c>
      <c r="GQ84" s="88">
        <f t="shared" si="270"/>
        <v>0</v>
      </c>
      <c r="GR84" s="88">
        <f t="shared" si="200"/>
        <v>0</v>
      </c>
      <c r="GS84" s="88">
        <f t="shared" si="201"/>
        <v>0</v>
      </c>
      <c r="GT84" s="88">
        <f t="shared" si="202"/>
        <v>0</v>
      </c>
      <c r="GU84" s="88">
        <f t="shared" si="203"/>
        <v>0</v>
      </c>
      <c r="GV84" s="89">
        <f t="shared" si="204"/>
        <v>0</v>
      </c>
      <c r="GW84" s="88">
        <f t="shared" ref="GW84:GX84" si="271">GW55*1</f>
        <v>0</v>
      </c>
      <c r="GX84" s="88">
        <f t="shared" si="271"/>
        <v>0</v>
      </c>
      <c r="GY84" s="88">
        <f t="shared" si="206"/>
        <v>0</v>
      </c>
      <c r="GZ84" s="88">
        <f t="shared" si="207"/>
        <v>0</v>
      </c>
      <c r="HA84" s="88">
        <f t="shared" si="208"/>
        <v>0</v>
      </c>
      <c r="HB84" s="88">
        <f t="shared" si="209"/>
        <v>0</v>
      </c>
      <c r="HC84" s="89">
        <f t="shared" si="210"/>
        <v>0</v>
      </c>
      <c r="HD84" s="88">
        <f t="shared" ref="HD84:HE84" si="272">HD55*1</f>
        <v>0</v>
      </c>
      <c r="HE84" s="88">
        <f t="shared" si="272"/>
        <v>0</v>
      </c>
      <c r="HF84" s="88">
        <f t="shared" si="212"/>
        <v>0</v>
      </c>
      <c r="HG84" s="88">
        <f t="shared" si="213"/>
        <v>0</v>
      </c>
      <c r="HH84" s="88">
        <f t="shared" si="214"/>
        <v>0</v>
      </c>
      <c r="HI84" s="88">
        <f t="shared" si="215"/>
        <v>0</v>
      </c>
      <c r="HJ84" s="89">
        <f t="shared" si="216"/>
        <v>0</v>
      </c>
    </row>
    <row r="85" spans="1:218" ht="21.75" customHeight="1" x14ac:dyDescent="0.6">
      <c r="A85" s="87">
        <v>45210</v>
      </c>
      <c r="B85" s="88">
        <f t="shared" ref="B85:C85" si="273">B56*1</f>
        <v>126</v>
      </c>
      <c r="C85" s="88">
        <f t="shared" si="273"/>
        <v>24</v>
      </c>
      <c r="D85" s="88">
        <f t="shared" si="50"/>
        <v>0</v>
      </c>
      <c r="E85" s="88">
        <f t="shared" si="51"/>
        <v>0</v>
      </c>
      <c r="F85" s="88">
        <f t="shared" si="52"/>
        <v>5</v>
      </c>
      <c r="G85" s="88">
        <f t="shared" si="53"/>
        <v>2.79</v>
      </c>
      <c r="H85" s="89">
        <f t="shared" si="54"/>
        <v>157.79</v>
      </c>
      <c r="I85" s="88">
        <f t="shared" ref="I85:J85" si="274">I56*1</f>
        <v>188</v>
      </c>
      <c r="J85" s="88">
        <f t="shared" si="274"/>
        <v>34</v>
      </c>
      <c r="K85" s="88">
        <f t="shared" si="56"/>
        <v>0</v>
      </c>
      <c r="L85" s="88">
        <f t="shared" si="57"/>
        <v>0</v>
      </c>
      <c r="M85" s="88">
        <f t="shared" si="58"/>
        <v>0</v>
      </c>
      <c r="N85" s="88">
        <f t="shared" si="59"/>
        <v>0</v>
      </c>
      <c r="O85" s="89">
        <f t="shared" si="60"/>
        <v>222</v>
      </c>
      <c r="P85" s="88">
        <f t="shared" ref="P85:Q85" si="275">P56*1</f>
        <v>102</v>
      </c>
      <c r="Q85" s="88">
        <f t="shared" si="275"/>
        <v>40</v>
      </c>
      <c r="R85" s="88">
        <f t="shared" si="62"/>
        <v>0</v>
      </c>
      <c r="S85" s="88">
        <f t="shared" si="63"/>
        <v>0</v>
      </c>
      <c r="T85" s="88">
        <f t="shared" si="64"/>
        <v>0</v>
      </c>
      <c r="U85" s="88">
        <f t="shared" si="65"/>
        <v>0</v>
      </c>
      <c r="V85" s="89">
        <f t="shared" si="66"/>
        <v>142</v>
      </c>
      <c r="W85" s="88">
        <f t="shared" ref="W85:X85" si="276">W56*1</f>
        <v>0</v>
      </c>
      <c r="X85" s="88">
        <f t="shared" si="276"/>
        <v>0</v>
      </c>
      <c r="Y85" s="88">
        <f t="shared" si="68"/>
        <v>0</v>
      </c>
      <c r="Z85" s="88">
        <f t="shared" si="69"/>
        <v>0</v>
      </c>
      <c r="AA85" s="88">
        <f t="shared" si="70"/>
        <v>0</v>
      </c>
      <c r="AB85" s="88">
        <f t="shared" si="71"/>
        <v>0</v>
      </c>
      <c r="AC85" s="89">
        <f t="shared" si="72"/>
        <v>0</v>
      </c>
      <c r="AD85" s="88">
        <f t="shared" ref="AD85:AE85" si="277">AD56*1</f>
        <v>200</v>
      </c>
      <c r="AE85" s="88">
        <f t="shared" si="277"/>
        <v>85</v>
      </c>
      <c r="AF85" s="88">
        <f t="shared" si="74"/>
        <v>4.2</v>
      </c>
      <c r="AG85" s="88">
        <f t="shared" si="75"/>
        <v>0</v>
      </c>
      <c r="AH85" s="88">
        <f t="shared" si="76"/>
        <v>0</v>
      </c>
      <c r="AI85" s="88">
        <f t="shared" si="77"/>
        <v>0</v>
      </c>
      <c r="AJ85" s="89">
        <f t="shared" si="78"/>
        <v>289.2</v>
      </c>
      <c r="AK85" s="88">
        <f t="shared" ref="AK85:AL85" si="278">AK56*1</f>
        <v>524</v>
      </c>
      <c r="AL85" s="88">
        <f t="shared" si="278"/>
        <v>188</v>
      </c>
      <c r="AM85" s="88">
        <f t="shared" si="80"/>
        <v>2.1</v>
      </c>
      <c r="AN85" s="88">
        <f t="shared" si="81"/>
        <v>1.5</v>
      </c>
      <c r="AO85" s="88">
        <f t="shared" si="82"/>
        <v>60</v>
      </c>
      <c r="AP85" s="88">
        <f t="shared" si="83"/>
        <v>0</v>
      </c>
      <c r="AQ85" s="89">
        <f t="shared" si="84"/>
        <v>775.6</v>
      </c>
      <c r="AR85" s="88">
        <f t="shared" ref="AR85:AS85" si="279">AR56*1</f>
        <v>89</v>
      </c>
      <c r="AS85" s="88">
        <f t="shared" si="279"/>
        <v>30</v>
      </c>
      <c r="AT85" s="88">
        <f t="shared" si="86"/>
        <v>0</v>
      </c>
      <c r="AU85" s="88">
        <f t="shared" si="87"/>
        <v>0</v>
      </c>
      <c r="AV85" s="88">
        <f t="shared" si="88"/>
        <v>5</v>
      </c>
      <c r="AW85" s="88">
        <f t="shared" si="89"/>
        <v>0</v>
      </c>
      <c r="AX85" s="89">
        <f t="shared" si="90"/>
        <v>124</v>
      </c>
      <c r="AY85" s="88">
        <f t="shared" ref="AY85:AZ85" si="280">AY56*1</f>
        <v>167</v>
      </c>
      <c r="AZ85" s="88">
        <f t="shared" si="280"/>
        <v>80</v>
      </c>
      <c r="BA85" s="88">
        <f t="shared" si="92"/>
        <v>0</v>
      </c>
      <c r="BB85" s="88">
        <f t="shared" si="93"/>
        <v>0</v>
      </c>
      <c r="BC85" s="88">
        <f t="shared" si="94"/>
        <v>10</v>
      </c>
      <c r="BD85" s="88">
        <f t="shared" si="95"/>
        <v>1.86</v>
      </c>
      <c r="BE85" s="89">
        <f t="shared" si="96"/>
        <v>258.86</v>
      </c>
      <c r="BF85" s="88">
        <f t="shared" ref="BF85:BG85" si="281">BF56*1</f>
        <v>17</v>
      </c>
      <c r="BG85" s="88">
        <f t="shared" si="281"/>
        <v>4</v>
      </c>
      <c r="BH85" s="88">
        <f t="shared" si="98"/>
        <v>0</v>
      </c>
      <c r="BI85" s="88">
        <f t="shared" si="99"/>
        <v>0</v>
      </c>
      <c r="BJ85" s="88">
        <f t="shared" si="100"/>
        <v>0</v>
      </c>
      <c r="BK85" s="88">
        <f t="shared" si="101"/>
        <v>0</v>
      </c>
      <c r="BL85" s="89">
        <f t="shared" si="102"/>
        <v>21</v>
      </c>
      <c r="BM85" s="88">
        <f t="shared" ref="BM85:BN85" si="282">BM56*1</f>
        <v>220</v>
      </c>
      <c r="BN85" s="88">
        <f t="shared" si="282"/>
        <v>55</v>
      </c>
      <c r="BO85" s="88">
        <f t="shared" si="104"/>
        <v>0</v>
      </c>
      <c r="BP85" s="88">
        <f t="shared" si="105"/>
        <v>0</v>
      </c>
      <c r="BQ85" s="88">
        <f t="shared" si="106"/>
        <v>7.5</v>
      </c>
      <c r="BR85" s="88">
        <f t="shared" si="107"/>
        <v>0</v>
      </c>
      <c r="BS85" s="89">
        <f t="shared" si="108"/>
        <v>282.5</v>
      </c>
      <c r="BT85" s="88">
        <f t="shared" ref="BT85:BU85" si="283">BT56*1</f>
        <v>246</v>
      </c>
      <c r="BU85" s="88">
        <f t="shared" si="283"/>
        <v>54</v>
      </c>
      <c r="BV85" s="88">
        <f t="shared" si="110"/>
        <v>0</v>
      </c>
      <c r="BW85" s="88">
        <f t="shared" si="111"/>
        <v>0</v>
      </c>
      <c r="BX85" s="88">
        <f t="shared" si="112"/>
        <v>0</v>
      </c>
      <c r="BY85" s="88">
        <f t="shared" si="113"/>
        <v>0</v>
      </c>
      <c r="BZ85" s="89">
        <f t="shared" si="114"/>
        <v>300</v>
      </c>
      <c r="CA85" s="88">
        <f t="shared" ref="CA85:CB85" si="284">CA56*1</f>
        <v>0</v>
      </c>
      <c r="CB85" s="88">
        <f t="shared" si="284"/>
        <v>0</v>
      </c>
      <c r="CC85" s="88">
        <f t="shared" si="116"/>
        <v>0</v>
      </c>
      <c r="CD85" s="88">
        <f t="shared" si="117"/>
        <v>0</v>
      </c>
      <c r="CE85" s="88">
        <f t="shared" si="118"/>
        <v>0</v>
      </c>
      <c r="CF85" s="88">
        <f t="shared" si="119"/>
        <v>0</v>
      </c>
      <c r="CG85" s="89">
        <f t="shared" si="120"/>
        <v>0</v>
      </c>
      <c r="CH85" s="88">
        <f t="shared" ref="CH85:CI85" si="285">CH56*1</f>
        <v>105</v>
      </c>
      <c r="CI85" s="88">
        <f t="shared" si="285"/>
        <v>33</v>
      </c>
      <c r="CJ85" s="88">
        <f t="shared" si="122"/>
        <v>0</v>
      </c>
      <c r="CK85" s="88">
        <f t="shared" si="123"/>
        <v>0</v>
      </c>
      <c r="CL85" s="88">
        <f t="shared" si="124"/>
        <v>7.5</v>
      </c>
      <c r="CM85" s="88">
        <f t="shared" si="125"/>
        <v>0</v>
      </c>
      <c r="CN85" s="89">
        <f t="shared" si="126"/>
        <v>145.5</v>
      </c>
      <c r="CO85" s="88">
        <f t="shared" ref="CO85:CP85" si="286">CO56*1</f>
        <v>417</v>
      </c>
      <c r="CP85" s="88">
        <f t="shared" si="286"/>
        <v>86</v>
      </c>
      <c r="CQ85" s="88">
        <f t="shared" si="128"/>
        <v>4.2</v>
      </c>
      <c r="CR85" s="88">
        <f t="shared" si="129"/>
        <v>1.5</v>
      </c>
      <c r="CS85" s="88">
        <f t="shared" si="130"/>
        <v>20</v>
      </c>
      <c r="CT85" s="88">
        <f t="shared" si="131"/>
        <v>0.93</v>
      </c>
      <c r="CU85" s="89">
        <f t="shared" si="132"/>
        <v>529.63</v>
      </c>
      <c r="CV85" s="88">
        <f t="shared" ref="CV85:CW85" si="287">CV56*1</f>
        <v>0</v>
      </c>
      <c r="CW85" s="88">
        <f t="shared" si="287"/>
        <v>0</v>
      </c>
      <c r="CX85" s="88">
        <f t="shared" si="134"/>
        <v>0</v>
      </c>
      <c r="CY85" s="88">
        <f t="shared" si="135"/>
        <v>0</v>
      </c>
      <c r="CZ85" s="88">
        <f t="shared" si="136"/>
        <v>0</v>
      </c>
      <c r="DA85" s="88">
        <f t="shared" si="137"/>
        <v>0</v>
      </c>
      <c r="DB85" s="89">
        <f t="shared" si="138"/>
        <v>0</v>
      </c>
      <c r="DC85" s="88">
        <f t="shared" ref="DC85:DD85" si="288">DC56*1</f>
        <v>0</v>
      </c>
      <c r="DD85" s="88">
        <f t="shared" si="288"/>
        <v>0</v>
      </c>
      <c r="DE85" s="88">
        <f t="shared" si="140"/>
        <v>0</v>
      </c>
      <c r="DF85" s="88">
        <f t="shared" si="141"/>
        <v>0</v>
      </c>
      <c r="DG85" s="88">
        <f t="shared" si="142"/>
        <v>0</v>
      </c>
      <c r="DH85" s="88">
        <f t="shared" si="143"/>
        <v>0</v>
      </c>
      <c r="DI85" s="89">
        <f t="shared" si="144"/>
        <v>0</v>
      </c>
      <c r="DJ85" s="88">
        <f t="shared" ref="DJ85:DK85" si="289">DJ56*1</f>
        <v>0</v>
      </c>
      <c r="DK85" s="88">
        <f t="shared" si="289"/>
        <v>0</v>
      </c>
      <c r="DL85" s="88">
        <f t="shared" si="146"/>
        <v>0</v>
      </c>
      <c r="DM85" s="88">
        <f t="shared" si="147"/>
        <v>0</v>
      </c>
      <c r="DN85" s="88">
        <f t="shared" si="148"/>
        <v>0</v>
      </c>
      <c r="DO85" s="88">
        <f t="shared" si="149"/>
        <v>0</v>
      </c>
      <c r="DP85" s="89">
        <f t="shared" si="150"/>
        <v>0</v>
      </c>
      <c r="DQ85" s="88">
        <f t="shared" ref="DQ85:DR85" si="290">DQ56*1</f>
        <v>0</v>
      </c>
      <c r="DR85" s="88">
        <f t="shared" si="290"/>
        <v>0</v>
      </c>
      <c r="DS85" s="88">
        <f t="shared" si="152"/>
        <v>0</v>
      </c>
      <c r="DT85" s="88">
        <f t="shared" si="153"/>
        <v>0</v>
      </c>
      <c r="DU85" s="88">
        <f t="shared" si="154"/>
        <v>0</v>
      </c>
      <c r="DV85" s="88">
        <f t="shared" si="155"/>
        <v>0</v>
      </c>
      <c r="DW85" s="89">
        <f t="shared" si="156"/>
        <v>0</v>
      </c>
      <c r="DX85" s="88">
        <f t="shared" ref="DX85:DY85" si="291">DX56*1</f>
        <v>0</v>
      </c>
      <c r="DY85" s="88">
        <f t="shared" si="291"/>
        <v>0</v>
      </c>
      <c r="DZ85" s="88">
        <f t="shared" si="158"/>
        <v>0</v>
      </c>
      <c r="EA85" s="88">
        <f t="shared" si="159"/>
        <v>0</v>
      </c>
      <c r="EB85" s="88">
        <f t="shared" si="160"/>
        <v>0</v>
      </c>
      <c r="EC85" s="88">
        <f t="shared" si="161"/>
        <v>0</v>
      </c>
      <c r="ED85" s="89">
        <f t="shared" si="162"/>
        <v>0</v>
      </c>
      <c r="EE85" s="277"/>
      <c r="EF85" s="277"/>
      <c r="EG85" s="277"/>
      <c r="EH85" s="277"/>
      <c r="EI85" s="277"/>
      <c r="EJ85" s="277"/>
      <c r="EK85" s="277"/>
      <c r="EL85" s="88">
        <f t="shared" ref="EL85:EM85" si="292">EL56*1</f>
        <v>0</v>
      </c>
      <c r="EM85" s="88">
        <f t="shared" si="292"/>
        <v>0</v>
      </c>
      <c r="EN85" s="88">
        <f t="shared" si="164"/>
        <v>0</v>
      </c>
      <c r="EO85" s="88">
        <f t="shared" si="165"/>
        <v>0</v>
      </c>
      <c r="EP85" s="88">
        <f t="shared" si="166"/>
        <v>0</v>
      </c>
      <c r="EQ85" s="88">
        <f t="shared" si="167"/>
        <v>0</v>
      </c>
      <c r="ER85" s="89">
        <f t="shared" si="168"/>
        <v>0</v>
      </c>
      <c r="ES85" s="88">
        <f t="shared" ref="ES85:ET85" si="293">ES56*1</f>
        <v>0</v>
      </c>
      <c r="ET85" s="88">
        <f t="shared" si="293"/>
        <v>0</v>
      </c>
      <c r="EU85" s="88">
        <f t="shared" si="170"/>
        <v>0</v>
      </c>
      <c r="EV85" s="88">
        <f t="shared" si="171"/>
        <v>0</v>
      </c>
      <c r="EW85" s="88">
        <f t="shared" si="172"/>
        <v>0</v>
      </c>
      <c r="EX85" s="88">
        <f t="shared" si="173"/>
        <v>0</v>
      </c>
      <c r="EY85" s="89">
        <f t="shared" si="174"/>
        <v>0</v>
      </c>
      <c r="EZ85" s="88">
        <f t="shared" ref="EZ85:FA85" si="294">EZ56*1</f>
        <v>0</v>
      </c>
      <c r="FA85" s="88">
        <f t="shared" si="294"/>
        <v>0</v>
      </c>
      <c r="FB85" s="88">
        <f t="shared" si="176"/>
        <v>0</v>
      </c>
      <c r="FC85" s="88">
        <f t="shared" si="177"/>
        <v>0</v>
      </c>
      <c r="FD85" s="88">
        <f t="shared" si="178"/>
        <v>0</v>
      </c>
      <c r="FE85" s="88">
        <f t="shared" si="179"/>
        <v>0</v>
      </c>
      <c r="FF85" s="89">
        <f t="shared" si="180"/>
        <v>0</v>
      </c>
      <c r="FG85" s="277"/>
      <c r="FH85" s="277"/>
      <c r="FI85" s="277"/>
      <c r="FJ85" s="277"/>
      <c r="FK85" s="277"/>
      <c r="FL85" s="277"/>
      <c r="FM85" s="277"/>
      <c r="FN85" s="88">
        <f t="shared" ref="FN85:FO85" si="295">FN56*1</f>
        <v>0</v>
      </c>
      <c r="FO85" s="88">
        <f t="shared" si="295"/>
        <v>0</v>
      </c>
      <c r="FP85" s="88">
        <f t="shared" si="182"/>
        <v>0</v>
      </c>
      <c r="FQ85" s="88">
        <f t="shared" si="183"/>
        <v>0</v>
      </c>
      <c r="FR85" s="88">
        <f t="shared" si="184"/>
        <v>0</v>
      </c>
      <c r="FS85" s="88">
        <f t="shared" si="185"/>
        <v>0</v>
      </c>
      <c r="FT85" s="89">
        <f t="shared" si="186"/>
        <v>0</v>
      </c>
      <c r="FU85" s="88">
        <f t="shared" ref="FU85:FV85" si="296">FU56*1</f>
        <v>0</v>
      </c>
      <c r="FV85" s="88">
        <f t="shared" si="296"/>
        <v>0</v>
      </c>
      <c r="FW85" s="88">
        <f t="shared" si="188"/>
        <v>0</v>
      </c>
      <c r="FX85" s="88">
        <f t="shared" si="189"/>
        <v>0</v>
      </c>
      <c r="FY85" s="88">
        <f t="shared" si="190"/>
        <v>0</v>
      </c>
      <c r="FZ85" s="88">
        <f t="shared" si="191"/>
        <v>0</v>
      </c>
      <c r="GA85" s="89">
        <f t="shared" si="192"/>
        <v>0</v>
      </c>
      <c r="GB85" s="88">
        <f t="shared" ref="GB85:GC85" si="297">GB56*1</f>
        <v>0</v>
      </c>
      <c r="GC85" s="88">
        <f t="shared" si="297"/>
        <v>0</v>
      </c>
      <c r="GD85" s="88">
        <f t="shared" si="194"/>
        <v>0</v>
      </c>
      <c r="GE85" s="88">
        <f t="shared" si="195"/>
        <v>0</v>
      </c>
      <c r="GF85" s="88">
        <f t="shared" si="196"/>
        <v>0</v>
      </c>
      <c r="GG85" s="88">
        <f t="shared" si="197"/>
        <v>0</v>
      </c>
      <c r="GH85" s="89">
        <f t="shared" si="198"/>
        <v>0</v>
      </c>
      <c r="GI85" s="277"/>
      <c r="GJ85" s="277"/>
      <c r="GK85" s="277"/>
      <c r="GL85" s="277"/>
      <c r="GM85" s="277"/>
      <c r="GN85" s="277"/>
      <c r="GO85" s="277"/>
      <c r="GP85" s="88">
        <f t="shared" ref="GP85:GQ85" si="298">GP56*1</f>
        <v>0</v>
      </c>
      <c r="GQ85" s="88">
        <f t="shared" si="298"/>
        <v>0</v>
      </c>
      <c r="GR85" s="88">
        <f t="shared" si="200"/>
        <v>0</v>
      </c>
      <c r="GS85" s="88">
        <f t="shared" si="201"/>
        <v>0</v>
      </c>
      <c r="GT85" s="88">
        <f t="shared" si="202"/>
        <v>0</v>
      </c>
      <c r="GU85" s="88">
        <f t="shared" si="203"/>
        <v>0</v>
      </c>
      <c r="GV85" s="89">
        <f t="shared" si="204"/>
        <v>0</v>
      </c>
      <c r="GW85" s="88">
        <f t="shared" ref="GW85:GX85" si="299">GW56*1</f>
        <v>0</v>
      </c>
      <c r="GX85" s="88">
        <f t="shared" si="299"/>
        <v>0</v>
      </c>
      <c r="GY85" s="88">
        <f t="shared" si="206"/>
        <v>0</v>
      </c>
      <c r="GZ85" s="88">
        <f t="shared" si="207"/>
        <v>0</v>
      </c>
      <c r="HA85" s="88">
        <f t="shared" si="208"/>
        <v>0</v>
      </c>
      <c r="HB85" s="88">
        <f t="shared" si="209"/>
        <v>0</v>
      </c>
      <c r="HC85" s="89">
        <f t="shared" si="210"/>
        <v>0</v>
      </c>
      <c r="HD85" s="88">
        <f t="shared" ref="HD85:HE85" si="300">HD56*1</f>
        <v>0</v>
      </c>
      <c r="HE85" s="88">
        <f t="shared" si="300"/>
        <v>0</v>
      </c>
      <c r="HF85" s="88">
        <f t="shared" si="212"/>
        <v>0</v>
      </c>
      <c r="HG85" s="88">
        <f t="shared" si="213"/>
        <v>0</v>
      </c>
      <c r="HH85" s="88">
        <f t="shared" si="214"/>
        <v>0</v>
      </c>
      <c r="HI85" s="88">
        <f t="shared" si="215"/>
        <v>0</v>
      </c>
      <c r="HJ85" s="89">
        <f t="shared" si="216"/>
        <v>0</v>
      </c>
    </row>
    <row r="86" spans="1:218" ht="21.75" customHeight="1" x14ac:dyDescent="0.6">
      <c r="A86" s="87">
        <v>45242</v>
      </c>
      <c r="B86" s="88">
        <f t="shared" ref="B86:C86" si="301">B57*1</f>
        <v>116</v>
      </c>
      <c r="C86" s="88">
        <f t="shared" si="301"/>
        <v>33</v>
      </c>
      <c r="D86" s="88">
        <f t="shared" si="50"/>
        <v>0</v>
      </c>
      <c r="E86" s="88">
        <f t="shared" si="51"/>
        <v>0</v>
      </c>
      <c r="F86" s="88">
        <f t="shared" si="52"/>
        <v>5</v>
      </c>
      <c r="G86" s="88">
        <f t="shared" si="53"/>
        <v>2.79</v>
      </c>
      <c r="H86" s="89">
        <f t="shared" si="54"/>
        <v>156.79</v>
      </c>
      <c r="I86" s="88">
        <f t="shared" ref="I86:J86" si="302">I57*1</f>
        <v>200</v>
      </c>
      <c r="J86" s="88">
        <f t="shared" si="302"/>
        <v>44</v>
      </c>
      <c r="K86" s="88">
        <f t="shared" si="56"/>
        <v>0</v>
      </c>
      <c r="L86" s="88">
        <f t="shared" si="57"/>
        <v>0</v>
      </c>
      <c r="M86" s="88">
        <f t="shared" si="58"/>
        <v>0</v>
      </c>
      <c r="N86" s="88">
        <f t="shared" si="59"/>
        <v>0.93</v>
      </c>
      <c r="O86" s="89">
        <f t="shared" si="60"/>
        <v>244.93</v>
      </c>
      <c r="P86" s="88">
        <f t="shared" ref="P86:Q86" si="303">P57*1</f>
        <v>102</v>
      </c>
      <c r="Q86" s="88">
        <f t="shared" si="303"/>
        <v>21</v>
      </c>
      <c r="R86" s="88">
        <f t="shared" si="62"/>
        <v>0</v>
      </c>
      <c r="S86" s="88">
        <f t="shared" si="63"/>
        <v>0</v>
      </c>
      <c r="T86" s="88">
        <f t="shared" si="64"/>
        <v>2.5</v>
      </c>
      <c r="U86" s="88">
        <f t="shared" si="65"/>
        <v>0</v>
      </c>
      <c r="V86" s="89">
        <f t="shared" si="66"/>
        <v>125.5</v>
      </c>
      <c r="W86" s="88">
        <f t="shared" ref="W86:X86" si="304">W57*1</f>
        <v>0</v>
      </c>
      <c r="X86" s="88">
        <f t="shared" si="304"/>
        <v>0</v>
      </c>
      <c r="Y86" s="88">
        <f t="shared" si="68"/>
        <v>0</v>
      </c>
      <c r="Z86" s="88">
        <f t="shared" si="69"/>
        <v>0</v>
      </c>
      <c r="AA86" s="88">
        <f t="shared" si="70"/>
        <v>0</v>
      </c>
      <c r="AB86" s="88">
        <f t="shared" si="71"/>
        <v>0</v>
      </c>
      <c r="AC86" s="89">
        <f t="shared" si="72"/>
        <v>0</v>
      </c>
      <c r="AD86" s="88">
        <f t="shared" ref="AD86:AE86" si="305">AD57*1</f>
        <v>246</v>
      </c>
      <c r="AE86" s="88">
        <f t="shared" si="305"/>
        <v>83</v>
      </c>
      <c r="AF86" s="88">
        <f t="shared" si="74"/>
        <v>0</v>
      </c>
      <c r="AG86" s="88">
        <f t="shared" si="75"/>
        <v>0</v>
      </c>
      <c r="AH86" s="88">
        <f t="shared" si="76"/>
        <v>0</v>
      </c>
      <c r="AI86" s="88">
        <f t="shared" si="77"/>
        <v>0</v>
      </c>
      <c r="AJ86" s="89">
        <f t="shared" si="78"/>
        <v>329</v>
      </c>
      <c r="AK86" s="88">
        <f t="shared" ref="AK86:AL86" si="306">AK57*1</f>
        <v>541</v>
      </c>
      <c r="AL86" s="88">
        <f t="shared" si="306"/>
        <v>177</v>
      </c>
      <c r="AM86" s="88">
        <f t="shared" si="80"/>
        <v>0</v>
      </c>
      <c r="AN86" s="88">
        <f t="shared" si="81"/>
        <v>0</v>
      </c>
      <c r="AO86" s="88">
        <f t="shared" si="82"/>
        <v>40</v>
      </c>
      <c r="AP86" s="88">
        <f t="shared" si="83"/>
        <v>0</v>
      </c>
      <c r="AQ86" s="89">
        <f t="shared" si="84"/>
        <v>758</v>
      </c>
      <c r="AR86" s="88">
        <f t="shared" ref="AR86:AS86" si="307">AR57*1</f>
        <v>75</v>
      </c>
      <c r="AS86" s="88">
        <f t="shared" si="307"/>
        <v>28</v>
      </c>
      <c r="AT86" s="88">
        <f t="shared" si="86"/>
        <v>0</v>
      </c>
      <c r="AU86" s="88">
        <f t="shared" si="87"/>
        <v>0</v>
      </c>
      <c r="AV86" s="88">
        <f t="shared" si="88"/>
        <v>2.5</v>
      </c>
      <c r="AW86" s="88">
        <f t="shared" si="89"/>
        <v>0</v>
      </c>
      <c r="AX86" s="89">
        <f t="shared" si="90"/>
        <v>105.5</v>
      </c>
      <c r="AY86" s="88">
        <f t="shared" ref="AY86:AZ86" si="308">AY57*1</f>
        <v>146</v>
      </c>
      <c r="AZ86" s="88">
        <f t="shared" si="308"/>
        <v>74</v>
      </c>
      <c r="BA86" s="88">
        <f t="shared" si="92"/>
        <v>0</v>
      </c>
      <c r="BB86" s="88">
        <f t="shared" si="93"/>
        <v>0</v>
      </c>
      <c r="BC86" s="88">
        <f t="shared" si="94"/>
        <v>12.5</v>
      </c>
      <c r="BD86" s="88">
        <f t="shared" si="95"/>
        <v>1.86</v>
      </c>
      <c r="BE86" s="89">
        <f t="shared" si="96"/>
        <v>234.36</v>
      </c>
      <c r="BF86" s="88">
        <f t="shared" ref="BF86:BG86" si="309">BF57*1</f>
        <v>13</v>
      </c>
      <c r="BG86" s="88">
        <f t="shared" si="309"/>
        <v>3</v>
      </c>
      <c r="BH86" s="88">
        <f t="shared" si="98"/>
        <v>0</v>
      </c>
      <c r="BI86" s="88">
        <f t="shared" si="99"/>
        <v>0</v>
      </c>
      <c r="BJ86" s="88">
        <f t="shared" si="100"/>
        <v>2.5</v>
      </c>
      <c r="BK86" s="88">
        <f t="shared" si="101"/>
        <v>0</v>
      </c>
      <c r="BL86" s="89">
        <f t="shared" si="102"/>
        <v>18.5</v>
      </c>
      <c r="BM86" s="88">
        <f t="shared" ref="BM86:BN86" si="310">BM57*1</f>
        <v>260</v>
      </c>
      <c r="BN86" s="88">
        <f t="shared" si="310"/>
        <v>54</v>
      </c>
      <c r="BO86" s="88">
        <f t="shared" si="104"/>
        <v>0</v>
      </c>
      <c r="BP86" s="88">
        <f t="shared" si="105"/>
        <v>0</v>
      </c>
      <c r="BQ86" s="88">
        <f t="shared" si="106"/>
        <v>7.5</v>
      </c>
      <c r="BR86" s="88">
        <f t="shared" si="107"/>
        <v>0</v>
      </c>
      <c r="BS86" s="89">
        <f t="shared" si="108"/>
        <v>321.5</v>
      </c>
      <c r="BT86" s="88">
        <f t="shared" ref="BT86:BU86" si="311">BT57*1</f>
        <v>222</v>
      </c>
      <c r="BU86" s="88">
        <f t="shared" si="311"/>
        <v>43</v>
      </c>
      <c r="BV86" s="88">
        <f t="shared" si="110"/>
        <v>0</v>
      </c>
      <c r="BW86" s="88">
        <f t="shared" si="111"/>
        <v>0</v>
      </c>
      <c r="BX86" s="88">
        <f t="shared" si="112"/>
        <v>0</v>
      </c>
      <c r="BY86" s="88">
        <f t="shared" si="113"/>
        <v>0</v>
      </c>
      <c r="BZ86" s="89">
        <f t="shared" si="114"/>
        <v>265</v>
      </c>
      <c r="CA86" s="88">
        <f t="shared" ref="CA86:CB86" si="312">CA57*1</f>
        <v>0</v>
      </c>
      <c r="CB86" s="88">
        <f t="shared" si="312"/>
        <v>0</v>
      </c>
      <c r="CC86" s="88">
        <f t="shared" si="116"/>
        <v>0</v>
      </c>
      <c r="CD86" s="88">
        <f t="shared" si="117"/>
        <v>0</v>
      </c>
      <c r="CE86" s="88">
        <f t="shared" si="118"/>
        <v>0</v>
      </c>
      <c r="CF86" s="88">
        <f t="shared" si="119"/>
        <v>0</v>
      </c>
      <c r="CG86" s="89">
        <f t="shared" si="120"/>
        <v>0</v>
      </c>
      <c r="CH86" s="88">
        <f t="shared" ref="CH86:CI86" si="313">CH57*1</f>
        <v>79</v>
      </c>
      <c r="CI86" s="88">
        <f t="shared" si="313"/>
        <v>27</v>
      </c>
      <c r="CJ86" s="88">
        <f t="shared" si="122"/>
        <v>0</v>
      </c>
      <c r="CK86" s="88">
        <f t="shared" si="123"/>
        <v>0</v>
      </c>
      <c r="CL86" s="88">
        <f t="shared" si="124"/>
        <v>5</v>
      </c>
      <c r="CM86" s="88">
        <f t="shared" si="125"/>
        <v>0.93</v>
      </c>
      <c r="CN86" s="89">
        <f t="shared" si="126"/>
        <v>111.93</v>
      </c>
      <c r="CO86" s="88">
        <f t="shared" ref="CO86:CP86" si="314">CO57*1</f>
        <v>409</v>
      </c>
      <c r="CP86" s="88">
        <f t="shared" si="314"/>
        <v>89</v>
      </c>
      <c r="CQ86" s="88">
        <f t="shared" si="128"/>
        <v>4.2</v>
      </c>
      <c r="CR86" s="88">
        <f t="shared" si="129"/>
        <v>1.5</v>
      </c>
      <c r="CS86" s="88">
        <f t="shared" si="130"/>
        <v>17.5</v>
      </c>
      <c r="CT86" s="88">
        <f t="shared" si="131"/>
        <v>0.93</v>
      </c>
      <c r="CU86" s="89">
        <f t="shared" si="132"/>
        <v>522.13</v>
      </c>
      <c r="CV86" s="88">
        <f t="shared" ref="CV86:CW86" si="315">CV57*1</f>
        <v>0</v>
      </c>
      <c r="CW86" s="88">
        <f t="shared" si="315"/>
        <v>0</v>
      </c>
      <c r="CX86" s="88">
        <f t="shared" si="134"/>
        <v>0</v>
      </c>
      <c r="CY86" s="88">
        <f t="shared" si="135"/>
        <v>0</v>
      </c>
      <c r="CZ86" s="88">
        <f t="shared" si="136"/>
        <v>0</v>
      </c>
      <c r="DA86" s="88">
        <f t="shared" si="137"/>
        <v>0</v>
      </c>
      <c r="DB86" s="89">
        <f t="shared" si="138"/>
        <v>0</v>
      </c>
      <c r="DC86" s="88">
        <f t="shared" ref="DC86:DD86" si="316">DC57*1</f>
        <v>0</v>
      </c>
      <c r="DD86" s="88">
        <f t="shared" si="316"/>
        <v>0</v>
      </c>
      <c r="DE86" s="88">
        <f t="shared" si="140"/>
        <v>0</v>
      </c>
      <c r="DF86" s="88">
        <f t="shared" si="141"/>
        <v>0</v>
      </c>
      <c r="DG86" s="88">
        <f t="shared" si="142"/>
        <v>0</v>
      </c>
      <c r="DH86" s="88">
        <f t="shared" si="143"/>
        <v>0</v>
      </c>
      <c r="DI86" s="89">
        <f t="shared" si="144"/>
        <v>0</v>
      </c>
      <c r="DJ86" s="88">
        <f t="shared" ref="DJ86:DK86" si="317">DJ57*1</f>
        <v>0</v>
      </c>
      <c r="DK86" s="88">
        <f t="shared" si="317"/>
        <v>0</v>
      </c>
      <c r="DL86" s="88">
        <f t="shared" si="146"/>
        <v>0</v>
      </c>
      <c r="DM86" s="88">
        <f t="shared" si="147"/>
        <v>0</v>
      </c>
      <c r="DN86" s="88">
        <f t="shared" si="148"/>
        <v>0</v>
      </c>
      <c r="DO86" s="88">
        <f t="shared" si="149"/>
        <v>0</v>
      </c>
      <c r="DP86" s="89">
        <f t="shared" si="150"/>
        <v>0</v>
      </c>
      <c r="DQ86" s="88">
        <f t="shared" ref="DQ86:DR86" si="318">DQ57*1</f>
        <v>0</v>
      </c>
      <c r="DR86" s="88">
        <f t="shared" si="318"/>
        <v>0</v>
      </c>
      <c r="DS86" s="88">
        <f t="shared" si="152"/>
        <v>0</v>
      </c>
      <c r="DT86" s="88">
        <f t="shared" si="153"/>
        <v>0</v>
      </c>
      <c r="DU86" s="88">
        <f t="shared" si="154"/>
        <v>0</v>
      </c>
      <c r="DV86" s="88">
        <f t="shared" si="155"/>
        <v>0</v>
      </c>
      <c r="DW86" s="89">
        <f t="shared" si="156"/>
        <v>0</v>
      </c>
      <c r="DX86" s="88">
        <f t="shared" ref="DX86:DY86" si="319">DX57*1</f>
        <v>0</v>
      </c>
      <c r="DY86" s="88">
        <f t="shared" si="319"/>
        <v>0</v>
      </c>
      <c r="DZ86" s="88">
        <f t="shared" si="158"/>
        <v>0</v>
      </c>
      <c r="EA86" s="88">
        <f t="shared" si="159"/>
        <v>0</v>
      </c>
      <c r="EB86" s="88">
        <f t="shared" si="160"/>
        <v>0</v>
      </c>
      <c r="EC86" s="88">
        <f t="shared" si="161"/>
        <v>0</v>
      </c>
      <c r="ED86" s="89">
        <f t="shared" si="162"/>
        <v>0</v>
      </c>
      <c r="EE86" s="277"/>
      <c r="EF86" s="277"/>
      <c r="EG86" s="277"/>
      <c r="EH86" s="277"/>
      <c r="EI86" s="277"/>
      <c r="EJ86" s="277"/>
      <c r="EK86" s="277"/>
      <c r="EL86" s="88">
        <f t="shared" ref="EL86:EM86" si="320">EL57*1</f>
        <v>0</v>
      </c>
      <c r="EM86" s="88">
        <f t="shared" si="320"/>
        <v>0</v>
      </c>
      <c r="EN86" s="88">
        <f t="shared" si="164"/>
        <v>0</v>
      </c>
      <c r="EO86" s="88">
        <f t="shared" si="165"/>
        <v>0</v>
      </c>
      <c r="EP86" s="88">
        <f t="shared" si="166"/>
        <v>0</v>
      </c>
      <c r="EQ86" s="88">
        <f t="shared" si="167"/>
        <v>0</v>
      </c>
      <c r="ER86" s="89">
        <f t="shared" si="168"/>
        <v>0</v>
      </c>
      <c r="ES86" s="88">
        <f t="shared" ref="ES86:ET86" si="321">ES57*1</f>
        <v>0</v>
      </c>
      <c r="ET86" s="88">
        <f t="shared" si="321"/>
        <v>0</v>
      </c>
      <c r="EU86" s="88">
        <f t="shared" si="170"/>
        <v>0</v>
      </c>
      <c r="EV86" s="88">
        <f t="shared" si="171"/>
        <v>0</v>
      </c>
      <c r="EW86" s="88">
        <f t="shared" si="172"/>
        <v>0</v>
      </c>
      <c r="EX86" s="88">
        <f t="shared" si="173"/>
        <v>0</v>
      </c>
      <c r="EY86" s="89">
        <f t="shared" si="174"/>
        <v>0</v>
      </c>
      <c r="EZ86" s="88">
        <f t="shared" ref="EZ86:FA86" si="322">EZ57*1</f>
        <v>0</v>
      </c>
      <c r="FA86" s="88">
        <f t="shared" si="322"/>
        <v>0</v>
      </c>
      <c r="FB86" s="88">
        <f t="shared" si="176"/>
        <v>0</v>
      </c>
      <c r="FC86" s="88">
        <f t="shared" si="177"/>
        <v>0</v>
      </c>
      <c r="FD86" s="88">
        <f t="shared" si="178"/>
        <v>0</v>
      </c>
      <c r="FE86" s="88">
        <f t="shared" si="179"/>
        <v>0</v>
      </c>
      <c r="FF86" s="89">
        <f t="shared" si="180"/>
        <v>0</v>
      </c>
      <c r="FG86" s="277"/>
      <c r="FH86" s="277"/>
      <c r="FI86" s="277"/>
      <c r="FJ86" s="277"/>
      <c r="FK86" s="277"/>
      <c r="FL86" s="277"/>
      <c r="FM86" s="277"/>
      <c r="FN86" s="88">
        <f t="shared" ref="FN86:FO86" si="323">FN57*1</f>
        <v>0</v>
      </c>
      <c r="FO86" s="88">
        <f t="shared" si="323"/>
        <v>0</v>
      </c>
      <c r="FP86" s="88">
        <f t="shared" si="182"/>
        <v>0</v>
      </c>
      <c r="FQ86" s="88">
        <f t="shared" si="183"/>
        <v>0</v>
      </c>
      <c r="FR86" s="88">
        <f t="shared" si="184"/>
        <v>0</v>
      </c>
      <c r="FS86" s="88">
        <f t="shared" si="185"/>
        <v>0</v>
      </c>
      <c r="FT86" s="89">
        <f t="shared" si="186"/>
        <v>0</v>
      </c>
      <c r="FU86" s="88">
        <f t="shared" ref="FU86:FV86" si="324">FU57*1</f>
        <v>0</v>
      </c>
      <c r="FV86" s="88">
        <f t="shared" si="324"/>
        <v>0</v>
      </c>
      <c r="FW86" s="88">
        <f t="shared" si="188"/>
        <v>0</v>
      </c>
      <c r="FX86" s="88">
        <f t="shared" si="189"/>
        <v>0</v>
      </c>
      <c r="FY86" s="88">
        <f t="shared" si="190"/>
        <v>0</v>
      </c>
      <c r="FZ86" s="88">
        <f t="shared" si="191"/>
        <v>0</v>
      </c>
      <c r="GA86" s="89">
        <f t="shared" si="192"/>
        <v>0</v>
      </c>
      <c r="GB86" s="88">
        <f t="shared" ref="GB86:GC86" si="325">GB57*1</f>
        <v>0</v>
      </c>
      <c r="GC86" s="88">
        <f t="shared" si="325"/>
        <v>0</v>
      </c>
      <c r="GD86" s="88">
        <f t="shared" si="194"/>
        <v>0</v>
      </c>
      <c r="GE86" s="88">
        <f t="shared" si="195"/>
        <v>0</v>
      </c>
      <c r="GF86" s="88">
        <f t="shared" si="196"/>
        <v>0</v>
      </c>
      <c r="GG86" s="88">
        <f t="shared" si="197"/>
        <v>0</v>
      </c>
      <c r="GH86" s="89">
        <f t="shared" si="198"/>
        <v>0</v>
      </c>
      <c r="GI86" s="277"/>
      <c r="GJ86" s="277"/>
      <c r="GK86" s="277"/>
      <c r="GL86" s="277"/>
      <c r="GM86" s="277"/>
      <c r="GN86" s="277"/>
      <c r="GO86" s="277"/>
      <c r="GP86" s="88">
        <f t="shared" ref="GP86:GQ86" si="326">GP57*1</f>
        <v>0</v>
      </c>
      <c r="GQ86" s="88">
        <f t="shared" si="326"/>
        <v>0</v>
      </c>
      <c r="GR86" s="88">
        <f t="shared" si="200"/>
        <v>0</v>
      </c>
      <c r="GS86" s="88">
        <f t="shared" si="201"/>
        <v>0</v>
      </c>
      <c r="GT86" s="88">
        <f t="shared" si="202"/>
        <v>0</v>
      </c>
      <c r="GU86" s="88">
        <f t="shared" si="203"/>
        <v>0</v>
      </c>
      <c r="GV86" s="89">
        <f t="shared" si="204"/>
        <v>0</v>
      </c>
      <c r="GW86" s="88">
        <f t="shared" ref="GW86:GX86" si="327">GW57*1</f>
        <v>0</v>
      </c>
      <c r="GX86" s="88">
        <f t="shared" si="327"/>
        <v>0</v>
      </c>
      <c r="GY86" s="88">
        <f t="shared" si="206"/>
        <v>0</v>
      </c>
      <c r="GZ86" s="88">
        <f t="shared" si="207"/>
        <v>0</v>
      </c>
      <c r="HA86" s="88">
        <f t="shared" si="208"/>
        <v>0</v>
      </c>
      <c r="HB86" s="88">
        <f t="shared" si="209"/>
        <v>0</v>
      </c>
      <c r="HC86" s="89">
        <f t="shared" si="210"/>
        <v>0</v>
      </c>
      <c r="HD86" s="88">
        <f t="shared" ref="HD86:HE86" si="328">HD57*1</f>
        <v>0</v>
      </c>
      <c r="HE86" s="88">
        <f t="shared" si="328"/>
        <v>0</v>
      </c>
      <c r="HF86" s="88">
        <f t="shared" si="212"/>
        <v>0</v>
      </c>
      <c r="HG86" s="88">
        <f t="shared" si="213"/>
        <v>0</v>
      </c>
      <c r="HH86" s="88">
        <f t="shared" si="214"/>
        <v>0</v>
      </c>
      <c r="HI86" s="88">
        <f t="shared" si="215"/>
        <v>0</v>
      </c>
      <c r="HJ86" s="89">
        <f t="shared" si="216"/>
        <v>0</v>
      </c>
    </row>
    <row r="87" spans="1:218" ht="21.75" customHeight="1" x14ac:dyDescent="0.6">
      <c r="A87" s="87">
        <v>45273</v>
      </c>
      <c r="B87" s="88">
        <f t="shared" ref="B87:C87" si="329">B58*1</f>
        <v>111</v>
      </c>
      <c r="C87" s="88">
        <f t="shared" si="329"/>
        <v>23</v>
      </c>
      <c r="D87" s="88">
        <f t="shared" si="50"/>
        <v>0</v>
      </c>
      <c r="E87" s="88">
        <f t="shared" si="51"/>
        <v>0</v>
      </c>
      <c r="F87" s="88">
        <f t="shared" si="52"/>
        <v>5</v>
      </c>
      <c r="G87" s="88">
        <f t="shared" si="53"/>
        <v>0.93</v>
      </c>
      <c r="H87" s="89">
        <f t="shared" si="54"/>
        <v>139.93</v>
      </c>
      <c r="I87" s="88">
        <f t="shared" ref="I87:J87" si="330">I58*1</f>
        <v>228</v>
      </c>
      <c r="J87" s="88">
        <f t="shared" si="330"/>
        <v>52</v>
      </c>
      <c r="K87" s="88">
        <f t="shared" si="56"/>
        <v>0</v>
      </c>
      <c r="L87" s="88">
        <f t="shared" si="57"/>
        <v>0</v>
      </c>
      <c r="M87" s="88">
        <f t="shared" si="58"/>
        <v>0</v>
      </c>
      <c r="N87" s="88">
        <f t="shared" si="59"/>
        <v>0</v>
      </c>
      <c r="O87" s="89">
        <f t="shared" si="60"/>
        <v>280</v>
      </c>
      <c r="P87" s="88">
        <f t="shared" ref="P87:Q87" si="331">P58*1</f>
        <v>88</v>
      </c>
      <c r="Q87" s="88">
        <f t="shared" si="331"/>
        <v>18</v>
      </c>
      <c r="R87" s="88">
        <f t="shared" si="62"/>
        <v>0</v>
      </c>
      <c r="S87" s="88">
        <f t="shared" si="63"/>
        <v>0</v>
      </c>
      <c r="T87" s="88">
        <f t="shared" si="64"/>
        <v>0</v>
      </c>
      <c r="U87" s="88">
        <f t="shared" si="65"/>
        <v>0</v>
      </c>
      <c r="V87" s="89">
        <f t="shared" si="66"/>
        <v>106</v>
      </c>
      <c r="W87" s="88">
        <f t="shared" ref="W87:X87" si="332">W58*1</f>
        <v>0</v>
      </c>
      <c r="X87" s="88">
        <f t="shared" si="332"/>
        <v>0</v>
      </c>
      <c r="Y87" s="88">
        <f t="shared" si="68"/>
        <v>0</v>
      </c>
      <c r="Z87" s="88">
        <f t="shared" si="69"/>
        <v>0</v>
      </c>
      <c r="AA87" s="88">
        <f t="shared" si="70"/>
        <v>0</v>
      </c>
      <c r="AB87" s="88">
        <f t="shared" si="71"/>
        <v>0</v>
      </c>
      <c r="AC87" s="89">
        <f t="shared" si="72"/>
        <v>0</v>
      </c>
      <c r="AD87" s="88">
        <f t="shared" ref="AD87:AE87" si="333">AD58*1</f>
        <v>249</v>
      </c>
      <c r="AE87" s="88">
        <f t="shared" si="333"/>
        <v>92</v>
      </c>
      <c r="AF87" s="88">
        <f t="shared" si="74"/>
        <v>2.1</v>
      </c>
      <c r="AG87" s="88">
        <f t="shared" si="75"/>
        <v>0</v>
      </c>
      <c r="AH87" s="88">
        <f t="shared" si="76"/>
        <v>0</v>
      </c>
      <c r="AI87" s="88">
        <f t="shared" si="77"/>
        <v>0</v>
      </c>
      <c r="AJ87" s="89">
        <f t="shared" si="78"/>
        <v>343.1</v>
      </c>
      <c r="AK87" s="88">
        <f t="shared" ref="AK87:AL87" si="334">AK58*1</f>
        <v>498</v>
      </c>
      <c r="AL87" s="88">
        <f t="shared" si="334"/>
        <v>183</v>
      </c>
      <c r="AM87" s="88">
        <f t="shared" si="80"/>
        <v>2.1</v>
      </c>
      <c r="AN87" s="88">
        <f t="shared" si="81"/>
        <v>1.5</v>
      </c>
      <c r="AO87" s="88">
        <f t="shared" si="82"/>
        <v>85</v>
      </c>
      <c r="AP87" s="88">
        <f t="shared" si="83"/>
        <v>0</v>
      </c>
      <c r="AQ87" s="89">
        <f t="shared" si="84"/>
        <v>769.6</v>
      </c>
      <c r="AR87" s="88">
        <f t="shared" ref="AR87:AS87" si="335">AR58*1</f>
        <v>74</v>
      </c>
      <c r="AS87" s="88">
        <f t="shared" si="335"/>
        <v>24</v>
      </c>
      <c r="AT87" s="88">
        <f t="shared" si="86"/>
        <v>0</v>
      </c>
      <c r="AU87" s="88">
        <f t="shared" si="87"/>
        <v>0</v>
      </c>
      <c r="AV87" s="88">
        <f t="shared" si="88"/>
        <v>0</v>
      </c>
      <c r="AW87" s="88">
        <f t="shared" si="89"/>
        <v>0</v>
      </c>
      <c r="AX87" s="89">
        <f t="shared" si="90"/>
        <v>98</v>
      </c>
      <c r="AY87" s="88">
        <f t="shared" ref="AY87:AZ87" si="336">AY58*1</f>
        <v>163</v>
      </c>
      <c r="AZ87" s="88">
        <f t="shared" si="336"/>
        <v>78</v>
      </c>
      <c r="BA87" s="88">
        <f t="shared" si="92"/>
        <v>2.1</v>
      </c>
      <c r="BB87" s="88">
        <f t="shared" si="93"/>
        <v>0</v>
      </c>
      <c r="BC87" s="88">
        <f t="shared" si="94"/>
        <v>17.5</v>
      </c>
      <c r="BD87" s="88">
        <f t="shared" si="95"/>
        <v>1.86</v>
      </c>
      <c r="BE87" s="89">
        <f t="shared" si="96"/>
        <v>262.46000000000004</v>
      </c>
      <c r="BF87" s="88">
        <f t="shared" ref="BF87:BG87" si="337">BF58*1</f>
        <v>21</v>
      </c>
      <c r="BG87" s="88">
        <f t="shared" si="337"/>
        <v>3</v>
      </c>
      <c r="BH87" s="88">
        <f t="shared" si="98"/>
        <v>0</v>
      </c>
      <c r="BI87" s="88">
        <f t="shared" si="99"/>
        <v>0</v>
      </c>
      <c r="BJ87" s="88">
        <f t="shared" si="100"/>
        <v>0</v>
      </c>
      <c r="BK87" s="88">
        <f t="shared" si="101"/>
        <v>0</v>
      </c>
      <c r="BL87" s="89">
        <f t="shared" si="102"/>
        <v>24</v>
      </c>
      <c r="BM87" s="88">
        <f t="shared" ref="BM87:BN87" si="338">BM58*1</f>
        <v>237</v>
      </c>
      <c r="BN87" s="88">
        <f t="shared" si="338"/>
        <v>55</v>
      </c>
      <c r="BO87" s="88">
        <f t="shared" si="104"/>
        <v>0</v>
      </c>
      <c r="BP87" s="88">
        <f t="shared" si="105"/>
        <v>0</v>
      </c>
      <c r="BQ87" s="88">
        <f t="shared" si="106"/>
        <v>5</v>
      </c>
      <c r="BR87" s="88">
        <f t="shared" si="107"/>
        <v>0</v>
      </c>
      <c r="BS87" s="89">
        <f t="shared" si="108"/>
        <v>297</v>
      </c>
      <c r="BT87" s="88">
        <f t="shared" ref="BT87:BU87" si="339">BT58*1</f>
        <v>231</v>
      </c>
      <c r="BU87" s="88">
        <f t="shared" si="339"/>
        <v>44</v>
      </c>
      <c r="BV87" s="88">
        <f t="shared" si="110"/>
        <v>0</v>
      </c>
      <c r="BW87" s="88">
        <f t="shared" si="111"/>
        <v>0</v>
      </c>
      <c r="BX87" s="88">
        <f t="shared" si="112"/>
        <v>0</v>
      </c>
      <c r="BY87" s="88">
        <f t="shared" si="113"/>
        <v>0</v>
      </c>
      <c r="BZ87" s="89">
        <f t="shared" si="114"/>
        <v>275</v>
      </c>
      <c r="CA87" s="88">
        <f t="shared" ref="CA87:CB87" si="340">CA58*1</f>
        <v>0</v>
      </c>
      <c r="CB87" s="88">
        <f t="shared" si="340"/>
        <v>0</v>
      </c>
      <c r="CC87" s="88">
        <f t="shared" si="116"/>
        <v>0</v>
      </c>
      <c r="CD87" s="88">
        <f t="shared" si="117"/>
        <v>0</v>
      </c>
      <c r="CE87" s="88">
        <f t="shared" si="118"/>
        <v>0</v>
      </c>
      <c r="CF87" s="88">
        <f t="shared" si="119"/>
        <v>0</v>
      </c>
      <c r="CG87" s="89">
        <f t="shared" si="120"/>
        <v>0</v>
      </c>
      <c r="CH87" s="88">
        <f t="shared" ref="CH87:CI87" si="341">CH58*1</f>
        <v>79</v>
      </c>
      <c r="CI87" s="88">
        <f t="shared" si="341"/>
        <v>28</v>
      </c>
      <c r="CJ87" s="88">
        <f t="shared" si="122"/>
        <v>0</v>
      </c>
      <c r="CK87" s="88">
        <f t="shared" si="123"/>
        <v>0</v>
      </c>
      <c r="CL87" s="88">
        <f t="shared" si="124"/>
        <v>2.5</v>
      </c>
      <c r="CM87" s="88">
        <f t="shared" si="125"/>
        <v>0</v>
      </c>
      <c r="CN87" s="89">
        <f t="shared" si="126"/>
        <v>109.5</v>
      </c>
      <c r="CO87" s="88">
        <f t="shared" ref="CO87:CP87" si="342">CO58*1</f>
        <v>398</v>
      </c>
      <c r="CP87" s="88">
        <f t="shared" si="342"/>
        <v>94</v>
      </c>
      <c r="CQ87" s="88">
        <f t="shared" si="128"/>
        <v>2.1</v>
      </c>
      <c r="CR87" s="88">
        <f t="shared" si="129"/>
        <v>0</v>
      </c>
      <c r="CS87" s="88">
        <f t="shared" si="130"/>
        <v>15</v>
      </c>
      <c r="CT87" s="88">
        <f t="shared" si="131"/>
        <v>1.86</v>
      </c>
      <c r="CU87" s="89">
        <f t="shared" si="132"/>
        <v>510.96000000000004</v>
      </c>
      <c r="CV87" s="88">
        <f t="shared" ref="CV87:CW87" si="343">CV58*1</f>
        <v>0</v>
      </c>
      <c r="CW87" s="88">
        <f t="shared" si="343"/>
        <v>0</v>
      </c>
      <c r="CX87" s="88">
        <f t="shared" si="134"/>
        <v>0</v>
      </c>
      <c r="CY87" s="88">
        <f t="shared" si="135"/>
        <v>0</v>
      </c>
      <c r="CZ87" s="88">
        <f t="shared" si="136"/>
        <v>0</v>
      </c>
      <c r="DA87" s="88">
        <f t="shared" si="137"/>
        <v>0</v>
      </c>
      <c r="DB87" s="89">
        <f t="shared" si="138"/>
        <v>0</v>
      </c>
      <c r="DC87" s="88">
        <f t="shared" ref="DC87:DD87" si="344">DC58*1</f>
        <v>0</v>
      </c>
      <c r="DD87" s="88">
        <f t="shared" si="344"/>
        <v>0</v>
      </c>
      <c r="DE87" s="88">
        <f t="shared" si="140"/>
        <v>0</v>
      </c>
      <c r="DF87" s="88">
        <f t="shared" si="141"/>
        <v>0</v>
      </c>
      <c r="DG87" s="88">
        <f t="shared" si="142"/>
        <v>0</v>
      </c>
      <c r="DH87" s="88">
        <f t="shared" si="143"/>
        <v>0</v>
      </c>
      <c r="DI87" s="89">
        <f t="shared" si="144"/>
        <v>0</v>
      </c>
      <c r="DJ87" s="88">
        <f t="shared" ref="DJ87:DK87" si="345">DJ58*1</f>
        <v>0</v>
      </c>
      <c r="DK87" s="88">
        <f t="shared" si="345"/>
        <v>0</v>
      </c>
      <c r="DL87" s="88">
        <f t="shared" si="146"/>
        <v>0</v>
      </c>
      <c r="DM87" s="88">
        <f t="shared" si="147"/>
        <v>0</v>
      </c>
      <c r="DN87" s="88">
        <f t="shared" si="148"/>
        <v>0</v>
      </c>
      <c r="DO87" s="88">
        <f t="shared" si="149"/>
        <v>0</v>
      </c>
      <c r="DP87" s="89">
        <f t="shared" si="150"/>
        <v>0</v>
      </c>
      <c r="DQ87" s="88">
        <f t="shared" ref="DQ87:DR87" si="346">DQ58*1</f>
        <v>0</v>
      </c>
      <c r="DR87" s="88">
        <f t="shared" si="346"/>
        <v>0</v>
      </c>
      <c r="DS87" s="88">
        <f t="shared" si="152"/>
        <v>0</v>
      </c>
      <c r="DT87" s="88">
        <f t="shared" si="153"/>
        <v>0</v>
      </c>
      <c r="DU87" s="88">
        <f t="shared" si="154"/>
        <v>0</v>
      </c>
      <c r="DV87" s="88">
        <f t="shared" si="155"/>
        <v>0</v>
      </c>
      <c r="DW87" s="89">
        <f t="shared" si="156"/>
        <v>0</v>
      </c>
      <c r="DX87" s="88">
        <f t="shared" ref="DX87:DY87" si="347">DX58*1</f>
        <v>0</v>
      </c>
      <c r="DY87" s="88">
        <f t="shared" si="347"/>
        <v>0</v>
      </c>
      <c r="DZ87" s="88">
        <f t="shared" si="158"/>
        <v>0</v>
      </c>
      <c r="EA87" s="88">
        <f t="shared" si="159"/>
        <v>0</v>
      </c>
      <c r="EB87" s="88">
        <f t="shared" si="160"/>
        <v>0</v>
      </c>
      <c r="EC87" s="88">
        <f t="shared" si="161"/>
        <v>0</v>
      </c>
      <c r="ED87" s="89">
        <f t="shared" si="162"/>
        <v>0</v>
      </c>
      <c r="EE87" s="277"/>
      <c r="EF87" s="277"/>
      <c r="EG87" s="277"/>
      <c r="EH87" s="277"/>
      <c r="EI87" s="277"/>
      <c r="EJ87" s="277"/>
      <c r="EK87" s="277"/>
      <c r="EL87" s="88">
        <f t="shared" ref="EL87:EM87" si="348">EL58*1</f>
        <v>0</v>
      </c>
      <c r="EM87" s="88">
        <f t="shared" si="348"/>
        <v>0</v>
      </c>
      <c r="EN87" s="88">
        <f t="shared" si="164"/>
        <v>0</v>
      </c>
      <c r="EO87" s="88">
        <f t="shared" si="165"/>
        <v>0</v>
      </c>
      <c r="EP87" s="88">
        <f t="shared" si="166"/>
        <v>0</v>
      </c>
      <c r="EQ87" s="88">
        <f t="shared" si="167"/>
        <v>0</v>
      </c>
      <c r="ER87" s="89">
        <f t="shared" si="168"/>
        <v>0</v>
      </c>
      <c r="ES87" s="88">
        <f t="shared" ref="ES87:ET87" si="349">ES58*1</f>
        <v>0</v>
      </c>
      <c r="ET87" s="88">
        <f t="shared" si="349"/>
        <v>0</v>
      </c>
      <c r="EU87" s="88">
        <f t="shared" si="170"/>
        <v>0</v>
      </c>
      <c r="EV87" s="88">
        <f t="shared" si="171"/>
        <v>0</v>
      </c>
      <c r="EW87" s="88">
        <f t="shared" si="172"/>
        <v>0</v>
      </c>
      <c r="EX87" s="88">
        <f t="shared" si="173"/>
        <v>0</v>
      </c>
      <c r="EY87" s="89">
        <f t="shared" si="174"/>
        <v>0</v>
      </c>
      <c r="EZ87" s="88">
        <f t="shared" ref="EZ87:FA87" si="350">EZ58*1</f>
        <v>0</v>
      </c>
      <c r="FA87" s="88">
        <f t="shared" si="350"/>
        <v>0</v>
      </c>
      <c r="FB87" s="88">
        <f t="shared" si="176"/>
        <v>0</v>
      </c>
      <c r="FC87" s="88">
        <f t="shared" si="177"/>
        <v>0</v>
      </c>
      <c r="FD87" s="88">
        <f t="shared" si="178"/>
        <v>0</v>
      </c>
      <c r="FE87" s="88">
        <f t="shared" si="179"/>
        <v>0</v>
      </c>
      <c r="FF87" s="89">
        <f t="shared" si="180"/>
        <v>0</v>
      </c>
      <c r="FG87" s="277"/>
      <c r="FH87" s="277"/>
      <c r="FI87" s="277"/>
      <c r="FJ87" s="277"/>
      <c r="FK87" s="277"/>
      <c r="FL87" s="277"/>
      <c r="FM87" s="277"/>
      <c r="FN87" s="88">
        <f t="shared" ref="FN87:FO87" si="351">FN58*1</f>
        <v>0</v>
      </c>
      <c r="FO87" s="88">
        <f t="shared" si="351"/>
        <v>0</v>
      </c>
      <c r="FP87" s="88">
        <f t="shared" si="182"/>
        <v>0</v>
      </c>
      <c r="FQ87" s="88">
        <f t="shared" si="183"/>
        <v>0</v>
      </c>
      <c r="FR87" s="88">
        <f t="shared" si="184"/>
        <v>0</v>
      </c>
      <c r="FS87" s="88">
        <f t="shared" si="185"/>
        <v>0</v>
      </c>
      <c r="FT87" s="89">
        <f t="shared" si="186"/>
        <v>0</v>
      </c>
      <c r="FU87" s="88">
        <f t="shared" ref="FU87:FV87" si="352">FU58*1</f>
        <v>0</v>
      </c>
      <c r="FV87" s="88">
        <f t="shared" si="352"/>
        <v>0</v>
      </c>
      <c r="FW87" s="88">
        <f t="shared" si="188"/>
        <v>0</v>
      </c>
      <c r="FX87" s="88">
        <f t="shared" si="189"/>
        <v>0</v>
      </c>
      <c r="FY87" s="88">
        <f t="shared" si="190"/>
        <v>0</v>
      </c>
      <c r="FZ87" s="88">
        <f t="shared" si="191"/>
        <v>0</v>
      </c>
      <c r="GA87" s="89">
        <f t="shared" si="192"/>
        <v>0</v>
      </c>
      <c r="GB87" s="88">
        <f t="shared" ref="GB87:GC87" si="353">GB58*1</f>
        <v>0</v>
      </c>
      <c r="GC87" s="88">
        <f t="shared" si="353"/>
        <v>0</v>
      </c>
      <c r="GD87" s="88">
        <f t="shared" si="194"/>
        <v>0</v>
      </c>
      <c r="GE87" s="88">
        <f t="shared" si="195"/>
        <v>0</v>
      </c>
      <c r="GF87" s="88">
        <f t="shared" si="196"/>
        <v>0</v>
      </c>
      <c r="GG87" s="88">
        <f t="shared" si="197"/>
        <v>0</v>
      </c>
      <c r="GH87" s="89">
        <f t="shared" si="198"/>
        <v>0</v>
      </c>
      <c r="GI87" s="277"/>
      <c r="GJ87" s="277"/>
      <c r="GK87" s="277"/>
      <c r="GL87" s="277"/>
      <c r="GM87" s="277"/>
      <c r="GN87" s="277"/>
      <c r="GO87" s="277"/>
      <c r="GP87" s="88">
        <f t="shared" ref="GP87:GQ87" si="354">GP58*1</f>
        <v>0</v>
      </c>
      <c r="GQ87" s="88">
        <f t="shared" si="354"/>
        <v>0</v>
      </c>
      <c r="GR87" s="88">
        <f t="shared" si="200"/>
        <v>0</v>
      </c>
      <c r="GS87" s="88">
        <f t="shared" si="201"/>
        <v>0</v>
      </c>
      <c r="GT87" s="88">
        <f t="shared" si="202"/>
        <v>0</v>
      </c>
      <c r="GU87" s="88">
        <f t="shared" si="203"/>
        <v>0</v>
      </c>
      <c r="GV87" s="89">
        <f t="shared" si="204"/>
        <v>0</v>
      </c>
      <c r="GW87" s="88">
        <f t="shared" ref="GW87:GX87" si="355">GW58*1</f>
        <v>0</v>
      </c>
      <c r="GX87" s="88">
        <f t="shared" si="355"/>
        <v>0</v>
      </c>
      <c r="GY87" s="88">
        <f t="shared" si="206"/>
        <v>0</v>
      </c>
      <c r="GZ87" s="88">
        <f t="shared" si="207"/>
        <v>0</v>
      </c>
      <c r="HA87" s="88">
        <f t="shared" si="208"/>
        <v>0</v>
      </c>
      <c r="HB87" s="88">
        <f t="shared" si="209"/>
        <v>0</v>
      </c>
      <c r="HC87" s="89">
        <f t="shared" si="210"/>
        <v>0</v>
      </c>
      <c r="HD87" s="88">
        <f t="shared" ref="HD87:HE87" si="356">HD58*1</f>
        <v>0</v>
      </c>
      <c r="HE87" s="88">
        <f t="shared" si="356"/>
        <v>0</v>
      </c>
      <c r="HF87" s="88">
        <f t="shared" si="212"/>
        <v>0</v>
      </c>
      <c r="HG87" s="88">
        <f t="shared" si="213"/>
        <v>0</v>
      </c>
      <c r="HH87" s="88">
        <f t="shared" si="214"/>
        <v>0</v>
      </c>
      <c r="HI87" s="88">
        <f t="shared" si="215"/>
        <v>0</v>
      </c>
      <c r="HJ87" s="89">
        <f t="shared" si="216"/>
        <v>0</v>
      </c>
    </row>
    <row r="88" spans="1:218" ht="21.75" customHeight="1" x14ac:dyDescent="0.6">
      <c r="A88" s="90" t="s">
        <v>173</v>
      </c>
      <c r="B88" s="88">
        <f t="shared" ref="B88:C88" si="357">B59*1</f>
        <v>108</v>
      </c>
      <c r="C88" s="88">
        <f t="shared" si="357"/>
        <v>21</v>
      </c>
      <c r="D88" s="88">
        <f t="shared" si="50"/>
        <v>0</v>
      </c>
      <c r="E88" s="88">
        <f t="shared" si="51"/>
        <v>0</v>
      </c>
      <c r="F88" s="88">
        <f t="shared" si="52"/>
        <v>2.5</v>
      </c>
      <c r="G88" s="88">
        <f t="shared" si="53"/>
        <v>0.93</v>
      </c>
      <c r="H88" s="89">
        <f t="shared" si="54"/>
        <v>132.43</v>
      </c>
      <c r="I88" s="88">
        <f t="shared" ref="I88:J88" si="358">I59*1</f>
        <v>179</v>
      </c>
      <c r="J88" s="88">
        <f t="shared" si="358"/>
        <v>57</v>
      </c>
      <c r="K88" s="88">
        <f t="shared" si="56"/>
        <v>0</v>
      </c>
      <c r="L88" s="88">
        <f t="shared" si="57"/>
        <v>0</v>
      </c>
      <c r="M88" s="88">
        <f t="shared" si="58"/>
        <v>2.5</v>
      </c>
      <c r="N88" s="88">
        <f t="shared" si="59"/>
        <v>0.93</v>
      </c>
      <c r="O88" s="89">
        <f t="shared" si="60"/>
        <v>239.43</v>
      </c>
      <c r="P88" s="88">
        <f t="shared" ref="P88:Q88" si="359">P59*1</f>
        <v>86</v>
      </c>
      <c r="Q88" s="88">
        <f t="shared" si="359"/>
        <v>37</v>
      </c>
      <c r="R88" s="88">
        <f t="shared" si="62"/>
        <v>0</v>
      </c>
      <c r="S88" s="88">
        <f t="shared" si="63"/>
        <v>0</v>
      </c>
      <c r="T88" s="88">
        <f t="shared" si="64"/>
        <v>5</v>
      </c>
      <c r="U88" s="88">
        <f t="shared" si="65"/>
        <v>0</v>
      </c>
      <c r="V88" s="89">
        <f t="shared" si="66"/>
        <v>128</v>
      </c>
      <c r="W88" s="88">
        <f t="shared" ref="W88:X88" si="360">W59*1</f>
        <v>0</v>
      </c>
      <c r="X88" s="88">
        <f t="shared" si="360"/>
        <v>0</v>
      </c>
      <c r="Y88" s="88">
        <f t="shared" si="68"/>
        <v>0</v>
      </c>
      <c r="Z88" s="88">
        <f t="shared" si="69"/>
        <v>0</v>
      </c>
      <c r="AA88" s="88">
        <f t="shared" si="70"/>
        <v>0</v>
      </c>
      <c r="AB88" s="88">
        <f t="shared" si="71"/>
        <v>0</v>
      </c>
      <c r="AC88" s="89">
        <f t="shared" si="72"/>
        <v>0</v>
      </c>
      <c r="AD88" s="88">
        <f t="shared" ref="AD88:AE88" si="361">AD59*1</f>
        <v>200</v>
      </c>
      <c r="AE88" s="88">
        <f t="shared" si="361"/>
        <v>69</v>
      </c>
      <c r="AF88" s="88">
        <f t="shared" si="74"/>
        <v>2.1</v>
      </c>
      <c r="AG88" s="88">
        <f t="shared" si="75"/>
        <v>0</v>
      </c>
      <c r="AH88" s="88">
        <f t="shared" si="76"/>
        <v>0</v>
      </c>
      <c r="AI88" s="88">
        <f t="shared" si="77"/>
        <v>0</v>
      </c>
      <c r="AJ88" s="89">
        <f t="shared" si="78"/>
        <v>271.10000000000002</v>
      </c>
      <c r="AK88" s="88">
        <f t="shared" ref="AK88:AL88" si="362">AK59*1</f>
        <v>586</v>
      </c>
      <c r="AL88" s="88">
        <f t="shared" si="362"/>
        <v>207</v>
      </c>
      <c r="AM88" s="88">
        <f t="shared" si="80"/>
        <v>4.2</v>
      </c>
      <c r="AN88" s="88">
        <f t="shared" si="81"/>
        <v>1.5</v>
      </c>
      <c r="AO88" s="88">
        <f t="shared" si="82"/>
        <v>62.5</v>
      </c>
      <c r="AP88" s="88">
        <f t="shared" si="83"/>
        <v>0.93</v>
      </c>
      <c r="AQ88" s="89">
        <f t="shared" si="84"/>
        <v>862.13</v>
      </c>
      <c r="AR88" s="88">
        <f t="shared" ref="AR88:AS88" si="363">AR59*1</f>
        <v>74</v>
      </c>
      <c r="AS88" s="88">
        <f t="shared" si="363"/>
        <v>21</v>
      </c>
      <c r="AT88" s="88">
        <f t="shared" si="86"/>
        <v>0</v>
      </c>
      <c r="AU88" s="88">
        <f t="shared" si="87"/>
        <v>0</v>
      </c>
      <c r="AV88" s="88">
        <f t="shared" si="88"/>
        <v>2.5</v>
      </c>
      <c r="AW88" s="88">
        <f t="shared" si="89"/>
        <v>0</v>
      </c>
      <c r="AX88" s="89">
        <f t="shared" si="90"/>
        <v>97.5</v>
      </c>
      <c r="AY88" s="88">
        <f t="shared" ref="AY88:AZ88" si="364">AY59*1</f>
        <v>187</v>
      </c>
      <c r="AZ88" s="88">
        <f t="shared" si="364"/>
        <v>76</v>
      </c>
      <c r="BA88" s="88">
        <f t="shared" si="92"/>
        <v>0</v>
      </c>
      <c r="BB88" s="88">
        <f t="shared" si="93"/>
        <v>0</v>
      </c>
      <c r="BC88" s="88">
        <f t="shared" si="94"/>
        <v>15</v>
      </c>
      <c r="BD88" s="88">
        <f t="shared" si="95"/>
        <v>0.93</v>
      </c>
      <c r="BE88" s="89">
        <f t="shared" si="96"/>
        <v>278.93</v>
      </c>
      <c r="BF88" s="88">
        <f t="shared" ref="BF88:BG88" si="365">BF59*1</f>
        <v>18</v>
      </c>
      <c r="BG88" s="88">
        <f t="shared" si="365"/>
        <v>1</v>
      </c>
      <c r="BH88" s="88">
        <f t="shared" si="98"/>
        <v>0</v>
      </c>
      <c r="BI88" s="88">
        <f t="shared" si="99"/>
        <v>0</v>
      </c>
      <c r="BJ88" s="88">
        <f t="shared" si="100"/>
        <v>2.5</v>
      </c>
      <c r="BK88" s="88">
        <f t="shared" si="101"/>
        <v>0</v>
      </c>
      <c r="BL88" s="89">
        <f t="shared" si="102"/>
        <v>21.5</v>
      </c>
      <c r="BM88" s="88">
        <f t="shared" ref="BM88:BN88" si="366">BM59*1</f>
        <v>218</v>
      </c>
      <c r="BN88" s="88">
        <f t="shared" si="366"/>
        <v>52</v>
      </c>
      <c r="BO88" s="88">
        <f t="shared" si="104"/>
        <v>0</v>
      </c>
      <c r="BP88" s="88">
        <f t="shared" si="105"/>
        <v>0</v>
      </c>
      <c r="BQ88" s="88">
        <f t="shared" si="106"/>
        <v>7.5</v>
      </c>
      <c r="BR88" s="88">
        <f t="shared" si="107"/>
        <v>0</v>
      </c>
      <c r="BS88" s="89">
        <f t="shared" si="108"/>
        <v>277.5</v>
      </c>
      <c r="BT88" s="88">
        <f t="shared" ref="BT88:BU88" si="367">BT59*1</f>
        <v>268</v>
      </c>
      <c r="BU88" s="88">
        <f t="shared" si="367"/>
        <v>43</v>
      </c>
      <c r="BV88" s="88">
        <f t="shared" si="110"/>
        <v>0</v>
      </c>
      <c r="BW88" s="88">
        <f t="shared" si="111"/>
        <v>0</v>
      </c>
      <c r="BX88" s="88">
        <f t="shared" si="112"/>
        <v>0</v>
      </c>
      <c r="BY88" s="88">
        <f t="shared" si="113"/>
        <v>0</v>
      </c>
      <c r="BZ88" s="89">
        <f t="shared" si="114"/>
        <v>311</v>
      </c>
      <c r="CA88" s="88">
        <f t="shared" ref="CA88:CB88" si="368">CA59*1</f>
        <v>0</v>
      </c>
      <c r="CB88" s="88">
        <f t="shared" si="368"/>
        <v>0</v>
      </c>
      <c r="CC88" s="88">
        <f t="shared" si="116"/>
        <v>0</v>
      </c>
      <c r="CD88" s="88">
        <f t="shared" si="117"/>
        <v>0</v>
      </c>
      <c r="CE88" s="88">
        <f t="shared" si="118"/>
        <v>0</v>
      </c>
      <c r="CF88" s="88">
        <f t="shared" si="119"/>
        <v>0</v>
      </c>
      <c r="CG88" s="89">
        <f t="shared" si="120"/>
        <v>0</v>
      </c>
      <c r="CH88" s="88">
        <f t="shared" ref="CH88:CI88" si="369">CH59*1</f>
        <v>85</v>
      </c>
      <c r="CI88" s="88">
        <f t="shared" si="369"/>
        <v>26</v>
      </c>
      <c r="CJ88" s="88">
        <f t="shared" si="122"/>
        <v>0</v>
      </c>
      <c r="CK88" s="88">
        <f t="shared" si="123"/>
        <v>0</v>
      </c>
      <c r="CL88" s="88">
        <f t="shared" si="124"/>
        <v>2.5</v>
      </c>
      <c r="CM88" s="88">
        <f t="shared" si="125"/>
        <v>0.93</v>
      </c>
      <c r="CN88" s="89">
        <f t="shared" si="126"/>
        <v>114.43</v>
      </c>
      <c r="CO88" s="88">
        <f t="shared" ref="CO88:CP88" si="370">CO59*1</f>
        <v>405</v>
      </c>
      <c r="CP88" s="88">
        <f t="shared" si="370"/>
        <v>94</v>
      </c>
      <c r="CQ88" s="88">
        <f t="shared" si="128"/>
        <v>4.2</v>
      </c>
      <c r="CR88" s="88">
        <f t="shared" si="129"/>
        <v>0</v>
      </c>
      <c r="CS88" s="88">
        <f t="shared" si="130"/>
        <v>17.5</v>
      </c>
      <c r="CT88" s="88">
        <f t="shared" si="131"/>
        <v>2.79</v>
      </c>
      <c r="CU88" s="89">
        <f t="shared" si="132"/>
        <v>523.49</v>
      </c>
      <c r="CV88" s="88">
        <f t="shared" ref="CV88:CW88" si="371">CV59*1</f>
        <v>0</v>
      </c>
      <c r="CW88" s="88">
        <f t="shared" si="371"/>
        <v>0</v>
      </c>
      <c r="CX88" s="88">
        <f t="shared" si="134"/>
        <v>0</v>
      </c>
      <c r="CY88" s="88">
        <f t="shared" si="135"/>
        <v>0</v>
      </c>
      <c r="CZ88" s="88">
        <f t="shared" si="136"/>
        <v>0</v>
      </c>
      <c r="DA88" s="88">
        <f t="shared" si="137"/>
        <v>0</v>
      </c>
      <c r="DB88" s="89">
        <f t="shared" si="138"/>
        <v>0</v>
      </c>
      <c r="DC88" s="88">
        <f t="shared" ref="DC88:DD88" si="372">DC59*1</f>
        <v>0</v>
      </c>
      <c r="DD88" s="88">
        <f t="shared" si="372"/>
        <v>0</v>
      </c>
      <c r="DE88" s="88">
        <f t="shared" si="140"/>
        <v>0</v>
      </c>
      <c r="DF88" s="88">
        <f t="shared" si="141"/>
        <v>0</v>
      </c>
      <c r="DG88" s="88">
        <f t="shared" si="142"/>
        <v>0</v>
      </c>
      <c r="DH88" s="88">
        <f t="shared" si="143"/>
        <v>0</v>
      </c>
      <c r="DI88" s="89">
        <f t="shared" si="144"/>
        <v>0</v>
      </c>
      <c r="DJ88" s="88">
        <f t="shared" ref="DJ88:DK88" si="373">DJ59*1</f>
        <v>0</v>
      </c>
      <c r="DK88" s="88">
        <f t="shared" si="373"/>
        <v>0</v>
      </c>
      <c r="DL88" s="88">
        <f t="shared" si="146"/>
        <v>0</v>
      </c>
      <c r="DM88" s="88">
        <f t="shared" si="147"/>
        <v>0</v>
      </c>
      <c r="DN88" s="88">
        <f t="shared" si="148"/>
        <v>0</v>
      </c>
      <c r="DO88" s="88">
        <f t="shared" si="149"/>
        <v>0</v>
      </c>
      <c r="DP88" s="89">
        <f t="shared" si="150"/>
        <v>0</v>
      </c>
      <c r="DQ88" s="88">
        <f t="shared" ref="DQ88:DR88" si="374">DQ59*1</f>
        <v>0</v>
      </c>
      <c r="DR88" s="88">
        <f t="shared" si="374"/>
        <v>0</v>
      </c>
      <c r="DS88" s="88">
        <f t="shared" si="152"/>
        <v>0</v>
      </c>
      <c r="DT88" s="88">
        <f t="shared" si="153"/>
        <v>0</v>
      </c>
      <c r="DU88" s="88">
        <f t="shared" si="154"/>
        <v>0</v>
      </c>
      <c r="DV88" s="88">
        <f t="shared" si="155"/>
        <v>0</v>
      </c>
      <c r="DW88" s="89">
        <f t="shared" si="156"/>
        <v>0</v>
      </c>
      <c r="DX88" s="88">
        <f t="shared" ref="DX88:DY88" si="375">DX59*1</f>
        <v>0</v>
      </c>
      <c r="DY88" s="88">
        <f t="shared" si="375"/>
        <v>0</v>
      </c>
      <c r="DZ88" s="88">
        <f t="shared" si="158"/>
        <v>0</v>
      </c>
      <c r="EA88" s="88">
        <f t="shared" si="159"/>
        <v>0</v>
      </c>
      <c r="EB88" s="88">
        <f t="shared" si="160"/>
        <v>0</v>
      </c>
      <c r="EC88" s="88">
        <f t="shared" si="161"/>
        <v>0</v>
      </c>
      <c r="ED88" s="89">
        <f t="shared" si="162"/>
        <v>0</v>
      </c>
      <c r="EE88" s="277"/>
      <c r="EF88" s="277"/>
      <c r="EG88" s="277"/>
      <c r="EH88" s="277"/>
      <c r="EI88" s="277"/>
      <c r="EJ88" s="277"/>
      <c r="EK88" s="277"/>
      <c r="EL88" s="88">
        <f t="shared" ref="EL88:EM88" si="376">EL59*1</f>
        <v>0</v>
      </c>
      <c r="EM88" s="88">
        <f t="shared" si="376"/>
        <v>0</v>
      </c>
      <c r="EN88" s="88">
        <f t="shared" si="164"/>
        <v>0</v>
      </c>
      <c r="EO88" s="88">
        <f t="shared" si="165"/>
        <v>0</v>
      </c>
      <c r="EP88" s="88">
        <f t="shared" si="166"/>
        <v>0</v>
      </c>
      <c r="EQ88" s="88">
        <f t="shared" si="167"/>
        <v>0</v>
      </c>
      <c r="ER88" s="89">
        <f t="shared" si="168"/>
        <v>0</v>
      </c>
      <c r="ES88" s="88">
        <f t="shared" ref="ES88:ET88" si="377">ES59*1</f>
        <v>0</v>
      </c>
      <c r="ET88" s="88">
        <f t="shared" si="377"/>
        <v>0</v>
      </c>
      <c r="EU88" s="88">
        <f t="shared" si="170"/>
        <v>0</v>
      </c>
      <c r="EV88" s="88">
        <f t="shared" si="171"/>
        <v>0</v>
      </c>
      <c r="EW88" s="88">
        <f t="shared" si="172"/>
        <v>0</v>
      </c>
      <c r="EX88" s="88">
        <f t="shared" si="173"/>
        <v>0</v>
      </c>
      <c r="EY88" s="89">
        <f t="shared" si="174"/>
        <v>0</v>
      </c>
      <c r="EZ88" s="88">
        <f t="shared" ref="EZ88:FA88" si="378">EZ59*1</f>
        <v>0</v>
      </c>
      <c r="FA88" s="88">
        <f t="shared" si="378"/>
        <v>0</v>
      </c>
      <c r="FB88" s="88">
        <f t="shared" si="176"/>
        <v>0</v>
      </c>
      <c r="FC88" s="88">
        <f t="shared" si="177"/>
        <v>0</v>
      </c>
      <c r="FD88" s="88">
        <f t="shared" si="178"/>
        <v>0</v>
      </c>
      <c r="FE88" s="88">
        <f t="shared" si="179"/>
        <v>0</v>
      </c>
      <c r="FF88" s="89">
        <f t="shared" si="180"/>
        <v>0</v>
      </c>
      <c r="FG88" s="277"/>
      <c r="FH88" s="277"/>
      <c r="FI88" s="277"/>
      <c r="FJ88" s="277"/>
      <c r="FK88" s="277"/>
      <c r="FL88" s="277"/>
      <c r="FM88" s="277"/>
      <c r="FN88" s="88">
        <f t="shared" ref="FN88:FO88" si="379">FN59*1</f>
        <v>0</v>
      </c>
      <c r="FO88" s="88">
        <f t="shared" si="379"/>
        <v>0</v>
      </c>
      <c r="FP88" s="88">
        <f t="shared" si="182"/>
        <v>0</v>
      </c>
      <c r="FQ88" s="88">
        <f t="shared" si="183"/>
        <v>0</v>
      </c>
      <c r="FR88" s="88">
        <f t="shared" si="184"/>
        <v>0</v>
      </c>
      <c r="FS88" s="88">
        <f t="shared" si="185"/>
        <v>0</v>
      </c>
      <c r="FT88" s="89">
        <f t="shared" si="186"/>
        <v>0</v>
      </c>
      <c r="FU88" s="88">
        <f t="shared" ref="FU88:FV88" si="380">FU59*1</f>
        <v>0</v>
      </c>
      <c r="FV88" s="88">
        <f t="shared" si="380"/>
        <v>0</v>
      </c>
      <c r="FW88" s="88">
        <f t="shared" si="188"/>
        <v>0</v>
      </c>
      <c r="FX88" s="88">
        <f t="shared" si="189"/>
        <v>0</v>
      </c>
      <c r="FY88" s="88">
        <f t="shared" si="190"/>
        <v>0</v>
      </c>
      <c r="FZ88" s="88">
        <f t="shared" si="191"/>
        <v>0</v>
      </c>
      <c r="GA88" s="89">
        <f t="shared" si="192"/>
        <v>0</v>
      </c>
      <c r="GB88" s="88">
        <f t="shared" ref="GB88:GC88" si="381">GB59*1</f>
        <v>0</v>
      </c>
      <c r="GC88" s="88">
        <f t="shared" si="381"/>
        <v>0</v>
      </c>
      <c r="GD88" s="88">
        <f t="shared" si="194"/>
        <v>0</v>
      </c>
      <c r="GE88" s="88">
        <f t="shared" si="195"/>
        <v>0</v>
      </c>
      <c r="GF88" s="88">
        <f t="shared" si="196"/>
        <v>0</v>
      </c>
      <c r="GG88" s="88">
        <f t="shared" si="197"/>
        <v>0</v>
      </c>
      <c r="GH88" s="89">
        <f t="shared" si="198"/>
        <v>0</v>
      </c>
      <c r="GI88" s="277"/>
      <c r="GJ88" s="277"/>
      <c r="GK88" s="277"/>
      <c r="GL88" s="277"/>
      <c r="GM88" s="277"/>
      <c r="GN88" s="277"/>
      <c r="GO88" s="277"/>
      <c r="GP88" s="88">
        <f t="shared" ref="GP88:GQ88" si="382">GP59*1</f>
        <v>0</v>
      </c>
      <c r="GQ88" s="88">
        <f t="shared" si="382"/>
        <v>0</v>
      </c>
      <c r="GR88" s="88">
        <f t="shared" si="200"/>
        <v>0</v>
      </c>
      <c r="GS88" s="88">
        <f t="shared" si="201"/>
        <v>0</v>
      </c>
      <c r="GT88" s="88">
        <f t="shared" si="202"/>
        <v>0</v>
      </c>
      <c r="GU88" s="88">
        <f t="shared" si="203"/>
        <v>0</v>
      </c>
      <c r="GV88" s="89">
        <f t="shared" si="204"/>
        <v>0</v>
      </c>
      <c r="GW88" s="88">
        <f t="shared" ref="GW88:GX88" si="383">GW59*1</f>
        <v>0</v>
      </c>
      <c r="GX88" s="88">
        <f t="shared" si="383"/>
        <v>0</v>
      </c>
      <c r="GY88" s="88">
        <f t="shared" si="206"/>
        <v>0</v>
      </c>
      <c r="GZ88" s="88">
        <f t="shared" si="207"/>
        <v>0</v>
      </c>
      <c r="HA88" s="88">
        <f t="shared" si="208"/>
        <v>0</v>
      </c>
      <c r="HB88" s="88">
        <f t="shared" si="209"/>
        <v>0</v>
      </c>
      <c r="HC88" s="89">
        <f t="shared" si="210"/>
        <v>0</v>
      </c>
      <c r="HD88" s="88">
        <f t="shared" ref="HD88:HE88" si="384">HD59*1</f>
        <v>0</v>
      </c>
      <c r="HE88" s="88">
        <f t="shared" si="384"/>
        <v>0</v>
      </c>
      <c r="HF88" s="88">
        <f t="shared" si="212"/>
        <v>0</v>
      </c>
      <c r="HG88" s="88">
        <f t="shared" si="213"/>
        <v>0</v>
      </c>
      <c r="HH88" s="88">
        <f t="shared" si="214"/>
        <v>0</v>
      </c>
      <c r="HI88" s="88">
        <f t="shared" si="215"/>
        <v>0</v>
      </c>
      <c r="HJ88" s="89">
        <f t="shared" si="216"/>
        <v>0</v>
      </c>
    </row>
    <row r="89" spans="1:218" ht="21.75" customHeight="1" x14ac:dyDescent="0.6">
      <c r="A89" s="90" t="s">
        <v>174</v>
      </c>
      <c r="B89" s="88">
        <f t="shared" ref="B89:C89" si="385">B60*1</f>
        <v>159</v>
      </c>
      <c r="C89" s="88">
        <f t="shared" si="385"/>
        <v>35</v>
      </c>
      <c r="D89" s="88">
        <f t="shared" si="50"/>
        <v>0</v>
      </c>
      <c r="E89" s="88">
        <f t="shared" si="51"/>
        <v>0</v>
      </c>
      <c r="F89" s="88">
        <f t="shared" si="52"/>
        <v>5</v>
      </c>
      <c r="G89" s="88">
        <f t="shared" si="53"/>
        <v>0.93</v>
      </c>
      <c r="H89" s="89">
        <f t="shared" si="54"/>
        <v>199.93</v>
      </c>
      <c r="I89" s="88">
        <f t="shared" ref="I89:J89" si="386">I60*1</f>
        <v>172</v>
      </c>
      <c r="J89" s="88">
        <f t="shared" si="386"/>
        <v>37</v>
      </c>
      <c r="K89" s="88">
        <f t="shared" si="56"/>
        <v>0</v>
      </c>
      <c r="L89" s="88">
        <f t="shared" si="57"/>
        <v>0</v>
      </c>
      <c r="M89" s="88">
        <f t="shared" si="58"/>
        <v>2.5</v>
      </c>
      <c r="N89" s="88">
        <f t="shared" si="59"/>
        <v>0</v>
      </c>
      <c r="O89" s="89">
        <f t="shared" si="60"/>
        <v>211.5</v>
      </c>
      <c r="P89" s="88">
        <f t="shared" ref="P89:Q89" si="387">P60*1</f>
        <v>76</v>
      </c>
      <c r="Q89" s="88">
        <f t="shared" si="387"/>
        <v>35</v>
      </c>
      <c r="R89" s="88">
        <f t="shared" si="62"/>
        <v>0</v>
      </c>
      <c r="S89" s="88">
        <f t="shared" si="63"/>
        <v>0</v>
      </c>
      <c r="T89" s="88">
        <f t="shared" si="64"/>
        <v>2.5</v>
      </c>
      <c r="U89" s="88">
        <f t="shared" si="65"/>
        <v>0</v>
      </c>
      <c r="V89" s="89">
        <f t="shared" si="66"/>
        <v>113.5</v>
      </c>
      <c r="W89" s="88">
        <f t="shared" ref="W89:X89" si="388">W60*1</f>
        <v>0</v>
      </c>
      <c r="X89" s="88">
        <f t="shared" si="388"/>
        <v>0</v>
      </c>
      <c r="Y89" s="88">
        <f t="shared" si="68"/>
        <v>0</v>
      </c>
      <c r="Z89" s="88">
        <f t="shared" si="69"/>
        <v>0</v>
      </c>
      <c r="AA89" s="88">
        <f t="shared" si="70"/>
        <v>0</v>
      </c>
      <c r="AB89" s="88">
        <f t="shared" si="71"/>
        <v>0</v>
      </c>
      <c r="AC89" s="89">
        <f t="shared" si="72"/>
        <v>0</v>
      </c>
      <c r="AD89" s="88">
        <f t="shared" ref="AD89:AE89" si="389">AD60*1</f>
        <v>183</v>
      </c>
      <c r="AE89" s="88">
        <f t="shared" si="389"/>
        <v>63</v>
      </c>
      <c r="AF89" s="88">
        <f t="shared" si="74"/>
        <v>0</v>
      </c>
      <c r="AG89" s="88">
        <f t="shared" si="75"/>
        <v>0</v>
      </c>
      <c r="AH89" s="88">
        <f t="shared" si="76"/>
        <v>2.5</v>
      </c>
      <c r="AI89" s="88">
        <f t="shared" si="77"/>
        <v>0</v>
      </c>
      <c r="AJ89" s="89">
        <f t="shared" si="78"/>
        <v>248.5</v>
      </c>
      <c r="AK89" s="88">
        <f t="shared" ref="AK89:AL89" si="390">AK60*1</f>
        <v>637</v>
      </c>
      <c r="AL89" s="88">
        <f t="shared" si="390"/>
        <v>189</v>
      </c>
      <c r="AM89" s="88">
        <f t="shared" si="80"/>
        <v>2.1</v>
      </c>
      <c r="AN89" s="88">
        <f t="shared" si="81"/>
        <v>3</v>
      </c>
      <c r="AO89" s="88">
        <f t="shared" si="82"/>
        <v>57.5</v>
      </c>
      <c r="AP89" s="88">
        <f t="shared" si="83"/>
        <v>0.93</v>
      </c>
      <c r="AQ89" s="89">
        <f t="shared" si="84"/>
        <v>889.53</v>
      </c>
      <c r="AR89" s="88">
        <f t="shared" ref="AR89:AS89" si="391">AR60*1</f>
        <v>80</v>
      </c>
      <c r="AS89" s="88">
        <f t="shared" si="391"/>
        <v>29</v>
      </c>
      <c r="AT89" s="88">
        <f t="shared" si="86"/>
        <v>0</v>
      </c>
      <c r="AU89" s="88">
        <f t="shared" si="87"/>
        <v>0</v>
      </c>
      <c r="AV89" s="88">
        <f t="shared" si="88"/>
        <v>2.5</v>
      </c>
      <c r="AW89" s="88">
        <f t="shared" si="89"/>
        <v>0</v>
      </c>
      <c r="AX89" s="89">
        <f t="shared" si="90"/>
        <v>111.5</v>
      </c>
      <c r="AY89" s="88">
        <f t="shared" ref="AY89:AZ89" si="392">AY60*1</f>
        <v>168</v>
      </c>
      <c r="AZ89" s="88">
        <f t="shared" si="392"/>
        <v>50</v>
      </c>
      <c r="BA89" s="88">
        <f t="shared" si="92"/>
        <v>2.1</v>
      </c>
      <c r="BB89" s="88">
        <f t="shared" si="93"/>
        <v>0</v>
      </c>
      <c r="BC89" s="88">
        <f t="shared" si="94"/>
        <v>10</v>
      </c>
      <c r="BD89" s="88">
        <f t="shared" si="95"/>
        <v>0.93</v>
      </c>
      <c r="BE89" s="89">
        <f t="shared" si="96"/>
        <v>231.03</v>
      </c>
      <c r="BF89" s="88">
        <f t="shared" ref="BF89:BG89" si="393">BF60*1</f>
        <v>15</v>
      </c>
      <c r="BG89" s="88">
        <f t="shared" si="393"/>
        <v>3</v>
      </c>
      <c r="BH89" s="88">
        <f t="shared" si="98"/>
        <v>0</v>
      </c>
      <c r="BI89" s="88">
        <f t="shared" si="99"/>
        <v>0</v>
      </c>
      <c r="BJ89" s="88">
        <f t="shared" si="100"/>
        <v>5</v>
      </c>
      <c r="BK89" s="88">
        <f t="shared" si="101"/>
        <v>0</v>
      </c>
      <c r="BL89" s="89">
        <f t="shared" si="102"/>
        <v>23</v>
      </c>
      <c r="BM89" s="88">
        <f t="shared" ref="BM89:BN89" si="394">BM60*1</f>
        <v>232</v>
      </c>
      <c r="BN89" s="88">
        <f t="shared" si="394"/>
        <v>56</v>
      </c>
      <c r="BO89" s="88">
        <f t="shared" si="104"/>
        <v>0</v>
      </c>
      <c r="BP89" s="88">
        <f t="shared" si="105"/>
        <v>0</v>
      </c>
      <c r="BQ89" s="88">
        <f t="shared" si="106"/>
        <v>5</v>
      </c>
      <c r="BR89" s="88">
        <f t="shared" si="107"/>
        <v>0</v>
      </c>
      <c r="BS89" s="89">
        <f t="shared" si="108"/>
        <v>293</v>
      </c>
      <c r="BT89" s="88">
        <f t="shared" ref="BT89:BU89" si="395">BT60*1</f>
        <v>268</v>
      </c>
      <c r="BU89" s="88">
        <f t="shared" si="395"/>
        <v>43</v>
      </c>
      <c r="BV89" s="88">
        <f t="shared" si="110"/>
        <v>0</v>
      </c>
      <c r="BW89" s="88">
        <f t="shared" si="111"/>
        <v>0</v>
      </c>
      <c r="BX89" s="88">
        <f t="shared" si="112"/>
        <v>0</v>
      </c>
      <c r="BY89" s="88">
        <f t="shared" si="113"/>
        <v>0</v>
      </c>
      <c r="BZ89" s="89">
        <f t="shared" si="114"/>
        <v>311</v>
      </c>
      <c r="CA89" s="88">
        <f t="shared" ref="CA89:CB89" si="396">CA60*1</f>
        <v>0</v>
      </c>
      <c r="CB89" s="88">
        <f t="shared" si="396"/>
        <v>0</v>
      </c>
      <c r="CC89" s="88">
        <f t="shared" si="116"/>
        <v>0</v>
      </c>
      <c r="CD89" s="88">
        <f t="shared" si="117"/>
        <v>0</v>
      </c>
      <c r="CE89" s="88">
        <f t="shared" si="118"/>
        <v>0</v>
      </c>
      <c r="CF89" s="88">
        <f t="shared" si="119"/>
        <v>0</v>
      </c>
      <c r="CG89" s="89">
        <f t="shared" si="120"/>
        <v>0</v>
      </c>
      <c r="CH89" s="88">
        <f t="shared" ref="CH89:CI89" si="397">CH60*1</f>
        <v>99</v>
      </c>
      <c r="CI89" s="88">
        <f t="shared" si="397"/>
        <v>28</v>
      </c>
      <c r="CJ89" s="88">
        <f t="shared" si="122"/>
        <v>0</v>
      </c>
      <c r="CK89" s="88">
        <f t="shared" si="123"/>
        <v>0</v>
      </c>
      <c r="CL89" s="88">
        <f t="shared" si="124"/>
        <v>5</v>
      </c>
      <c r="CM89" s="88">
        <f t="shared" si="125"/>
        <v>0</v>
      </c>
      <c r="CN89" s="89">
        <f t="shared" si="126"/>
        <v>132</v>
      </c>
      <c r="CO89" s="88">
        <f t="shared" ref="CO89:CP89" si="398">CO60*1</f>
        <v>415</v>
      </c>
      <c r="CP89" s="88">
        <f t="shared" si="398"/>
        <v>85</v>
      </c>
      <c r="CQ89" s="88">
        <f t="shared" si="128"/>
        <v>4.2</v>
      </c>
      <c r="CR89" s="88">
        <f t="shared" si="129"/>
        <v>3</v>
      </c>
      <c r="CS89" s="88">
        <f t="shared" si="130"/>
        <v>5</v>
      </c>
      <c r="CT89" s="88">
        <f t="shared" si="131"/>
        <v>0.93</v>
      </c>
      <c r="CU89" s="89">
        <f t="shared" si="132"/>
        <v>513.13</v>
      </c>
      <c r="CV89" s="88">
        <f t="shared" ref="CV89:CW89" si="399">CV60*1</f>
        <v>0</v>
      </c>
      <c r="CW89" s="88">
        <f t="shared" si="399"/>
        <v>0</v>
      </c>
      <c r="CX89" s="88">
        <f t="shared" si="134"/>
        <v>0</v>
      </c>
      <c r="CY89" s="88">
        <f t="shared" si="135"/>
        <v>0</v>
      </c>
      <c r="CZ89" s="88">
        <f t="shared" si="136"/>
        <v>0</v>
      </c>
      <c r="DA89" s="88">
        <f t="shared" si="137"/>
        <v>0</v>
      </c>
      <c r="DB89" s="89">
        <f t="shared" si="138"/>
        <v>0</v>
      </c>
      <c r="DC89" s="88">
        <f t="shared" ref="DC89:DD89" si="400">DC60*1</f>
        <v>0</v>
      </c>
      <c r="DD89" s="88">
        <f t="shared" si="400"/>
        <v>0</v>
      </c>
      <c r="DE89" s="88">
        <f t="shared" si="140"/>
        <v>0</v>
      </c>
      <c r="DF89" s="88">
        <f t="shared" si="141"/>
        <v>0</v>
      </c>
      <c r="DG89" s="88">
        <f t="shared" si="142"/>
        <v>0</v>
      </c>
      <c r="DH89" s="88">
        <f t="shared" si="143"/>
        <v>0</v>
      </c>
      <c r="DI89" s="89">
        <f t="shared" si="144"/>
        <v>0</v>
      </c>
      <c r="DJ89" s="88">
        <f t="shared" ref="DJ89:DK89" si="401">DJ60*1</f>
        <v>0</v>
      </c>
      <c r="DK89" s="88">
        <f t="shared" si="401"/>
        <v>0</v>
      </c>
      <c r="DL89" s="88">
        <f t="shared" si="146"/>
        <v>0</v>
      </c>
      <c r="DM89" s="88">
        <f t="shared" si="147"/>
        <v>0</v>
      </c>
      <c r="DN89" s="88">
        <f t="shared" si="148"/>
        <v>0</v>
      </c>
      <c r="DO89" s="88">
        <f t="shared" si="149"/>
        <v>0</v>
      </c>
      <c r="DP89" s="89">
        <f t="shared" si="150"/>
        <v>0</v>
      </c>
      <c r="DQ89" s="88">
        <f t="shared" ref="DQ89:DR89" si="402">DQ60*1</f>
        <v>0</v>
      </c>
      <c r="DR89" s="88">
        <f t="shared" si="402"/>
        <v>0</v>
      </c>
      <c r="DS89" s="88">
        <f t="shared" si="152"/>
        <v>0</v>
      </c>
      <c r="DT89" s="88">
        <f t="shared" si="153"/>
        <v>0</v>
      </c>
      <c r="DU89" s="88">
        <f t="shared" si="154"/>
        <v>0</v>
      </c>
      <c r="DV89" s="88">
        <f t="shared" si="155"/>
        <v>0</v>
      </c>
      <c r="DW89" s="89">
        <f t="shared" si="156"/>
        <v>0</v>
      </c>
      <c r="DX89" s="88">
        <f t="shared" ref="DX89:DY89" si="403">DX60*1</f>
        <v>0</v>
      </c>
      <c r="DY89" s="88">
        <f t="shared" si="403"/>
        <v>0</v>
      </c>
      <c r="DZ89" s="88">
        <f t="shared" si="158"/>
        <v>0</v>
      </c>
      <c r="EA89" s="88">
        <f t="shared" si="159"/>
        <v>0</v>
      </c>
      <c r="EB89" s="88">
        <f t="shared" si="160"/>
        <v>0</v>
      </c>
      <c r="EC89" s="88">
        <f t="shared" si="161"/>
        <v>0</v>
      </c>
      <c r="ED89" s="89">
        <f t="shared" si="162"/>
        <v>0</v>
      </c>
      <c r="EE89" s="277"/>
      <c r="EF89" s="277"/>
      <c r="EG89" s="277"/>
      <c r="EH89" s="277"/>
      <c r="EI89" s="277"/>
      <c r="EJ89" s="277"/>
      <c r="EK89" s="277"/>
      <c r="EL89" s="88">
        <f t="shared" ref="EL89:EM89" si="404">EL60*1</f>
        <v>0</v>
      </c>
      <c r="EM89" s="88">
        <f t="shared" si="404"/>
        <v>0</v>
      </c>
      <c r="EN89" s="88">
        <f t="shared" si="164"/>
        <v>0</v>
      </c>
      <c r="EO89" s="88">
        <f t="shared" si="165"/>
        <v>0</v>
      </c>
      <c r="EP89" s="88">
        <f t="shared" si="166"/>
        <v>0</v>
      </c>
      <c r="EQ89" s="88">
        <f t="shared" si="167"/>
        <v>0</v>
      </c>
      <c r="ER89" s="89">
        <f t="shared" si="168"/>
        <v>0</v>
      </c>
      <c r="ES89" s="88">
        <f t="shared" ref="ES89:ET89" si="405">ES60*1</f>
        <v>0</v>
      </c>
      <c r="ET89" s="88">
        <f t="shared" si="405"/>
        <v>0</v>
      </c>
      <c r="EU89" s="88">
        <f t="shared" si="170"/>
        <v>0</v>
      </c>
      <c r="EV89" s="88">
        <f t="shared" si="171"/>
        <v>0</v>
      </c>
      <c r="EW89" s="88">
        <f t="shared" si="172"/>
        <v>0</v>
      </c>
      <c r="EX89" s="88">
        <f t="shared" si="173"/>
        <v>0</v>
      </c>
      <c r="EY89" s="89">
        <f t="shared" si="174"/>
        <v>0</v>
      </c>
      <c r="EZ89" s="88">
        <f t="shared" ref="EZ89:FA89" si="406">EZ60*1</f>
        <v>0</v>
      </c>
      <c r="FA89" s="88">
        <f t="shared" si="406"/>
        <v>0</v>
      </c>
      <c r="FB89" s="88">
        <f t="shared" si="176"/>
        <v>0</v>
      </c>
      <c r="FC89" s="88">
        <f t="shared" si="177"/>
        <v>0</v>
      </c>
      <c r="FD89" s="88">
        <f t="shared" si="178"/>
        <v>0</v>
      </c>
      <c r="FE89" s="88">
        <f t="shared" si="179"/>
        <v>0</v>
      </c>
      <c r="FF89" s="89">
        <f t="shared" si="180"/>
        <v>0</v>
      </c>
      <c r="FG89" s="277"/>
      <c r="FH89" s="277"/>
      <c r="FI89" s="277"/>
      <c r="FJ89" s="277"/>
      <c r="FK89" s="277"/>
      <c r="FL89" s="277"/>
      <c r="FM89" s="277"/>
      <c r="FN89" s="88">
        <f t="shared" ref="FN89:FO89" si="407">FN60*1</f>
        <v>0</v>
      </c>
      <c r="FO89" s="88">
        <f t="shared" si="407"/>
        <v>0</v>
      </c>
      <c r="FP89" s="88">
        <f t="shared" si="182"/>
        <v>0</v>
      </c>
      <c r="FQ89" s="88">
        <f t="shared" si="183"/>
        <v>0</v>
      </c>
      <c r="FR89" s="88">
        <f t="shared" si="184"/>
        <v>0</v>
      </c>
      <c r="FS89" s="88">
        <f t="shared" si="185"/>
        <v>0</v>
      </c>
      <c r="FT89" s="89">
        <f t="shared" si="186"/>
        <v>0</v>
      </c>
      <c r="FU89" s="88">
        <f t="shared" ref="FU89:FV89" si="408">FU60*1</f>
        <v>0</v>
      </c>
      <c r="FV89" s="88">
        <f t="shared" si="408"/>
        <v>0</v>
      </c>
      <c r="FW89" s="88">
        <f t="shared" si="188"/>
        <v>0</v>
      </c>
      <c r="FX89" s="88">
        <f t="shared" si="189"/>
        <v>0</v>
      </c>
      <c r="FY89" s="88">
        <f t="shared" si="190"/>
        <v>0</v>
      </c>
      <c r="FZ89" s="88">
        <f t="shared" si="191"/>
        <v>0</v>
      </c>
      <c r="GA89" s="89">
        <f t="shared" si="192"/>
        <v>0</v>
      </c>
      <c r="GB89" s="88">
        <f t="shared" ref="GB89:GC89" si="409">GB60*1</f>
        <v>0</v>
      </c>
      <c r="GC89" s="88">
        <f t="shared" si="409"/>
        <v>0</v>
      </c>
      <c r="GD89" s="88">
        <f t="shared" si="194"/>
        <v>0</v>
      </c>
      <c r="GE89" s="88">
        <f t="shared" si="195"/>
        <v>0</v>
      </c>
      <c r="GF89" s="88">
        <f t="shared" si="196"/>
        <v>0</v>
      </c>
      <c r="GG89" s="88">
        <f t="shared" si="197"/>
        <v>0</v>
      </c>
      <c r="GH89" s="89">
        <f t="shared" si="198"/>
        <v>0</v>
      </c>
      <c r="GI89" s="277"/>
      <c r="GJ89" s="277"/>
      <c r="GK89" s="277"/>
      <c r="GL89" s="277"/>
      <c r="GM89" s="277"/>
      <c r="GN89" s="277"/>
      <c r="GO89" s="277"/>
      <c r="GP89" s="88">
        <f t="shared" ref="GP89:GQ89" si="410">GP60*1</f>
        <v>0</v>
      </c>
      <c r="GQ89" s="88">
        <f t="shared" si="410"/>
        <v>0</v>
      </c>
      <c r="GR89" s="88">
        <f t="shared" si="200"/>
        <v>0</v>
      </c>
      <c r="GS89" s="88">
        <f t="shared" si="201"/>
        <v>0</v>
      </c>
      <c r="GT89" s="88">
        <f t="shared" si="202"/>
        <v>0</v>
      </c>
      <c r="GU89" s="88">
        <f t="shared" si="203"/>
        <v>0</v>
      </c>
      <c r="GV89" s="89">
        <f t="shared" si="204"/>
        <v>0</v>
      </c>
      <c r="GW89" s="88">
        <f t="shared" ref="GW89:GX89" si="411">GW60*1</f>
        <v>0</v>
      </c>
      <c r="GX89" s="88">
        <f t="shared" si="411"/>
        <v>0</v>
      </c>
      <c r="GY89" s="88">
        <f t="shared" si="206"/>
        <v>0</v>
      </c>
      <c r="GZ89" s="88">
        <f t="shared" si="207"/>
        <v>0</v>
      </c>
      <c r="HA89" s="88">
        <f t="shared" si="208"/>
        <v>0</v>
      </c>
      <c r="HB89" s="88">
        <f t="shared" si="209"/>
        <v>0</v>
      </c>
      <c r="HC89" s="89">
        <f t="shared" si="210"/>
        <v>0</v>
      </c>
      <c r="HD89" s="88">
        <f t="shared" ref="HD89:HE89" si="412">HD60*1</f>
        <v>0</v>
      </c>
      <c r="HE89" s="88">
        <f t="shared" si="412"/>
        <v>0</v>
      </c>
      <c r="HF89" s="88">
        <f t="shared" si="212"/>
        <v>0</v>
      </c>
      <c r="HG89" s="88">
        <f t="shared" si="213"/>
        <v>0</v>
      </c>
      <c r="HH89" s="88">
        <f t="shared" si="214"/>
        <v>0</v>
      </c>
      <c r="HI89" s="88">
        <f t="shared" si="215"/>
        <v>0</v>
      </c>
      <c r="HJ89" s="89">
        <f t="shared" si="216"/>
        <v>0</v>
      </c>
    </row>
    <row r="90" spans="1:218" ht="21.75" customHeight="1" x14ac:dyDescent="0.6">
      <c r="A90" s="90" t="s">
        <v>175</v>
      </c>
      <c r="B90" s="88">
        <f t="shared" ref="B90:C90" si="413">B61*1</f>
        <v>150</v>
      </c>
      <c r="C90" s="88">
        <f t="shared" si="413"/>
        <v>38</v>
      </c>
      <c r="D90" s="88">
        <f t="shared" si="50"/>
        <v>2.1</v>
      </c>
      <c r="E90" s="88">
        <f t="shared" si="51"/>
        <v>0</v>
      </c>
      <c r="F90" s="88">
        <f t="shared" si="52"/>
        <v>2.5</v>
      </c>
      <c r="G90" s="88">
        <f t="shared" si="53"/>
        <v>2.79</v>
      </c>
      <c r="H90" s="89">
        <f t="shared" si="54"/>
        <v>195.39</v>
      </c>
      <c r="I90" s="88">
        <f t="shared" ref="I90:J90" si="414">I61*1</f>
        <v>158</v>
      </c>
      <c r="J90" s="88">
        <f t="shared" si="414"/>
        <v>40</v>
      </c>
      <c r="K90" s="88">
        <f t="shared" si="56"/>
        <v>0</v>
      </c>
      <c r="L90" s="88">
        <f t="shared" si="57"/>
        <v>0</v>
      </c>
      <c r="M90" s="88">
        <f t="shared" si="58"/>
        <v>0</v>
      </c>
      <c r="N90" s="88">
        <f t="shared" si="59"/>
        <v>0</v>
      </c>
      <c r="O90" s="89">
        <f t="shared" si="60"/>
        <v>198</v>
      </c>
      <c r="P90" s="88">
        <f t="shared" ref="P90:Q90" si="415">P61*1</f>
        <v>90</v>
      </c>
      <c r="Q90" s="88">
        <f t="shared" si="415"/>
        <v>31</v>
      </c>
      <c r="R90" s="88">
        <f t="shared" si="62"/>
        <v>0</v>
      </c>
      <c r="S90" s="88">
        <f t="shared" si="63"/>
        <v>0</v>
      </c>
      <c r="T90" s="88">
        <f t="shared" si="64"/>
        <v>2.5</v>
      </c>
      <c r="U90" s="88">
        <f t="shared" si="65"/>
        <v>0</v>
      </c>
      <c r="V90" s="89">
        <f t="shared" si="66"/>
        <v>123.5</v>
      </c>
      <c r="W90" s="88">
        <f t="shared" ref="W90:X90" si="416">W61*1</f>
        <v>0</v>
      </c>
      <c r="X90" s="88">
        <f t="shared" si="416"/>
        <v>0</v>
      </c>
      <c r="Y90" s="88">
        <f t="shared" si="68"/>
        <v>0</v>
      </c>
      <c r="Z90" s="88">
        <f t="shared" si="69"/>
        <v>0</v>
      </c>
      <c r="AA90" s="88">
        <f t="shared" si="70"/>
        <v>0</v>
      </c>
      <c r="AB90" s="88">
        <f t="shared" si="71"/>
        <v>0</v>
      </c>
      <c r="AC90" s="89">
        <f t="shared" si="72"/>
        <v>0</v>
      </c>
      <c r="AD90" s="88">
        <f t="shared" ref="AD90:AE90" si="417">AD61*1</f>
        <v>201</v>
      </c>
      <c r="AE90" s="88">
        <f t="shared" si="417"/>
        <v>69</v>
      </c>
      <c r="AF90" s="88">
        <f t="shared" si="74"/>
        <v>0</v>
      </c>
      <c r="AG90" s="88">
        <f t="shared" si="75"/>
        <v>0</v>
      </c>
      <c r="AH90" s="88">
        <f t="shared" si="76"/>
        <v>2.5</v>
      </c>
      <c r="AI90" s="88">
        <f t="shared" si="77"/>
        <v>0</v>
      </c>
      <c r="AJ90" s="89">
        <f t="shared" si="78"/>
        <v>272.5</v>
      </c>
      <c r="AK90" s="88">
        <f t="shared" ref="AK90:AL90" si="418">AK61*1</f>
        <v>598</v>
      </c>
      <c r="AL90" s="88">
        <f t="shared" si="418"/>
        <v>202</v>
      </c>
      <c r="AM90" s="88">
        <f t="shared" si="80"/>
        <v>4.2</v>
      </c>
      <c r="AN90" s="88">
        <f t="shared" si="81"/>
        <v>1.5</v>
      </c>
      <c r="AO90" s="88">
        <f t="shared" si="82"/>
        <v>40</v>
      </c>
      <c r="AP90" s="88">
        <f t="shared" si="83"/>
        <v>0.93</v>
      </c>
      <c r="AQ90" s="89">
        <f t="shared" si="84"/>
        <v>846.63</v>
      </c>
      <c r="AR90" s="88">
        <f t="shared" ref="AR90:AS90" si="419">AR61*1</f>
        <v>107</v>
      </c>
      <c r="AS90" s="88">
        <f t="shared" si="419"/>
        <v>31</v>
      </c>
      <c r="AT90" s="88">
        <f t="shared" si="86"/>
        <v>0</v>
      </c>
      <c r="AU90" s="88">
        <f t="shared" si="87"/>
        <v>0</v>
      </c>
      <c r="AV90" s="88">
        <f t="shared" si="88"/>
        <v>0</v>
      </c>
      <c r="AW90" s="88">
        <f t="shared" si="89"/>
        <v>0</v>
      </c>
      <c r="AX90" s="89">
        <f t="shared" si="90"/>
        <v>138</v>
      </c>
      <c r="AY90" s="88">
        <f t="shared" ref="AY90:AZ90" si="420">AY61*1</f>
        <v>208</v>
      </c>
      <c r="AZ90" s="88">
        <f t="shared" si="420"/>
        <v>82</v>
      </c>
      <c r="BA90" s="88">
        <f t="shared" si="92"/>
        <v>2.1</v>
      </c>
      <c r="BB90" s="88">
        <f t="shared" si="93"/>
        <v>0</v>
      </c>
      <c r="BC90" s="88">
        <f t="shared" si="94"/>
        <v>7.5</v>
      </c>
      <c r="BD90" s="88">
        <f t="shared" si="95"/>
        <v>0.93</v>
      </c>
      <c r="BE90" s="89">
        <f t="shared" si="96"/>
        <v>300.53000000000003</v>
      </c>
      <c r="BF90" s="88">
        <f t="shared" ref="BF90:BG90" si="421">BF61*1</f>
        <v>18</v>
      </c>
      <c r="BG90" s="88">
        <f t="shared" si="421"/>
        <v>4</v>
      </c>
      <c r="BH90" s="88">
        <f t="shared" si="98"/>
        <v>0</v>
      </c>
      <c r="BI90" s="88">
        <f t="shared" si="99"/>
        <v>0</v>
      </c>
      <c r="BJ90" s="88">
        <f t="shared" si="100"/>
        <v>2.5</v>
      </c>
      <c r="BK90" s="88">
        <f t="shared" si="101"/>
        <v>0</v>
      </c>
      <c r="BL90" s="89">
        <f t="shared" si="102"/>
        <v>24.5</v>
      </c>
      <c r="BM90" s="88">
        <f t="shared" ref="BM90:BN90" si="422">BM61*1</f>
        <v>234</v>
      </c>
      <c r="BN90" s="88">
        <f t="shared" si="422"/>
        <v>57</v>
      </c>
      <c r="BO90" s="88">
        <f t="shared" si="104"/>
        <v>0</v>
      </c>
      <c r="BP90" s="88">
        <f t="shared" si="105"/>
        <v>0</v>
      </c>
      <c r="BQ90" s="88">
        <f t="shared" si="106"/>
        <v>5</v>
      </c>
      <c r="BR90" s="88">
        <f t="shared" si="107"/>
        <v>0</v>
      </c>
      <c r="BS90" s="89">
        <f t="shared" si="108"/>
        <v>296</v>
      </c>
      <c r="BT90" s="88">
        <f t="shared" ref="BT90:BU90" si="423">BT61*1</f>
        <v>192</v>
      </c>
      <c r="BU90" s="88">
        <f t="shared" si="423"/>
        <v>42</v>
      </c>
      <c r="BV90" s="88">
        <f t="shared" si="110"/>
        <v>0</v>
      </c>
      <c r="BW90" s="88">
        <f t="shared" si="111"/>
        <v>0</v>
      </c>
      <c r="BX90" s="88">
        <f t="shared" si="112"/>
        <v>0</v>
      </c>
      <c r="BY90" s="88">
        <f t="shared" si="113"/>
        <v>0</v>
      </c>
      <c r="BZ90" s="89">
        <f t="shared" si="114"/>
        <v>234</v>
      </c>
      <c r="CA90" s="88">
        <f t="shared" ref="CA90:CB90" si="424">CA61*1</f>
        <v>0</v>
      </c>
      <c r="CB90" s="88">
        <f t="shared" si="424"/>
        <v>0</v>
      </c>
      <c r="CC90" s="88">
        <f t="shared" si="116"/>
        <v>0</v>
      </c>
      <c r="CD90" s="88">
        <f t="shared" si="117"/>
        <v>0</v>
      </c>
      <c r="CE90" s="88">
        <f t="shared" si="118"/>
        <v>0</v>
      </c>
      <c r="CF90" s="88">
        <f t="shared" si="119"/>
        <v>0</v>
      </c>
      <c r="CG90" s="89">
        <f t="shared" si="120"/>
        <v>0</v>
      </c>
      <c r="CH90" s="88">
        <f t="shared" ref="CH90:CI90" si="425">CH61*1</f>
        <v>149</v>
      </c>
      <c r="CI90" s="88">
        <f t="shared" si="425"/>
        <v>40</v>
      </c>
      <c r="CJ90" s="88">
        <f t="shared" si="122"/>
        <v>0</v>
      </c>
      <c r="CK90" s="88">
        <f t="shared" si="123"/>
        <v>0</v>
      </c>
      <c r="CL90" s="88">
        <f t="shared" si="124"/>
        <v>2.5</v>
      </c>
      <c r="CM90" s="88">
        <f t="shared" si="125"/>
        <v>0</v>
      </c>
      <c r="CN90" s="89">
        <f t="shared" si="126"/>
        <v>191.5</v>
      </c>
      <c r="CO90" s="88">
        <f t="shared" ref="CO90:CP90" si="426">CO61*1</f>
        <v>432</v>
      </c>
      <c r="CP90" s="88">
        <f t="shared" si="426"/>
        <v>94</v>
      </c>
      <c r="CQ90" s="88">
        <f t="shared" si="128"/>
        <v>2.1</v>
      </c>
      <c r="CR90" s="88">
        <f t="shared" si="129"/>
        <v>0</v>
      </c>
      <c r="CS90" s="88">
        <f t="shared" si="130"/>
        <v>10</v>
      </c>
      <c r="CT90" s="88">
        <f t="shared" si="131"/>
        <v>0.93</v>
      </c>
      <c r="CU90" s="89">
        <f t="shared" si="132"/>
        <v>539.03</v>
      </c>
      <c r="CV90" s="88">
        <f t="shared" ref="CV90:CW90" si="427">CV61*1</f>
        <v>0</v>
      </c>
      <c r="CW90" s="88">
        <f t="shared" si="427"/>
        <v>0</v>
      </c>
      <c r="CX90" s="88">
        <f t="shared" si="134"/>
        <v>0</v>
      </c>
      <c r="CY90" s="88">
        <f t="shared" si="135"/>
        <v>0</v>
      </c>
      <c r="CZ90" s="88">
        <f t="shared" si="136"/>
        <v>0</v>
      </c>
      <c r="DA90" s="88">
        <f t="shared" si="137"/>
        <v>0</v>
      </c>
      <c r="DB90" s="89">
        <f t="shared" si="138"/>
        <v>0</v>
      </c>
      <c r="DC90" s="88">
        <f t="shared" ref="DC90:DD90" si="428">DC61*1</f>
        <v>0</v>
      </c>
      <c r="DD90" s="88">
        <f t="shared" si="428"/>
        <v>0</v>
      </c>
      <c r="DE90" s="88">
        <f t="shared" si="140"/>
        <v>0</v>
      </c>
      <c r="DF90" s="88">
        <f t="shared" si="141"/>
        <v>0</v>
      </c>
      <c r="DG90" s="88">
        <f t="shared" si="142"/>
        <v>0</v>
      </c>
      <c r="DH90" s="88">
        <f t="shared" si="143"/>
        <v>0</v>
      </c>
      <c r="DI90" s="89">
        <f t="shared" si="144"/>
        <v>0</v>
      </c>
      <c r="DJ90" s="88">
        <f t="shared" ref="DJ90:DK90" si="429">DJ61*1</f>
        <v>0</v>
      </c>
      <c r="DK90" s="88">
        <f t="shared" si="429"/>
        <v>0</v>
      </c>
      <c r="DL90" s="88">
        <f t="shared" si="146"/>
        <v>0</v>
      </c>
      <c r="DM90" s="88">
        <f t="shared" si="147"/>
        <v>0</v>
      </c>
      <c r="DN90" s="88">
        <f t="shared" si="148"/>
        <v>0</v>
      </c>
      <c r="DO90" s="88">
        <f t="shared" si="149"/>
        <v>0</v>
      </c>
      <c r="DP90" s="89">
        <f t="shared" si="150"/>
        <v>0</v>
      </c>
      <c r="DQ90" s="88">
        <f t="shared" ref="DQ90:DR90" si="430">DQ61*1</f>
        <v>0</v>
      </c>
      <c r="DR90" s="88">
        <f t="shared" si="430"/>
        <v>0</v>
      </c>
      <c r="DS90" s="88">
        <f t="shared" si="152"/>
        <v>0</v>
      </c>
      <c r="DT90" s="88">
        <f t="shared" si="153"/>
        <v>0</v>
      </c>
      <c r="DU90" s="88">
        <f t="shared" si="154"/>
        <v>0</v>
      </c>
      <c r="DV90" s="88">
        <f t="shared" si="155"/>
        <v>0</v>
      </c>
      <c r="DW90" s="89">
        <f t="shared" si="156"/>
        <v>0</v>
      </c>
      <c r="DX90" s="88">
        <f t="shared" ref="DX90:DY90" si="431">DX61*1</f>
        <v>0</v>
      </c>
      <c r="DY90" s="88">
        <f t="shared" si="431"/>
        <v>0</v>
      </c>
      <c r="DZ90" s="88">
        <f t="shared" si="158"/>
        <v>0</v>
      </c>
      <c r="EA90" s="88">
        <f t="shared" si="159"/>
        <v>0</v>
      </c>
      <c r="EB90" s="88">
        <f t="shared" si="160"/>
        <v>0</v>
      </c>
      <c r="EC90" s="88">
        <f t="shared" si="161"/>
        <v>0</v>
      </c>
      <c r="ED90" s="89">
        <f t="shared" si="162"/>
        <v>0</v>
      </c>
      <c r="EE90" s="277"/>
      <c r="EF90" s="277"/>
      <c r="EG90" s="277"/>
      <c r="EH90" s="277"/>
      <c r="EI90" s="277"/>
      <c r="EJ90" s="277"/>
      <c r="EK90" s="277"/>
      <c r="EL90" s="88">
        <f t="shared" ref="EL90:EM90" si="432">EL61*1</f>
        <v>0</v>
      </c>
      <c r="EM90" s="88">
        <f t="shared" si="432"/>
        <v>0</v>
      </c>
      <c r="EN90" s="88">
        <f t="shared" si="164"/>
        <v>0</v>
      </c>
      <c r="EO90" s="88">
        <f t="shared" si="165"/>
        <v>0</v>
      </c>
      <c r="EP90" s="88">
        <f t="shared" si="166"/>
        <v>0</v>
      </c>
      <c r="EQ90" s="88">
        <f t="shared" si="167"/>
        <v>0</v>
      </c>
      <c r="ER90" s="89">
        <f t="shared" si="168"/>
        <v>0</v>
      </c>
      <c r="ES90" s="88">
        <f t="shared" ref="ES90:ET90" si="433">ES61*1</f>
        <v>0</v>
      </c>
      <c r="ET90" s="88">
        <f t="shared" si="433"/>
        <v>0</v>
      </c>
      <c r="EU90" s="88">
        <f t="shared" si="170"/>
        <v>0</v>
      </c>
      <c r="EV90" s="88">
        <f t="shared" si="171"/>
        <v>0</v>
      </c>
      <c r="EW90" s="88">
        <f t="shared" si="172"/>
        <v>0</v>
      </c>
      <c r="EX90" s="88">
        <f t="shared" si="173"/>
        <v>0</v>
      </c>
      <c r="EY90" s="89">
        <f t="shared" si="174"/>
        <v>0</v>
      </c>
      <c r="EZ90" s="88">
        <f t="shared" ref="EZ90:FA90" si="434">EZ61*1</f>
        <v>0</v>
      </c>
      <c r="FA90" s="88">
        <f t="shared" si="434"/>
        <v>0</v>
      </c>
      <c r="FB90" s="88">
        <f t="shared" si="176"/>
        <v>0</v>
      </c>
      <c r="FC90" s="88">
        <f t="shared" si="177"/>
        <v>0</v>
      </c>
      <c r="FD90" s="88">
        <f t="shared" si="178"/>
        <v>0</v>
      </c>
      <c r="FE90" s="88">
        <f t="shared" si="179"/>
        <v>0</v>
      </c>
      <c r="FF90" s="89">
        <f t="shared" si="180"/>
        <v>0</v>
      </c>
      <c r="FG90" s="277"/>
      <c r="FH90" s="277"/>
      <c r="FI90" s="277"/>
      <c r="FJ90" s="277"/>
      <c r="FK90" s="277"/>
      <c r="FL90" s="277"/>
      <c r="FM90" s="277"/>
      <c r="FN90" s="88">
        <f t="shared" ref="FN90:FO90" si="435">FN61*1</f>
        <v>0</v>
      </c>
      <c r="FO90" s="88">
        <f t="shared" si="435"/>
        <v>0</v>
      </c>
      <c r="FP90" s="88">
        <f t="shared" si="182"/>
        <v>0</v>
      </c>
      <c r="FQ90" s="88">
        <f t="shared" si="183"/>
        <v>0</v>
      </c>
      <c r="FR90" s="88">
        <f t="shared" si="184"/>
        <v>0</v>
      </c>
      <c r="FS90" s="88">
        <f t="shared" si="185"/>
        <v>0</v>
      </c>
      <c r="FT90" s="89">
        <f t="shared" si="186"/>
        <v>0</v>
      </c>
      <c r="FU90" s="88">
        <f t="shared" ref="FU90:FV90" si="436">FU61*1</f>
        <v>0</v>
      </c>
      <c r="FV90" s="88">
        <f t="shared" si="436"/>
        <v>0</v>
      </c>
      <c r="FW90" s="88">
        <f t="shared" si="188"/>
        <v>0</v>
      </c>
      <c r="FX90" s="88">
        <f t="shared" si="189"/>
        <v>0</v>
      </c>
      <c r="FY90" s="88">
        <f t="shared" si="190"/>
        <v>0</v>
      </c>
      <c r="FZ90" s="88">
        <f t="shared" si="191"/>
        <v>0</v>
      </c>
      <c r="GA90" s="89">
        <f t="shared" si="192"/>
        <v>0</v>
      </c>
      <c r="GB90" s="88">
        <f t="shared" ref="GB90:GC90" si="437">GB61*1</f>
        <v>0</v>
      </c>
      <c r="GC90" s="88">
        <f t="shared" si="437"/>
        <v>0</v>
      </c>
      <c r="GD90" s="88">
        <f t="shared" si="194"/>
        <v>0</v>
      </c>
      <c r="GE90" s="88">
        <f t="shared" si="195"/>
        <v>0</v>
      </c>
      <c r="GF90" s="88">
        <f t="shared" si="196"/>
        <v>0</v>
      </c>
      <c r="GG90" s="88">
        <f t="shared" si="197"/>
        <v>0</v>
      </c>
      <c r="GH90" s="89">
        <f t="shared" si="198"/>
        <v>0</v>
      </c>
      <c r="GI90" s="277"/>
      <c r="GJ90" s="277"/>
      <c r="GK90" s="277"/>
      <c r="GL90" s="277"/>
      <c r="GM90" s="277"/>
      <c r="GN90" s="277"/>
      <c r="GO90" s="277"/>
      <c r="GP90" s="88">
        <f t="shared" ref="GP90:GQ90" si="438">GP61*1</f>
        <v>0</v>
      </c>
      <c r="GQ90" s="88">
        <f t="shared" si="438"/>
        <v>0</v>
      </c>
      <c r="GR90" s="88">
        <f t="shared" si="200"/>
        <v>0</v>
      </c>
      <c r="GS90" s="88">
        <f t="shared" si="201"/>
        <v>0</v>
      </c>
      <c r="GT90" s="88">
        <f t="shared" si="202"/>
        <v>0</v>
      </c>
      <c r="GU90" s="88">
        <f t="shared" si="203"/>
        <v>0</v>
      </c>
      <c r="GV90" s="89">
        <f t="shared" si="204"/>
        <v>0</v>
      </c>
      <c r="GW90" s="88">
        <f t="shared" ref="GW90:GX90" si="439">GW61*1</f>
        <v>0</v>
      </c>
      <c r="GX90" s="88">
        <f t="shared" si="439"/>
        <v>0</v>
      </c>
      <c r="GY90" s="88">
        <f t="shared" si="206"/>
        <v>0</v>
      </c>
      <c r="GZ90" s="88">
        <f t="shared" si="207"/>
        <v>0</v>
      </c>
      <c r="HA90" s="88">
        <f t="shared" si="208"/>
        <v>0</v>
      </c>
      <c r="HB90" s="88">
        <f t="shared" si="209"/>
        <v>0</v>
      </c>
      <c r="HC90" s="89">
        <f t="shared" si="210"/>
        <v>0</v>
      </c>
      <c r="HD90" s="88">
        <f t="shared" ref="HD90:HE90" si="440">HD61*1</f>
        <v>0</v>
      </c>
      <c r="HE90" s="88">
        <f t="shared" si="440"/>
        <v>0</v>
      </c>
      <c r="HF90" s="88">
        <f t="shared" si="212"/>
        <v>0</v>
      </c>
      <c r="HG90" s="88">
        <f t="shared" si="213"/>
        <v>0</v>
      </c>
      <c r="HH90" s="88">
        <f t="shared" si="214"/>
        <v>0</v>
      </c>
      <c r="HI90" s="88">
        <f t="shared" si="215"/>
        <v>0</v>
      </c>
      <c r="HJ90" s="89">
        <f t="shared" si="216"/>
        <v>0</v>
      </c>
    </row>
    <row r="91" spans="1:218" ht="21.75" customHeight="1" x14ac:dyDescent="0.6">
      <c r="A91" s="90" t="s">
        <v>176</v>
      </c>
      <c r="B91" s="88">
        <f t="shared" ref="B91:C91" si="441">B62*1</f>
        <v>191</v>
      </c>
      <c r="C91" s="88">
        <f t="shared" si="441"/>
        <v>31</v>
      </c>
      <c r="D91" s="88">
        <f t="shared" si="50"/>
        <v>0</v>
      </c>
      <c r="E91" s="88">
        <f t="shared" si="51"/>
        <v>0</v>
      </c>
      <c r="F91" s="88">
        <f t="shared" si="52"/>
        <v>7.5</v>
      </c>
      <c r="G91" s="88">
        <f t="shared" si="53"/>
        <v>1.86</v>
      </c>
      <c r="H91" s="89">
        <f t="shared" si="54"/>
        <v>231.36</v>
      </c>
      <c r="I91" s="88">
        <f t="shared" ref="I91:J91" si="442">I62*1</f>
        <v>129</v>
      </c>
      <c r="J91" s="88">
        <f t="shared" si="442"/>
        <v>45</v>
      </c>
      <c r="K91" s="88">
        <f t="shared" si="56"/>
        <v>0</v>
      </c>
      <c r="L91" s="88">
        <f t="shared" si="57"/>
        <v>0</v>
      </c>
      <c r="M91" s="88">
        <f t="shared" si="58"/>
        <v>0</v>
      </c>
      <c r="N91" s="88">
        <f t="shared" si="59"/>
        <v>0</v>
      </c>
      <c r="O91" s="89">
        <f t="shared" si="60"/>
        <v>174</v>
      </c>
      <c r="P91" s="88">
        <f t="shared" ref="P91:Q91" si="443">P62*1</f>
        <v>111</v>
      </c>
      <c r="Q91" s="88">
        <f t="shared" si="443"/>
        <v>51</v>
      </c>
      <c r="R91" s="88">
        <f t="shared" si="62"/>
        <v>0</v>
      </c>
      <c r="S91" s="88">
        <f t="shared" si="63"/>
        <v>0</v>
      </c>
      <c r="T91" s="88">
        <f t="shared" si="64"/>
        <v>10</v>
      </c>
      <c r="U91" s="88">
        <f t="shared" si="65"/>
        <v>0</v>
      </c>
      <c r="V91" s="89">
        <f t="shared" si="66"/>
        <v>172</v>
      </c>
      <c r="W91" s="88">
        <f t="shared" ref="W91:X91" si="444">W62*1</f>
        <v>0</v>
      </c>
      <c r="X91" s="88">
        <f t="shared" si="444"/>
        <v>0</v>
      </c>
      <c r="Y91" s="88">
        <f t="shared" si="68"/>
        <v>0</v>
      </c>
      <c r="Z91" s="88">
        <f t="shared" si="69"/>
        <v>0</v>
      </c>
      <c r="AA91" s="88">
        <f t="shared" si="70"/>
        <v>0</v>
      </c>
      <c r="AB91" s="88">
        <f t="shared" si="71"/>
        <v>0</v>
      </c>
      <c r="AC91" s="89">
        <f t="shared" si="72"/>
        <v>0</v>
      </c>
      <c r="AD91" s="88">
        <f t="shared" ref="AD91:AE91" si="445">AD62*1</f>
        <v>248</v>
      </c>
      <c r="AE91" s="88">
        <f t="shared" si="445"/>
        <v>71</v>
      </c>
      <c r="AF91" s="88">
        <f t="shared" si="74"/>
        <v>2.1</v>
      </c>
      <c r="AG91" s="88">
        <f t="shared" si="75"/>
        <v>0</v>
      </c>
      <c r="AH91" s="88">
        <f t="shared" si="76"/>
        <v>7.5</v>
      </c>
      <c r="AI91" s="88">
        <f t="shared" si="77"/>
        <v>0.93</v>
      </c>
      <c r="AJ91" s="89">
        <f t="shared" si="78"/>
        <v>329.53000000000003</v>
      </c>
      <c r="AK91" s="88">
        <f t="shared" ref="AK91:AL91" si="446">AK62*1</f>
        <v>642</v>
      </c>
      <c r="AL91" s="88">
        <f t="shared" si="446"/>
        <v>178</v>
      </c>
      <c r="AM91" s="88">
        <f t="shared" si="80"/>
        <v>12.600000000000001</v>
      </c>
      <c r="AN91" s="88">
        <f t="shared" si="81"/>
        <v>1.5</v>
      </c>
      <c r="AO91" s="88">
        <f t="shared" si="82"/>
        <v>17.5</v>
      </c>
      <c r="AP91" s="88">
        <f t="shared" si="83"/>
        <v>0.93</v>
      </c>
      <c r="AQ91" s="89">
        <f t="shared" si="84"/>
        <v>852.53</v>
      </c>
      <c r="AR91" s="88">
        <f t="shared" ref="AR91:AS91" si="447">AR62*1</f>
        <v>163</v>
      </c>
      <c r="AS91" s="88">
        <f t="shared" si="447"/>
        <v>30</v>
      </c>
      <c r="AT91" s="88">
        <f t="shared" si="86"/>
        <v>0</v>
      </c>
      <c r="AU91" s="88">
        <f t="shared" si="87"/>
        <v>0</v>
      </c>
      <c r="AV91" s="88">
        <f t="shared" si="88"/>
        <v>5</v>
      </c>
      <c r="AW91" s="88">
        <f t="shared" si="89"/>
        <v>1.86</v>
      </c>
      <c r="AX91" s="89">
        <f t="shared" si="90"/>
        <v>199.86</v>
      </c>
      <c r="AY91" s="88">
        <f t="shared" ref="AY91:AZ91" si="448">AY62*1</f>
        <v>209</v>
      </c>
      <c r="AZ91" s="88">
        <f t="shared" si="448"/>
        <v>96</v>
      </c>
      <c r="BA91" s="88">
        <f t="shared" si="92"/>
        <v>6.3000000000000007</v>
      </c>
      <c r="BB91" s="88">
        <f t="shared" si="93"/>
        <v>0</v>
      </c>
      <c r="BC91" s="88">
        <f t="shared" si="94"/>
        <v>5</v>
      </c>
      <c r="BD91" s="88">
        <f t="shared" si="95"/>
        <v>0.93</v>
      </c>
      <c r="BE91" s="89">
        <f t="shared" si="96"/>
        <v>317.23</v>
      </c>
      <c r="BF91" s="88">
        <f t="shared" ref="BF91:BG91" si="449">BF62*1</f>
        <v>23</v>
      </c>
      <c r="BG91" s="88">
        <f t="shared" si="449"/>
        <v>4</v>
      </c>
      <c r="BH91" s="88">
        <f t="shared" si="98"/>
        <v>0</v>
      </c>
      <c r="BI91" s="88">
        <f t="shared" si="99"/>
        <v>0</v>
      </c>
      <c r="BJ91" s="88">
        <f t="shared" si="100"/>
        <v>10</v>
      </c>
      <c r="BK91" s="88">
        <f t="shared" si="101"/>
        <v>0</v>
      </c>
      <c r="BL91" s="89">
        <f t="shared" si="102"/>
        <v>37</v>
      </c>
      <c r="BM91" s="88">
        <f t="shared" ref="BM91:BN91" si="450">BM62*1</f>
        <v>238</v>
      </c>
      <c r="BN91" s="88">
        <f t="shared" si="450"/>
        <v>59</v>
      </c>
      <c r="BO91" s="88">
        <f t="shared" si="104"/>
        <v>0</v>
      </c>
      <c r="BP91" s="88">
        <f t="shared" si="105"/>
        <v>0</v>
      </c>
      <c r="BQ91" s="88">
        <f t="shared" si="106"/>
        <v>2.5</v>
      </c>
      <c r="BR91" s="88">
        <f t="shared" si="107"/>
        <v>0</v>
      </c>
      <c r="BS91" s="89">
        <f t="shared" si="108"/>
        <v>299.5</v>
      </c>
      <c r="BT91" s="88">
        <f t="shared" ref="BT91:BU91" si="451">BT62*1</f>
        <v>214</v>
      </c>
      <c r="BU91" s="88">
        <f t="shared" si="451"/>
        <v>61</v>
      </c>
      <c r="BV91" s="88">
        <f t="shared" si="110"/>
        <v>0</v>
      </c>
      <c r="BW91" s="88">
        <f t="shared" si="111"/>
        <v>0</v>
      </c>
      <c r="BX91" s="88">
        <f t="shared" si="112"/>
        <v>0</v>
      </c>
      <c r="BY91" s="88">
        <f t="shared" si="113"/>
        <v>0</v>
      </c>
      <c r="BZ91" s="89">
        <f t="shared" si="114"/>
        <v>275</v>
      </c>
      <c r="CA91" s="88">
        <f t="shared" ref="CA91:CB91" si="452">CA62*1</f>
        <v>0</v>
      </c>
      <c r="CB91" s="88">
        <f t="shared" si="452"/>
        <v>0</v>
      </c>
      <c r="CC91" s="88">
        <f t="shared" si="116"/>
        <v>0</v>
      </c>
      <c r="CD91" s="88">
        <f t="shared" si="117"/>
        <v>0</v>
      </c>
      <c r="CE91" s="88">
        <f t="shared" si="118"/>
        <v>0</v>
      </c>
      <c r="CF91" s="88">
        <f t="shared" si="119"/>
        <v>0</v>
      </c>
      <c r="CG91" s="89">
        <f t="shared" si="120"/>
        <v>0</v>
      </c>
      <c r="CH91" s="88">
        <f t="shared" ref="CH91:CI91" si="453">CH62*1</f>
        <v>209</v>
      </c>
      <c r="CI91" s="88">
        <f t="shared" si="453"/>
        <v>32</v>
      </c>
      <c r="CJ91" s="88">
        <f t="shared" si="122"/>
        <v>0</v>
      </c>
      <c r="CK91" s="88">
        <f t="shared" si="123"/>
        <v>0</v>
      </c>
      <c r="CL91" s="88">
        <f t="shared" si="124"/>
        <v>10</v>
      </c>
      <c r="CM91" s="88">
        <f t="shared" si="125"/>
        <v>0.93</v>
      </c>
      <c r="CN91" s="89">
        <f t="shared" si="126"/>
        <v>251.93</v>
      </c>
      <c r="CO91" s="88">
        <f t="shared" ref="CO91:CP91" si="454">CO62*1</f>
        <v>494</v>
      </c>
      <c r="CP91" s="88">
        <f t="shared" si="454"/>
        <v>147</v>
      </c>
      <c r="CQ91" s="88">
        <f t="shared" si="128"/>
        <v>0</v>
      </c>
      <c r="CR91" s="88">
        <f t="shared" si="129"/>
        <v>3</v>
      </c>
      <c r="CS91" s="88">
        <f t="shared" si="130"/>
        <v>17.5</v>
      </c>
      <c r="CT91" s="88">
        <f t="shared" si="131"/>
        <v>0</v>
      </c>
      <c r="CU91" s="89">
        <f t="shared" si="132"/>
        <v>661.5</v>
      </c>
      <c r="CV91" s="88">
        <f t="shared" ref="CV91:CW91" si="455">CV62*1</f>
        <v>0</v>
      </c>
      <c r="CW91" s="88">
        <f t="shared" si="455"/>
        <v>0</v>
      </c>
      <c r="CX91" s="88">
        <f t="shared" si="134"/>
        <v>0</v>
      </c>
      <c r="CY91" s="88">
        <f t="shared" si="135"/>
        <v>0</v>
      </c>
      <c r="CZ91" s="88">
        <f t="shared" si="136"/>
        <v>0</v>
      </c>
      <c r="DA91" s="88">
        <f t="shared" si="137"/>
        <v>0</v>
      </c>
      <c r="DB91" s="89">
        <f t="shared" si="138"/>
        <v>0</v>
      </c>
      <c r="DC91" s="88">
        <f t="shared" ref="DC91:DD91" si="456">DC62*1</f>
        <v>0</v>
      </c>
      <c r="DD91" s="88">
        <f t="shared" si="456"/>
        <v>0</v>
      </c>
      <c r="DE91" s="88">
        <f t="shared" si="140"/>
        <v>0</v>
      </c>
      <c r="DF91" s="88">
        <f t="shared" si="141"/>
        <v>0</v>
      </c>
      <c r="DG91" s="88">
        <f t="shared" si="142"/>
        <v>0</v>
      </c>
      <c r="DH91" s="88">
        <f t="shared" si="143"/>
        <v>0</v>
      </c>
      <c r="DI91" s="89">
        <f t="shared" si="144"/>
        <v>0</v>
      </c>
      <c r="DJ91" s="88">
        <f t="shared" ref="DJ91:DK91" si="457">DJ62*1</f>
        <v>0</v>
      </c>
      <c r="DK91" s="88">
        <f t="shared" si="457"/>
        <v>0</v>
      </c>
      <c r="DL91" s="88">
        <f t="shared" si="146"/>
        <v>0</v>
      </c>
      <c r="DM91" s="88">
        <f t="shared" si="147"/>
        <v>0</v>
      </c>
      <c r="DN91" s="88">
        <f t="shared" si="148"/>
        <v>0</v>
      </c>
      <c r="DO91" s="88">
        <f t="shared" si="149"/>
        <v>0</v>
      </c>
      <c r="DP91" s="89">
        <f t="shared" si="150"/>
        <v>0</v>
      </c>
      <c r="DQ91" s="88">
        <f t="shared" ref="DQ91:DR91" si="458">DQ62*1</f>
        <v>0</v>
      </c>
      <c r="DR91" s="88">
        <f t="shared" si="458"/>
        <v>0</v>
      </c>
      <c r="DS91" s="88">
        <f t="shared" si="152"/>
        <v>0</v>
      </c>
      <c r="DT91" s="88">
        <f t="shared" si="153"/>
        <v>0</v>
      </c>
      <c r="DU91" s="88">
        <f t="shared" si="154"/>
        <v>0</v>
      </c>
      <c r="DV91" s="88">
        <f t="shared" si="155"/>
        <v>0</v>
      </c>
      <c r="DW91" s="89">
        <f t="shared" si="156"/>
        <v>0</v>
      </c>
      <c r="DX91" s="88">
        <f t="shared" ref="DX91:DY91" si="459">DX62*1</f>
        <v>0</v>
      </c>
      <c r="DY91" s="88">
        <f t="shared" si="459"/>
        <v>0</v>
      </c>
      <c r="DZ91" s="88">
        <f t="shared" si="158"/>
        <v>0</v>
      </c>
      <c r="EA91" s="88">
        <f t="shared" si="159"/>
        <v>0</v>
      </c>
      <c r="EB91" s="88">
        <f t="shared" si="160"/>
        <v>0</v>
      </c>
      <c r="EC91" s="88">
        <f t="shared" si="161"/>
        <v>0</v>
      </c>
      <c r="ED91" s="89">
        <f t="shared" si="162"/>
        <v>0</v>
      </c>
      <c r="EE91" s="277"/>
      <c r="EF91" s="277"/>
      <c r="EG91" s="277"/>
      <c r="EH91" s="277"/>
      <c r="EI91" s="277"/>
      <c r="EJ91" s="277"/>
      <c r="EK91" s="277"/>
      <c r="EL91" s="88">
        <f t="shared" ref="EL91:EM91" si="460">EL62*1</f>
        <v>0</v>
      </c>
      <c r="EM91" s="88">
        <f t="shared" si="460"/>
        <v>0</v>
      </c>
      <c r="EN91" s="88">
        <f t="shared" si="164"/>
        <v>0</v>
      </c>
      <c r="EO91" s="88">
        <f t="shared" si="165"/>
        <v>0</v>
      </c>
      <c r="EP91" s="88">
        <f t="shared" si="166"/>
        <v>0</v>
      </c>
      <c r="EQ91" s="88">
        <f t="shared" si="167"/>
        <v>0</v>
      </c>
      <c r="ER91" s="89">
        <f t="shared" si="168"/>
        <v>0</v>
      </c>
      <c r="ES91" s="88">
        <f t="shared" ref="ES91:ET91" si="461">ES62*1</f>
        <v>0</v>
      </c>
      <c r="ET91" s="88">
        <f t="shared" si="461"/>
        <v>0</v>
      </c>
      <c r="EU91" s="88">
        <f t="shared" si="170"/>
        <v>0</v>
      </c>
      <c r="EV91" s="88">
        <f t="shared" si="171"/>
        <v>0</v>
      </c>
      <c r="EW91" s="88">
        <f t="shared" si="172"/>
        <v>0</v>
      </c>
      <c r="EX91" s="88">
        <f t="shared" si="173"/>
        <v>0</v>
      </c>
      <c r="EY91" s="89">
        <f t="shared" si="174"/>
        <v>0</v>
      </c>
      <c r="EZ91" s="88">
        <f t="shared" ref="EZ91:FA91" si="462">EZ62*1</f>
        <v>0</v>
      </c>
      <c r="FA91" s="88">
        <f t="shared" si="462"/>
        <v>0</v>
      </c>
      <c r="FB91" s="88">
        <f t="shared" si="176"/>
        <v>0</v>
      </c>
      <c r="FC91" s="88">
        <f t="shared" si="177"/>
        <v>0</v>
      </c>
      <c r="FD91" s="88">
        <f t="shared" si="178"/>
        <v>0</v>
      </c>
      <c r="FE91" s="88">
        <f t="shared" si="179"/>
        <v>0</v>
      </c>
      <c r="FF91" s="89">
        <f t="shared" si="180"/>
        <v>0</v>
      </c>
      <c r="FG91" s="277"/>
      <c r="FH91" s="277"/>
      <c r="FI91" s="277"/>
      <c r="FJ91" s="277"/>
      <c r="FK91" s="277"/>
      <c r="FL91" s="277"/>
      <c r="FM91" s="277"/>
      <c r="FN91" s="88">
        <f t="shared" ref="FN91:FO91" si="463">FN62*1</f>
        <v>0</v>
      </c>
      <c r="FO91" s="88">
        <f t="shared" si="463"/>
        <v>0</v>
      </c>
      <c r="FP91" s="88">
        <f t="shared" si="182"/>
        <v>0</v>
      </c>
      <c r="FQ91" s="88">
        <f t="shared" si="183"/>
        <v>0</v>
      </c>
      <c r="FR91" s="88">
        <f t="shared" si="184"/>
        <v>0</v>
      </c>
      <c r="FS91" s="88">
        <f t="shared" si="185"/>
        <v>0</v>
      </c>
      <c r="FT91" s="89">
        <f t="shared" si="186"/>
        <v>0</v>
      </c>
      <c r="FU91" s="88">
        <f t="shared" ref="FU91:FV91" si="464">FU62*1</f>
        <v>0</v>
      </c>
      <c r="FV91" s="88">
        <f t="shared" si="464"/>
        <v>0</v>
      </c>
      <c r="FW91" s="88">
        <f t="shared" si="188"/>
        <v>0</v>
      </c>
      <c r="FX91" s="88">
        <f t="shared" si="189"/>
        <v>0</v>
      </c>
      <c r="FY91" s="88">
        <f t="shared" si="190"/>
        <v>0</v>
      </c>
      <c r="FZ91" s="88">
        <f t="shared" si="191"/>
        <v>0</v>
      </c>
      <c r="GA91" s="89">
        <f t="shared" si="192"/>
        <v>0</v>
      </c>
      <c r="GB91" s="88">
        <f t="shared" ref="GB91:GC91" si="465">GB62*1</f>
        <v>0</v>
      </c>
      <c r="GC91" s="88">
        <f t="shared" si="465"/>
        <v>0</v>
      </c>
      <c r="GD91" s="88">
        <f t="shared" si="194"/>
        <v>0</v>
      </c>
      <c r="GE91" s="88">
        <f t="shared" si="195"/>
        <v>0</v>
      </c>
      <c r="GF91" s="88">
        <f t="shared" si="196"/>
        <v>0</v>
      </c>
      <c r="GG91" s="88">
        <f t="shared" si="197"/>
        <v>0</v>
      </c>
      <c r="GH91" s="89">
        <f t="shared" si="198"/>
        <v>0</v>
      </c>
      <c r="GI91" s="277"/>
      <c r="GJ91" s="277"/>
      <c r="GK91" s="277"/>
      <c r="GL91" s="277"/>
      <c r="GM91" s="277"/>
      <c r="GN91" s="277"/>
      <c r="GO91" s="277"/>
      <c r="GP91" s="88">
        <f t="shared" ref="GP91:GQ91" si="466">GP62*1</f>
        <v>0</v>
      </c>
      <c r="GQ91" s="88">
        <f t="shared" si="466"/>
        <v>0</v>
      </c>
      <c r="GR91" s="88">
        <f t="shared" si="200"/>
        <v>0</v>
      </c>
      <c r="GS91" s="88">
        <f t="shared" si="201"/>
        <v>0</v>
      </c>
      <c r="GT91" s="88">
        <f t="shared" si="202"/>
        <v>0</v>
      </c>
      <c r="GU91" s="88">
        <f t="shared" si="203"/>
        <v>0</v>
      </c>
      <c r="GV91" s="89">
        <f t="shared" si="204"/>
        <v>0</v>
      </c>
      <c r="GW91" s="88">
        <f t="shared" ref="GW91:GX91" si="467">GW62*1</f>
        <v>0</v>
      </c>
      <c r="GX91" s="88">
        <f t="shared" si="467"/>
        <v>0</v>
      </c>
      <c r="GY91" s="88">
        <f t="shared" si="206"/>
        <v>0</v>
      </c>
      <c r="GZ91" s="88">
        <f t="shared" si="207"/>
        <v>0</v>
      </c>
      <c r="HA91" s="88">
        <f t="shared" si="208"/>
        <v>0</v>
      </c>
      <c r="HB91" s="88">
        <f t="shared" si="209"/>
        <v>0</v>
      </c>
      <c r="HC91" s="89">
        <f t="shared" si="210"/>
        <v>0</v>
      </c>
      <c r="HD91" s="88">
        <f t="shared" ref="HD91:HE91" si="468">HD62*1</f>
        <v>0</v>
      </c>
      <c r="HE91" s="88">
        <f t="shared" si="468"/>
        <v>0</v>
      </c>
      <c r="HF91" s="88">
        <f t="shared" si="212"/>
        <v>0</v>
      </c>
      <c r="HG91" s="88">
        <f t="shared" si="213"/>
        <v>0</v>
      </c>
      <c r="HH91" s="88">
        <f t="shared" si="214"/>
        <v>0</v>
      </c>
      <c r="HI91" s="88">
        <f t="shared" si="215"/>
        <v>0</v>
      </c>
      <c r="HJ91" s="89">
        <f t="shared" si="216"/>
        <v>0</v>
      </c>
    </row>
    <row r="92" spans="1:218" ht="21.75" customHeight="1" x14ac:dyDescent="0.6">
      <c r="A92" s="90" t="s">
        <v>177</v>
      </c>
      <c r="B92" s="88">
        <f t="shared" ref="B92:C92" si="469">B63*1</f>
        <v>198</v>
      </c>
      <c r="C92" s="88">
        <f t="shared" si="469"/>
        <v>28</v>
      </c>
      <c r="D92" s="88">
        <f t="shared" si="50"/>
        <v>2.1</v>
      </c>
      <c r="E92" s="88">
        <f t="shared" si="51"/>
        <v>0</v>
      </c>
      <c r="F92" s="88">
        <f t="shared" si="52"/>
        <v>7.5</v>
      </c>
      <c r="G92" s="88">
        <f t="shared" si="53"/>
        <v>1.86</v>
      </c>
      <c r="H92" s="89">
        <f t="shared" si="54"/>
        <v>237.46</v>
      </c>
      <c r="I92" s="88">
        <f t="shared" ref="I92:J92" si="470">I63*1</f>
        <v>104</v>
      </c>
      <c r="J92" s="88">
        <f t="shared" si="470"/>
        <v>36</v>
      </c>
      <c r="K92" s="88">
        <f t="shared" si="56"/>
        <v>0</v>
      </c>
      <c r="L92" s="88">
        <f t="shared" si="57"/>
        <v>0</v>
      </c>
      <c r="M92" s="88">
        <f t="shared" si="58"/>
        <v>0</v>
      </c>
      <c r="N92" s="88">
        <f t="shared" si="59"/>
        <v>0</v>
      </c>
      <c r="O92" s="89">
        <f t="shared" si="60"/>
        <v>140</v>
      </c>
      <c r="P92" s="88">
        <f t="shared" ref="P92:Q92" si="471">P63*1</f>
        <v>93</v>
      </c>
      <c r="Q92" s="88">
        <f t="shared" si="471"/>
        <v>28</v>
      </c>
      <c r="R92" s="88">
        <f t="shared" si="62"/>
        <v>0</v>
      </c>
      <c r="S92" s="88">
        <f t="shared" si="63"/>
        <v>0</v>
      </c>
      <c r="T92" s="88">
        <f t="shared" si="64"/>
        <v>0</v>
      </c>
      <c r="U92" s="88">
        <f t="shared" si="65"/>
        <v>0</v>
      </c>
      <c r="V92" s="89">
        <f t="shared" si="66"/>
        <v>121</v>
      </c>
      <c r="W92" s="88">
        <f t="shared" ref="W92:X92" si="472">W63*1</f>
        <v>0</v>
      </c>
      <c r="X92" s="88">
        <f t="shared" si="472"/>
        <v>0</v>
      </c>
      <c r="Y92" s="88">
        <f t="shared" si="68"/>
        <v>0</v>
      </c>
      <c r="Z92" s="88">
        <f t="shared" si="69"/>
        <v>0</v>
      </c>
      <c r="AA92" s="88">
        <f t="shared" si="70"/>
        <v>0</v>
      </c>
      <c r="AB92" s="88">
        <f t="shared" si="71"/>
        <v>0</v>
      </c>
      <c r="AC92" s="89">
        <f t="shared" si="72"/>
        <v>0</v>
      </c>
      <c r="AD92" s="88">
        <f t="shared" ref="AD92:AE92" si="473">AD63*1</f>
        <v>219</v>
      </c>
      <c r="AE92" s="88">
        <f t="shared" si="473"/>
        <v>83</v>
      </c>
      <c r="AF92" s="88">
        <f t="shared" si="74"/>
        <v>2.1</v>
      </c>
      <c r="AG92" s="88">
        <f t="shared" si="75"/>
        <v>0</v>
      </c>
      <c r="AH92" s="88">
        <f t="shared" si="76"/>
        <v>0</v>
      </c>
      <c r="AI92" s="88">
        <f t="shared" si="77"/>
        <v>0.93</v>
      </c>
      <c r="AJ92" s="89">
        <f t="shared" si="78"/>
        <v>305.03000000000003</v>
      </c>
      <c r="AK92" s="88">
        <f t="shared" ref="AK92:AL92" si="474">AK63*1</f>
        <v>633</v>
      </c>
      <c r="AL92" s="88">
        <f t="shared" si="474"/>
        <v>162</v>
      </c>
      <c r="AM92" s="88">
        <f t="shared" si="80"/>
        <v>6.3000000000000007</v>
      </c>
      <c r="AN92" s="88">
        <f t="shared" si="81"/>
        <v>3</v>
      </c>
      <c r="AO92" s="88">
        <f t="shared" si="82"/>
        <v>20</v>
      </c>
      <c r="AP92" s="88">
        <f t="shared" si="83"/>
        <v>0.93</v>
      </c>
      <c r="AQ92" s="89">
        <f t="shared" si="84"/>
        <v>825.2299999999999</v>
      </c>
      <c r="AR92" s="88">
        <f t="shared" ref="AR92:AS92" si="475">AR63*1</f>
        <v>161</v>
      </c>
      <c r="AS92" s="88">
        <f t="shared" si="475"/>
        <v>31</v>
      </c>
      <c r="AT92" s="88">
        <f t="shared" si="86"/>
        <v>0</v>
      </c>
      <c r="AU92" s="88">
        <f t="shared" si="87"/>
        <v>0</v>
      </c>
      <c r="AV92" s="88">
        <f t="shared" si="88"/>
        <v>5</v>
      </c>
      <c r="AW92" s="88">
        <f t="shared" si="89"/>
        <v>1.86</v>
      </c>
      <c r="AX92" s="89">
        <f t="shared" si="90"/>
        <v>198.86</v>
      </c>
      <c r="AY92" s="88">
        <f t="shared" ref="AY92:AZ92" si="476">AY63*1</f>
        <v>191</v>
      </c>
      <c r="AZ92" s="88">
        <f t="shared" si="476"/>
        <v>78</v>
      </c>
      <c r="BA92" s="88">
        <f t="shared" si="92"/>
        <v>2.1</v>
      </c>
      <c r="BB92" s="88">
        <f t="shared" si="93"/>
        <v>0</v>
      </c>
      <c r="BC92" s="88">
        <f t="shared" si="94"/>
        <v>22.5</v>
      </c>
      <c r="BD92" s="88">
        <f t="shared" si="95"/>
        <v>2.79</v>
      </c>
      <c r="BE92" s="89">
        <f t="shared" si="96"/>
        <v>296.39000000000004</v>
      </c>
      <c r="BF92" s="88">
        <f t="shared" ref="BF92:BG92" si="477">BF63*1</f>
        <v>15</v>
      </c>
      <c r="BG92" s="88">
        <f t="shared" si="477"/>
        <v>7</v>
      </c>
      <c r="BH92" s="88">
        <f t="shared" si="98"/>
        <v>0</v>
      </c>
      <c r="BI92" s="88">
        <f t="shared" si="99"/>
        <v>0</v>
      </c>
      <c r="BJ92" s="88">
        <f t="shared" si="100"/>
        <v>2.5</v>
      </c>
      <c r="BK92" s="88">
        <f t="shared" si="101"/>
        <v>0</v>
      </c>
      <c r="BL92" s="89">
        <f t="shared" si="102"/>
        <v>24.5</v>
      </c>
      <c r="BM92" s="88">
        <f t="shared" ref="BM92:BN92" si="478">BM63*1</f>
        <v>236</v>
      </c>
      <c r="BN92" s="88">
        <f t="shared" si="478"/>
        <v>60</v>
      </c>
      <c r="BO92" s="88">
        <f t="shared" si="104"/>
        <v>2.1</v>
      </c>
      <c r="BP92" s="88">
        <f t="shared" si="105"/>
        <v>0</v>
      </c>
      <c r="BQ92" s="88">
        <f t="shared" si="106"/>
        <v>7.5</v>
      </c>
      <c r="BR92" s="88">
        <f t="shared" si="107"/>
        <v>0</v>
      </c>
      <c r="BS92" s="89">
        <f t="shared" si="108"/>
        <v>305.60000000000002</v>
      </c>
      <c r="BT92" s="88">
        <f t="shared" ref="BT92:BU92" si="479">BT63*1</f>
        <v>284</v>
      </c>
      <c r="BU92" s="88">
        <f t="shared" si="479"/>
        <v>62</v>
      </c>
      <c r="BV92" s="88">
        <f t="shared" si="110"/>
        <v>0</v>
      </c>
      <c r="BW92" s="88">
        <f t="shared" si="111"/>
        <v>0</v>
      </c>
      <c r="BX92" s="88">
        <f t="shared" si="112"/>
        <v>0</v>
      </c>
      <c r="BY92" s="88">
        <f t="shared" si="113"/>
        <v>0</v>
      </c>
      <c r="BZ92" s="89">
        <f t="shared" si="114"/>
        <v>346</v>
      </c>
      <c r="CA92" s="88">
        <f t="shared" ref="CA92:CB92" si="480">CA63*1</f>
        <v>0</v>
      </c>
      <c r="CB92" s="88">
        <f t="shared" si="480"/>
        <v>0</v>
      </c>
      <c r="CC92" s="88">
        <f t="shared" si="116"/>
        <v>0</v>
      </c>
      <c r="CD92" s="88">
        <f t="shared" si="117"/>
        <v>0</v>
      </c>
      <c r="CE92" s="88">
        <f t="shared" si="118"/>
        <v>0</v>
      </c>
      <c r="CF92" s="88">
        <f t="shared" si="119"/>
        <v>0</v>
      </c>
      <c r="CG92" s="89">
        <f t="shared" si="120"/>
        <v>0</v>
      </c>
      <c r="CH92" s="88">
        <f t="shared" ref="CH92:CI92" si="481">CH63*1</f>
        <v>277</v>
      </c>
      <c r="CI92" s="88">
        <f t="shared" si="481"/>
        <v>42</v>
      </c>
      <c r="CJ92" s="88">
        <f t="shared" si="122"/>
        <v>0</v>
      </c>
      <c r="CK92" s="88">
        <f t="shared" si="123"/>
        <v>0</v>
      </c>
      <c r="CL92" s="88">
        <f t="shared" si="124"/>
        <v>2.5</v>
      </c>
      <c r="CM92" s="88">
        <f t="shared" si="125"/>
        <v>1.86</v>
      </c>
      <c r="CN92" s="89">
        <f t="shared" si="126"/>
        <v>323.36</v>
      </c>
      <c r="CO92" s="88">
        <f t="shared" ref="CO92:CP92" si="482">CO63*1</f>
        <v>552</v>
      </c>
      <c r="CP92" s="88">
        <f t="shared" si="482"/>
        <v>199</v>
      </c>
      <c r="CQ92" s="88">
        <f t="shared" si="128"/>
        <v>2.1</v>
      </c>
      <c r="CR92" s="88">
        <f t="shared" si="129"/>
        <v>1.5</v>
      </c>
      <c r="CS92" s="88">
        <f t="shared" si="130"/>
        <v>12.5</v>
      </c>
      <c r="CT92" s="88">
        <f t="shared" si="131"/>
        <v>1.86</v>
      </c>
      <c r="CU92" s="89">
        <f t="shared" si="132"/>
        <v>768.96</v>
      </c>
      <c r="CV92" s="88">
        <f t="shared" ref="CV92:CW92" si="483">CV63*1</f>
        <v>0</v>
      </c>
      <c r="CW92" s="88">
        <f t="shared" si="483"/>
        <v>0</v>
      </c>
      <c r="CX92" s="88">
        <f t="shared" si="134"/>
        <v>0</v>
      </c>
      <c r="CY92" s="88">
        <f t="shared" si="135"/>
        <v>0</v>
      </c>
      <c r="CZ92" s="88">
        <f t="shared" si="136"/>
        <v>0</v>
      </c>
      <c r="DA92" s="88">
        <f t="shared" si="137"/>
        <v>0</v>
      </c>
      <c r="DB92" s="89">
        <f t="shared" si="138"/>
        <v>0</v>
      </c>
      <c r="DC92" s="88">
        <f t="shared" ref="DC92:DD92" si="484">DC63*1</f>
        <v>0</v>
      </c>
      <c r="DD92" s="88">
        <f t="shared" si="484"/>
        <v>0</v>
      </c>
      <c r="DE92" s="88">
        <f t="shared" si="140"/>
        <v>0</v>
      </c>
      <c r="DF92" s="88">
        <f t="shared" si="141"/>
        <v>0</v>
      </c>
      <c r="DG92" s="88">
        <f t="shared" si="142"/>
        <v>0</v>
      </c>
      <c r="DH92" s="88">
        <f t="shared" si="143"/>
        <v>0</v>
      </c>
      <c r="DI92" s="89">
        <f t="shared" si="144"/>
        <v>0</v>
      </c>
      <c r="DJ92" s="88">
        <f t="shared" ref="DJ92:DK92" si="485">DJ63*1</f>
        <v>0</v>
      </c>
      <c r="DK92" s="88">
        <f t="shared" si="485"/>
        <v>0</v>
      </c>
      <c r="DL92" s="88">
        <f t="shared" si="146"/>
        <v>0</v>
      </c>
      <c r="DM92" s="88">
        <f t="shared" si="147"/>
        <v>0</v>
      </c>
      <c r="DN92" s="88">
        <f t="shared" si="148"/>
        <v>0</v>
      </c>
      <c r="DO92" s="88">
        <f t="shared" si="149"/>
        <v>0</v>
      </c>
      <c r="DP92" s="89">
        <f t="shared" si="150"/>
        <v>0</v>
      </c>
      <c r="DQ92" s="88">
        <f t="shared" ref="DQ92:DR92" si="486">DQ63*1</f>
        <v>0</v>
      </c>
      <c r="DR92" s="88">
        <f t="shared" si="486"/>
        <v>0</v>
      </c>
      <c r="DS92" s="88">
        <f t="shared" si="152"/>
        <v>0</v>
      </c>
      <c r="DT92" s="88">
        <f t="shared" si="153"/>
        <v>0</v>
      </c>
      <c r="DU92" s="88">
        <f t="shared" si="154"/>
        <v>0</v>
      </c>
      <c r="DV92" s="88">
        <f t="shared" si="155"/>
        <v>0</v>
      </c>
      <c r="DW92" s="89">
        <f t="shared" si="156"/>
        <v>0</v>
      </c>
      <c r="DX92" s="88">
        <f t="shared" ref="DX92:DY92" si="487">DX63*1</f>
        <v>0</v>
      </c>
      <c r="DY92" s="88">
        <f t="shared" si="487"/>
        <v>0</v>
      </c>
      <c r="DZ92" s="88">
        <f t="shared" si="158"/>
        <v>0</v>
      </c>
      <c r="EA92" s="88">
        <f t="shared" si="159"/>
        <v>0</v>
      </c>
      <c r="EB92" s="88">
        <f t="shared" si="160"/>
        <v>0</v>
      </c>
      <c r="EC92" s="88">
        <f t="shared" si="161"/>
        <v>0</v>
      </c>
      <c r="ED92" s="89">
        <f t="shared" si="162"/>
        <v>0</v>
      </c>
      <c r="EE92" s="277"/>
      <c r="EF92" s="277"/>
      <c r="EG92" s="277"/>
      <c r="EH92" s="277"/>
      <c r="EI92" s="277"/>
      <c r="EJ92" s="277"/>
      <c r="EK92" s="277"/>
      <c r="EL92" s="88">
        <f t="shared" ref="EL92:EM92" si="488">EL63*1</f>
        <v>0</v>
      </c>
      <c r="EM92" s="88">
        <f t="shared" si="488"/>
        <v>0</v>
      </c>
      <c r="EN92" s="88">
        <f t="shared" si="164"/>
        <v>0</v>
      </c>
      <c r="EO92" s="88">
        <f t="shared" si="165"/>
        <v>0</v>
      </c>
      <c r="EP92" s="88">
        <f t="shared" si="166"/>
        <v>0</v>
      </c>
      <c r="EQ92" s="88">
        <f t="shared" si="167"/>
        <v>0</v>
      </c>
      <c r="ER92" s="89">
        <f t="shared" si="168"/>
        <v>0</v>
      </c>
      <c r="ES92" s="88">
        <f t="shared" ref="ES92:ET92" si="489">ES63*1</f>
        <v>0</v>
      </c>
      <c r="ET92" s="88">
        <f t="shared" si="489"/>
        <v>0</v>
      </c>
      <c r="EU92" s="88">
        <f t="shared" si="170"/>
        <v>0</v>
      </c>
      <c r="EV92" s="88">
        <f t="shared" si="171"/>
        <v>0</v>
      </c>
      <c r="EW92" s="88">
        <f t="shared" si="172"/>
        <v>0</v>
      </c>
      <c r="EX92" s="88">
        <f t="shared" si="173"/>
        <v>0</v>
      </c>
      <c r="EY92" s="89">
        <f t="shared" si="174"/>
        <v>0</v>
      </c>
      <c r="EZ92" s="88">
        <f t="shared" ref="EZ92:FA92" si="490">EZ63*1</f>
        <v>0</v>
      </c>
      <c r="FA92" s="88">
        <f t="shared" si="490"/>
        <v>0</v>
      </c>
      <c r="FB92" s="88">
        <f t="shared" si="176"/>
        <v>0</v>
      </c>
      <c r="FC92" s="88">
        <f t="shared" si="177"/>
        <v>0</v>
      </c>
      <c r="FD92" s="88">
        <f t="shared" si="178"/>
        <v>0</v>
      </c>
      <c r="FE92" s="88">
        <f t="shared" si="179"/>
        <v>0</v>
      </c>
      <c r="FF92" s="89">
        <f t="shared" si="180"/>
        <v>0</v>
      </c>
      <c r="FG92" s="277"/>
      <c r="FH92" s="277"/>
      <c r="FI92" s="277"/>
      <c r="FJ92" s="277"/>
      <c r="FK92" s="277"/>
      <c r="FL92" s="277"/>
      <c r="FM92" s="277"/>
      <c r="FN92" s="88">
        <f t="shared" ref="FN92:FO92" si="491">FN63*1</f>
        <v>0</v>
      </c>
      <c r="FO92" s="88">
        <f t="shared" si="491"/>
        <v>0</v>
      </c>
      <c r="FP92" s="88">
        <f t="shared" si="182"/>
        <v>0</v>
      </c>
      <c r="FQ92" s="88">
        <f t="shared" si="183"/>
        <v>0</v>
      </c>
      <c r="FR92" s="88">
        <f t="shared" si="184"/>
        <v>0</v>
      </c>
      <c r="FS92" s="88">
        <f t="shared" si="185"/>
        <v>0</v>
      </c>
      <c r="FT92" s="89">
        <f t="shared" si="186"/>
        <v>0</v>
      </c>
      <c r="FU92" s="88">
        <f t="shared" ref="FU92:FV92" si="492">FU63*1</f>
        <v>0</v>
      </c>
      <c r="FV92" s="88">
        <f t="shared" si="492"/>
        <v>0</v>
      </c>
      <c r="FW92" s="88">
        <f t="shared" si="188"/>
        <v>0</v>
      </c>
      <c r="FX92" s="88">
        <f t="shared" si="189"/>
        <v>0</v>
      </c>
      <c r="FY92" s="88">
        <f t="shared" si="190"/>
        <v>0</v>
      </c>
      <c r="FZ92" s="88">
        <f t="shared" si="191"/>
        <v>0</v>
      </c>
      <c r="GA92" s="89">
        <f t="shared" si="192"/>
        <v>0</v>
      </c>
      <c r="GB92" s="88">
        <f t="shared" ref="GB92:GC92" si="493">GB63*1</f>
        <v>0</v>
      </c>
      <c r="GC92" s="88">
        <f t="shared" si="493"/>
        <v>0</v>
      </c>
      <c r="GD92" s="88">
        <f t="shared" si="194"/>
        <v>0</v>
      </c>
      <c r="GE92" s="88">
        <f t="shared" si="195"/>
        <v>0</v>
      </c>
      <c r="GF92" s="88">
        <f t="shared" si="196"/>
        <v>0</v>
      </c>
      <c r="GG92" s="88">
        <f t="shared" si="197"/>
        <v>0</v>
      </c>
      <c r="GH92" s="89">
        <f t="shared" si="198"/>
        <v>0</v>
      </c>
      <c r="GI92" s="277"/>
      <c r="GJ92" s="277"/>
      <c r="GK92" s="277"/>
      <c r="GL92" s="277"/>
      <c r="GM92" s="277"/>
      <c r="GN92" s="277"/>
      <c r="GO92" s="277"/>
      <c r="GP92" s="88">
        <f t="shared" ref="GP92:GQ92" si="494">GP63*1</f>
        <v>0</v>
      </c>
      <c r="GQ92" s="88">
        <f t="shared" si="494"/>
        <v>0</v>
      </c>
      <c r="GR92" s="88">
        <f t="shared" si="200"/>
        <v>0</v>
      </c>
      <c r="GS92" s="88">
        <f t="shared" si="201"/>
        <v>0</v>
      </c>
      <c r="GT92" s="88">
        <f t="shared" si="202"/>
        <v>0</v>
      </c>
      <c r="GU92" s="88">
        <f t="shared" si="203"/>
        <v>0</v>
      </c>
      <c r="GV92" s="89">
        <f t="shared" si="204"/>
        <v>0</v>
      </c>
      <c r="GW92" s="88">
        <f t="shared" ref="GW92:GX92" si="495">GW63*1</f>
        <v>0</v>
      </c>
      <c r="GX92" s="88">
        <f t="shared" si="495"/>
        <v>0</v>
      </c>
      <c r="GY92" s="88">
        <f t="shared" si="206"/>
        <v>0</v>
      </c>
      <c r="GZ92" s="88">
        <f t="shared" si="207"/>
        <v>0</v>
      </c>
      <c r="HA92" s="88">
        <f t="shared" si="208"/>
        <v>0</v>
      </c>
      <c r="HB92" s="88">
        <f t="shared" si="209"/>
        <v>0</v>
      </c>
      <c r="HC92" s="89">
        <f t="shared" si="210"/>
        <v>0</v>
      </c>
      <c r="HD92" s="88">
        <f t="shared" ref="HD92:HE92" si="496">HD63*1</f>
        <v>0</v>
      </c>
      <c r="HE92" s="88">
        <f t="shared" si="496"/>
        <v>0</v>
      </c>
      <c r="HF92" s="88">
        <f t="shared" si="212"/>
        <v>0</v>
      </c>
      <c r="HG92" s="88">
        <f t="shared" si="213"/>
        <v>0</v>
      </c>
      <c r="HH92" s="88">
        <f t="shared" si="214"/>
        <v>0</v>
      </c>
      <c r="HI92" s="88">
        <f t="shared" si="215"/>
        <v>0</v>
      </c>
      <c r="HJ92" s="89">
        <f t="shared" si="216"/>
        <v>0</v>
      </c>
    </row>
    <row r="93" spans="1:218" ht="21.75" customHeight="1" x14ac:dyDescent="0.6">
      <c r="A93" s="90" t="s">
        <v>178</v>
      </c>
      <c r="B93" s="88">
        <f t="shared" ref="B93:C93" si="497">B64*1</f>
        <v>160</v>
      </c>
      <c r="C93" s="88">
        <f t="shared" si="497"/>
        <v>21</v>
      </c>
      <c r="D93" s="88">
        <f t="shared" si="50"/>
        <v>0</v>
      </c>
      <c r="E93" s="88">
        <f t="shared" si="51"/>
        <v>0</v>
      </c>
      <c r="F93" s="88">
        <f t="shared" si="52"/>
        <v>5</v>
      </c>
      <c r="G93" s="88">
        <f t="shared" si="53"/>
        <v>0.93</v>
      </c>
      <c r="H93" s="89">
        <f t="shared" si="54"/>
        <v>186.93</v>
      </c>
      <c r="I93" s="88">
        <f t="shared" ref="I93:J93" si="498">I64*1</f>
        <v>92</v>
      </c>
      <c r="J93" s="88">
        <f t="shared" si="498"/>
        <v>42</v>
      </c>
      <c r="K93" s="88">
        <f t="shared" si="56"/>
        <v>0</v>
      </c>
      <c r="L93" s="88">
        <f t="shared" si="57"/>
        <v>0</v>
      </c>
      <c r="M93" s="88">
        <f t="shared" si="58"/>
        <v>0</v>
      </c>
      <c r="N93" s="88">
        <f t="shared" si="59"/>
        <v>0</v>
      </c>
      <c r="O93" s="89">
        <f t="shared" si="60"/>
        <v>134</v>
      </c>
      <c r="P93" s="88">
        <f t="shared" ref="P93:Q93" si="499">P64*1</f>
        <v>64</v>
      </c>
      <c r="Q93" s="88">
        <f t="shared" si="499"/>
        <v>19</v>
      </c>
      <c r="R93" s="88">
        <f t="shared" si="62"/>
        <v>0</v>
      </c>
      <c r="S93" s="88">
        <f t="shared" si="63"/>
        <v>0</v>
      </c>
      <c r="T93" s="88">
        <f t="shared" si="64"/>
        <v>0</v>
      </c>
      <c r="U93" s="88">
        <f t="shared" si="65"/>
        <v>0</v>
      </c>
      <c r="V93" s="89">
        <f t="shared" si="66"/>
        <v>83</v>
      </c>
      <c r="W93" s="88">
        <f t="shared" ref="W93:X93" si="500">W64*1</f>
        <v>0</v>
      </c>
      <c r="X93" s="88">
        <f t="shared" si="500"/>
        <v>0</v>
      </c>
      <c r="Y93" s="88">
        <f t="shared" si="68"/>
        <v>0</v>
      </c>
      <c r="Z93" s="88">
        <f t="shared" si="69"/>
        <v>0</v>
      </c>
      <c r="AA93" s="88">
        <f t="shared" si="70"/>
        <v>0</v>
      </c>
      <c r="AB93" s="88">
        <f t="shared" si="71"/>
        <v>0</v>
      </c>
      <c r="AC93" s="89">
        <f t="shared" si="72"/>
        <v>0</v>
      </c>
      <c r="AD93" s="88">
        <f t="shared" ref="AD93:AE93" si="501">AD64*1</f>
        <v>213</v>
      </c>
      <c r="AE93" s="88">
        <f t="shared" si="501"/>
        <v>68</v>
      </c>
      <c r="AF93" s="88">
        <f t="shared" si="74"/>
        <v>0</v>
      </c>
      <c r="AG93" s="88">
        <f t="shared" si="75"/>
        <v>0</v>
      </c>
      <c r="AH93" s="88">
        <f t="shared" si="76"/>
        <v>2.5</v>
      </c>
      <c r="AI93" s="88">
        <f t="shared" si="77"/>
        <v>0</v>
      </c>
      <c r="AJ93" s="89">
        <f t="shared" si="78"/>
        <v>283.5</v>
      </c>
      <c r="AK93" s="88">
        <f t="shared" ref="AK93:AL93" si="502">AK64*1</f>
        <v>569</v>
      </c>
      <c r="AL93" s="88">
        <f t="shared" si="502"/>
        <v>130</v>
      </c>
      <c r="AM93" s="88">
        <f t="shared" si="80"/>
        <v>4.2</v>
      </c>
      <c r="AN93" s="88">
        <f t="shared" si="81"/>
        <v>0</v>
      </c>
      <c r="AO93" s="88">
        <f t="shared" si="82"/>
        <v>12.5</v>
      </c>
      <c r="AP93" s="88">
        <f t="shared" si="83"/>
        <v>0</v>
      </c>
      <c r="AQ93" s="89">
        <f t="shared" si="84"/>
        <v>715.7</v>
      </c>
      <c r="AR93" s="88">
        <f t="shared" ref="AR93:AS93" si="503">AR64*1</f>
        <v>188</v>
      </c>
      <c r="AS93" s="88">
        <f t="shared" si="503"/>
        <v>25</v>
      </c>
      <c r="AT93" s="88">
        <f t="shared" si="86"/>
        <v>0</v>
      </c>
      <c r="AU93" s="88">
        <f t="shared" si="87"/>
        <v>0</v>
      </c>
      <c r="AV93" s="88">
        <f t="shared" si="88"/>
        <v>2.5</v>
      </c>
      <c r="AW93" s="88">
        <f t="shared" si="89"/>
        <v>1.86</v>
      </c>
      <c r="AX93" s="89">
        <f t="shared" si="90"/>
        <v>217.36</v>
      </c>
      <c r="AY93" s="88">
        <f t="shared" ref="AY93:AZ93" si="504">AY64*1</f>
        <v>192</v>
      </c>
      <c r="AZ93" s="88">
        <f t="shared" si="504"/>
        <v>72</v>
      </c>
      <c r="BA93" s="88">
        <f t="shared" si="92"/>
        <v>0</v>
      </c>
      <c r="BB93" s="88">
        <f t="shared" si="93"/>
        <v>0</v>
      </c>
      <c r="BC93" s="88">
        <f t="shared" si="94"/>
        <v>2.5</v>
      </c>
      <c r="BD93" s="88">
        <f t="shared" si="95"/>
        <v>0</v>
      </c>
      <c r="BE93" s="89">
        <f t="shared" si="96"/>
        <v>266.5</v>
      </c>
      <c r="BF93" s="88">
        <f t="shared" ref="BF93:BG93" si="505">BF64*1</f>
        <v>12</v>
      </c>
      <c r="BG93" s="88">
        <f t="shared" si="505"/>
        <v>2</v>
      </c>
      <c r="BH93" s="88">
        <f t="shared" si="98"/>
        <v>0</v>
      </c>
      <c r="BI93" s="88">
        <f t="shared" si="99"/>
        <v>0</v>
      </c>
      <c r="BJ93" s="88">
        <f t="shared" si="100"/>
        <v>0</v>
      </c>
      <c r="BK93" s="88">
        <f t="shared" si="101"/>
        <v>0</v>
      </c>
      <c r="BL93" s="89">
        <f t="shared" si="102"/>
        <v>14</v>
      </c>
      <c r="BM93" s="88">
        <f t="shared" ref="BM93:BN93" si="506">BM64*1</f>
        <v>145</v>
      </c>
      <c r="BN93" s="88">
        <f t="shared" si="506"/>
        <v>52</v>
      </c>
      <c r="BO93" s="88">
        <f t="shared" si="104"/>
        <v>2.1</v>
      </c>
      <c r="BP93" s="88">
        <f t="shared" si="105"/>
        <v>0</v>
      </c>
      <c r="BQ93" s="88">
        <f t="shared" si="106"/>
        <v>2.5</v>
      </c>
      <c r="BR93" s="88">
        <f t="shared" si="107"/>
        <v>0</v>
      </c>
      <c r="BS93" s="89">
        <f t="shared" si="108"/>
        <v>201.6</v>
      </c>
      <c r="BT93" s="88">
        <f t="shared" ref="BT93:BU93" si="507">BT64*1</f>
        <v>256</v>
      </c>
      <c r="BU93" s="88">
        <f t="shared" si="507"/>
        <v>39</v>
      </c>
      <c r="BV93" s="88">
        <f t="shared" si="110"/>
        <v>0</v>
      </c>
      <c r="BW93" s="88">
        <f t="shared" si="111"/>
        <v>0</v>
      </c>
      <c r="BX93" s="88">
        <f t="shared" si="112"/>
        <v>0</v>
      </c>
      <c r="BY93" s="88">
        <f t="shared" si="113"/>
        <v>0</v>
      </c>
      <c r="BZ93" s="89">
        <f t="shared" si="114"/>
        <v>295</v>
      </c>
      <c r="CA93" s="88">
        <f t="shared" ref="CA93:CB93" si="508">CA64*1</f>
        <v>0</v>
      </c>
      <c r="CB93" s="88">
        <f t="shared" si="508"/>
        <v>0</v>
      </c>
      <c r="CC93" s="88">
        <f t="shared" si="116"/>
        <v>0</v>
      </c>
      <c r="CD93" s="88">
        <f t="shared" si="117"/>
        <v>0</v>
      </c>
      <c r="CE93" s="88">
        <f t="shared" si="118"/>
        <v>0</v>
      </c>
      <c r="CF93" s="88">
        <f t="shared" si="119"/>
        <v>0</v>
      </c>
      <c r="CG93" s="89">
        <f t="shared" si="120"/>
        <v>0</v>
      </c>
      <c r="CH93" s="88">
        <f t="shared" ref="CH93:CI93" si="509">CH64*1</f>
        <v>264</v>
      </c>
      <c r="CI93" s="88">
        <f t="shared" si="509"/>
        <v>33</v>
      </c>
      <c r="CJ93" s="88">
        <f t="shared" si="122"/>
        <v>0</v>
      </c>
      <c r="CK93" s="88">
        <f t="shared" si="123"/>
        <v>0</v>
      </c>
      <c r="CL93" s="88">
        <f t="shared" si="124"/>
        <v>2.5</v>
      </c>
      <c r="CM93" s="88">
        <f t="shared" si="125"/>
        <v>0.93</v>
      </c>
      <c r="CN93" s="89">
        <f t="shared" si="126"/>
        <v>300.43</v>
      </c>
      <c r="CO93" s="88">
        <f t="shared" ref="CO93:CP93" si="510">CO64*1</f>
        <v>623</v>
      </c>
      <c r="CP93" s="88">
        <f t="shared" si="510"/>
        <v>173</v>
      </c>
      <c r="CQ93" s="88">
        <f t="shared" si="128"/>
        <v>2.1</v>
      </c>
      <c r="CR93" s="88">
        <f t="shared" si="129"/>
        <v>4.5</v>
      </c>
      <c r="CS93" s="88">
        <f t="shared" si="130"/>
        <v>0</v>
      </c>
      <c r="CT93" s="88">
        <f t="shared" si="131"/>
        <v>0</v>
      </c>
      <c r="CU93" s="89">
        <f t="shared" si="132"/>
        <v>802.6</v>
      </c>
      <c r="CV93" s="88">
        <f t="shared" ref="CV93:CW93" si="511">CV64*1</f>
        <v>0</v>
      </c>
      <c r="CW93" s="88">
        <f t="shared" si="511"/>
        <v>0</v>
      </c>
      <c r="CX93" s="88">
        <f t="shared" si="134"/>
        <v>0</v>
      </c>
      <c r="CY93" s="88">
        <f t="shared" si="135"/>
        <v>0</v>
      </c>
      <c r="CZ93" s="88">
        <f t="shared" si="136"/>
        <v>0</v>
      </c>
      <c r="DA93" s="88">
        <f t="shared" si="137"/>
        <v>0</v>
      </c>
      <c r="DB93" s="89">
        <f t="shared" si="138"/>
        <v>0</v>
      </c>
      <c r="DC93" s="88">
        <f t="shared" ref="DC93:DD93" si="512">DC64*1</f>
        <v>0</v>
      </c>
      <c r="DD93" s="88">
        <f t="shared" si="512"/>
        <v>0</v>
      </c>
      <c r="DE93" s="88">
        <f t="shared" si="140"/>
        <v>0</v>
      </c>
      <c r="DF93" s="88">
        <f t="shared" si="141"/>
        <v>0</v>
      </c>
      <c r="DG93" s="88">
        <f t="shared" si="142"/>
        <v>0</v>
      </c>
      <c r="DH93" s="88">
        <f t="shared" si="143"/>
        <v>0</v>
      </c>
      <c r="DI93" s="89">
        <f t="shared" si="144"/>
        <v>0</v>
      </c>
      <c r="DJ93" s="88">
        <f t="shared" ref="DJ93:DK93" si="513">DJ64*1</f>
        <v>0</v>
      </c>
      <c r="DK93" s="88">
        <f t="shared" si="513"/>
        <v>0</v>
      </c>
      <c r="DL93" s="88">
        <f t="shared" si="146"/>
        <v>0</v>
      </c>
      <c r="DM93" s="88">
        <f t="shared" si="147"/>
        <v>0</v>
      </c>
      <c r="DN93" s="88">
        <f t="shared" si="148"/>
        <v>0</v>
      </c>
      <c r="DO93" s="88">
        <f t="shared" si="149"/>
        <v>0</v>
      </c>
      <c r="DP93" s="89">
        <f t="shared" si="150"/>
        <v>0</v>
      </c>
      <c r="DQ93" s="88">
        <f t="shared" ref="DQ93:DR93" si="514">DQ64*1</f>
        <v>0</v>
      </c>
      <c r="DR93" s="88">
        <f t="shared" si="514"/>
        <v>0</v>
      </c>
      <c r="DS93" s="88">
        <f t="shared" si="152"/>
        <v>0</v>
      </c>
      <c r="DT93" s="88">
        <f t="shared" si="153"/>
        <v>0</v>
      </c>
      <c r="DU93" s="88">
        <f t="shared" si="154"/>
        <v>0</v>
      </c>
      <c r="DV93" s="88">
        <f t="shared" si="155"/>
        <v>0</v>
      </c>
      <c r="DW93" s="89">
        <f t="shared" si="156"/>
        <v>0</v>
      </c>
      <c r="DX93" s="88">
        <f t="shared" ref="DX93:DY93" si="515">DX64*1</f>
        <v>0</v>
      </c>
      <c r="DY93" s="88">
        <f t="shared" si="515"/>
        <v>0</v>
      </c>
      <c r="DZ93" s="88">
        <f t="shared" si="158"/>
        <v>0</v>
      </c>
      <c r="EA93" s="88">
        <f t="shared" si="159"/>
        <v>0</v>
      </c>
      <c r="EB93" s="88">
        <f t="shared" si="160"/>
        <v>0</v>
      </c>
      <c r="EC93" s="88">
        <f t="shared" si="161"/>
        <v>0</v>
      </c>
      <c r="ED93" s="89">
        <f t="shared" si="162"/>
        <v>0</v>
      </c>
      <c r="EE93" s="277"/>
      <c r="EF93" s="277"/>
      <c r="EG93" s="277"/>
      <c r="EH93" s="277"/>
      <c r="EI93" s="277"/>
      <c r="EJ93" s="277"/>
      <c r="EK93" s="277"/>
      <c r="EL93" s="88">
        <f t="shared" ref="EL93:EM93" si="516">EL64*1</f>
        <v>0</v>
      </c>
      <c r="EM93" s="88">
        <f t="shared" si="516"/>
        <v>0</v>
      </c>
      <c r="EN93" s="88">
        <f t="shared" si="164"/>
        <v>0</v>
      </c>
      <c r="EO93" s="88">
        <f t="shared" si="165"/>
        <v>0</v>
      </c>
      <c r="EP93" s="88">
        <f t="shared" si="166"/>
        <v>0</v>
      </c>
      <c r="EQ93" s="88">
        <f t="shared" si="167"/>
        <v>0</v>
      </c>
      <c r="ER93" s="89">
        <f t="shared" si="168"/>
        <v>0</v>
      </c>
      <c r="ES93" s="88">
        <f t="shared" ref="ES93:ET93" si="517">ES64*1</f>
        <v>0</v>
      </c>
      <c r="ET93" s="88">
        <f t="shared" si="517"/>
        <v>0</v>
      </c>
      <c r="EU93" s="88">
        <f t="shared" si="170"/>
        <v>0</v>
      </c>
      <c r="EV93" s="88">
        <f t="shared" si="171"/>
        <v>0</v>
      </c>
      <c r="EW93" s="88">
        <f t="shared" si="172"/>
        <v>0</v>
      </c>
      <c r="EX93" s="88">
        <f t="shared" si="173"/>
        <v>0</v>
      </c>
      <c r="EY93" s="89">
        <f t="shared" si="174"/>
        <v>0</v>
      </c>
      <c r="EZ93" s="88">
        <f t="shared" ref="EZ93:FA93" si="518">EZ64*1</f>
        <v>0</v>
      </c>
      <c r="FA93" s="88">
        <f t="shared" si="518"/>
        <v>0</v>
      </c>
      <c r="FB93" s="88">
        <f t="shared" si="176"/>
        <v>0</v>
      </c>
      <c r="FC93" s="88">
        <f t="shared" si="177"/>
        <v>0</v>
      </c>
      <c r="FD93" s="88">
        <f t="shared" si="178"/>
        <v>0</v>
      </c>
      <c r="FE93" s="88">
        <f t="shared" si="179"/>
        <v>0</v>
      </c>
      <c r="FF93" s="89">
        <f t="shared" si="180"/>
        <v>0</v>
      </c>
      <c r="FG93" s="277"/>
      <c r="FH93" s="277"/>
      <c r="FI93" s="277"/>
      <c r="FJ93" s="277"/>
      <c r="FK93" s="277"/>
      <c r="FL93" s="277"/>
      <c r="FM93" s="277"/>
      <c r="FN93" s="88">
        <f t="shared" ref="FN93:FO93" si="519">FN64*1</f>
        <v>0</v>
      </c>
      <c r="FO93" s="88">
        <f t="shared" si="519"/>
        <v>0</v>
      </c>
      <c r="FP93" s="88">
        <f t="shared" si="182"/>
        <v>0</v>
      </c>
      <c r="FQ93" s="88">
        <f t="shared" si="183"/>
        <v>0</v>
      </c>
      <c r="FR93" s="88">
        <f t="shared" si="184"/>
        <v>0</v>
      </c>
      <c r="FS93" s="88">
        <f t="shared" si="185"/>
        <v>0</v>
      </c>
      <c r="FT93" s="89">
        <f t="shared" si="186"/>
        <v>0</v>
      </c>
      <c r="FU93" s="88">
        <f t="shared" ref="FU93:FV93" si="520">FU64*1</f>
        <v>0</v>
      </c>
      <c r="FV93" s="88">
        <f t="shared" si="520"/>
        <v>0</v>
      </c>
      <c r="FW93" s="88">
        <f t="shared" si="188"/>
        <v>0</v>
      </c>
      <c r="FX93" s="88">
        <f t="shared" si="189"/>
        <v>0</v>
      </c>
      <c r="FY93" s="88">
        <f t="shared" si="190"/>
        <v>0</v>
      </c>
      <c r="FZ93" s="88">
        <f t="shared" si="191"/>
        <v>0</v>
      </c>
      <c r="GA93" s="89">
        <f t="shared" si="192"/>
        <v>0</v>
      </c>
      <c r="GB93" s="88">
        <f t="shared" ref="GB93:GC93" si="521">GB64*1</f>
        <v>0</v>
      </c>
      <c r="GC93" s="88">
        <f t="shared" si="521"/>
        <v>0</v>
      </c>
      <c r="GD93" s="88">
        <f t="shared" si="194"/>
        <v>0</v>
      </c>
      <c r="GE93" s="88">
        <f t="shared" si="195"/>
        <v>0</v>
      </c>
      <c r="GF93" s="88">
        <f t="shared" si="196"/>
        <v>0</v>
      </c>
      <c r="GG93" s="88">
        <f t="shared" si="197"/>
        <v>0</v>
      </c>
      <c r="GH93" s="89">
        <f t="shared" si="198"/>
        <v>0</v>
      </c>
      <c r="GI93" s="277"/>
      <c r="GJ93" s="277"/>
      <c r="GK93" s="277"/>
      <c r="GL93" s="277"/>
      <c r="GM93" s="277"/>
      <c r="GN93" s="277"/>
      <c r="GO93" s="277"/>
      <c r="GP93" s="88">
        <f t="shared" ref="GP93:GQ93" si="522">GP64*1</f>
        <v>0</v>
      </c>
      <c r="GQ93" s="88">
        <f t="shared" si="522"/>
        <v>0</v>
      </c>
      <c r="GR93" s="88">
        <f t="shared" si="200"/>
        <v>0</v>
      </c>
      <c r="GS93" s="88">
        <f t="shared" si="201"/>
        <v>0</v>
      </c>
      <c r="GT93" s="88">
        <f t="shared" si="202"/>
        <v>0</v>
      </c>
      <c r="GU93" s="88">
        <f t="shared" si="203"/>
        <v>0</v>
      </c>
      <c r="GV93" s="89">
        <f t="shared" si="204"/>
        <v>0</v>
      </c>
      <c r="GW93" s="88">
        <f t="shared" ref="GW93:GX93" si="523">GW64*1</f>
        <v>0</v>
      </c>
      <c r="GX93" s="88">
        <f t="shared" si="523"/>
        <v>0</v>
      </c>
      <c r="GY93" s="88">
        <f t="shared" si="206"/>
        <v>0</v>
      </c>
      <c r="GZ93" s="88">
        <f t="shared" si="207"/>
        <v>0</v>
      </c>
      <c r="HA93" s="88">
        <f t="shared" si="208"/>
        <v>0</v>
      </c>
      <c r="HB93" s="88">
        <f t="shared" si="209"/>
        <v>0</v>
      </c>
      <c r="HC93" s="89">
        <f t="shared" si="210"/>
        <v>0</v>
      </c>
      <c r="HD93" s="88">
        <f t="shared" ref="HD93:HE93" si="524">HD64*1</f>
        <v>0</v>
      </c>
      <c r="HE93" s="88">
        <f t="shared" si="524"/>
        <v>0</v>
      </c>
      <c r="HF93" s="88">
        <f t="shared" si="212"/>
        <v>0</v>
      </c>
      <c r="HG93" s="88">
        <f t="shared" si="213"/>
        <v>0</v>
      </c>
      <c r="HH93" s="88">
        <f t="shared" si="214"/>
        <v>0</v>
      </c>
      <c r="HI93" s="88">
        <f t="shared" si="215"/>
        <v>0</v>
      </c>
      <c r="HJ93" s="89">
        <f t="shared" si="216"/>
        <v>0</v>
      </c>
    </row>
    <row r="94" spans="1:218" ht="21.75" customHeight="1" x14ac:dyDescent="0.6">
      <c r="A94" s="86" t="s">
        <v>259</v>
      </c>
      <c r="B94" s="76">
        <f t="shared" ref="B94:HJ94" si="525">SUM(B82:B93)</f>
        <v>1831</v>
      </c>
      <c r="C94" s="76">
        <f t="shared" si="525"/>
        <v>330</v>
      </c>
      <c r="D94" s="76">
        <f t="shared" si="525"/>
        <v>6.3000000000000007</v>
      </c>
      <c r="E94" s="76">
        <f t="shared" si="525"/>
        <v>0</v>
      </c>
      <c r="F94" s="76">
        <f t="shared" si="525"/>
        <v>65</v>
      </c>
      <c r="G94" s="76">
        <f t="shared" si="525"/>
        <v>19.529999999999998</v>
      </c>
      <c r="H94" s="76">
        <f t="shared" si="525"/>
        <v>2251.83</v>
      </c>
      <c r="I94" s="76">
        <f t="shared" si="525"/>
        <v>1831</v>
      </c>
      <c r="J94" s="76">
        <f t="shared" si="525"/>
        <v>484</v>
      </c>
      <c r="K94" s="76">
        <f t="shared" si="525"/>
        <v>0</v>
      </c>
      <c r="L94" s="76">
        <f t="shared" si="525"/>
        <v>0</v>
      </c>
      <c r="M94" s="76">
        <f t="shared" si="525"/>
        <v>5</v>
      </c>
      <c r="N94" s="76">
        <f t="shared" si="525"/>
        <v>1.86</v>
      </c>
      <c r="O94" s="76">
        <f t="shared" si="525"/>
        <v>2321.86</v>
      </c>
      <c r="P94" s="76">
        <f t="shared" si="525"/>
        <v>1066</v>
      </c>
      <c r="Q94" s="76">
        <f t="shared" si="525"/>
        <v>361</v>
      </c>
      <c r="R94" s="76">
        <f t="shared" si="525"/>
        <v>0</v>
      </c>
      <c r="S94" s="76">
        <f t="shared" si="525"/>
        <v>0</v>
      </c>
      <c r="T94" s="76">
        <f t="shared" si="525"/>
        <v>25</v>
      </c>
      <c r="U94" s="76">
        <f t="shared" si="525"/>
        <v>0</v>
      </c>
      <c r="V94" s="76">
        <f t="shared" si="525"/>
        <v>1452</v>
      </c>
      <c r="W94" s="76">
        <f t="shared" si="525"/>
        <v>0</v>
      </c>
      <c r="X94" s="76">
        <f t="shared" si="525"/>
        <v>0</v>
      </c>
      <c r="Y94" s="76">
        <f t="shared" si="525"/>
        <v>0</v>
      </c>
      <c r="Z94" s="76">
        <f t="shared" si="525"/>
        <v>0</v>
      </c>
      <c r="AA94" s="76">
        <f t="shared" si="525"/>
        <v>0</v>
      </c>
      <c r="AB94" s="76">
        <f t="shared" si="525"/>
        <v>0</v>
      </c>
      <c r="AC94" s="76">
        <f t="shared" si="525"/>
        <v>0</v>
      </c>
      <c r="AD94" s="76">
        <f t="shared" si="525"/>
        <v>2475</v>
      </c>
      <c r="AE94" s="76">
        <f t="shared" si="525"/>
        <v>839</v>
      </c>
      <c r="AF94" s="76">
        <f t="shared" si="525"/>
        <v>12.6</v>
      </c>
      <c r="AG94" s="76">
        <f t="shared" si="525"/>
        <v>0</v>
      </c>
      <c r="AH94" s="76">
        <f t="shared" si="525"/>
        <v>20</v>
      </c>
      <c r="AI94" s="76">
        <f t="shared" si="525"/>
        <v>1.86</v>
      </c>
      <c r="AJ94" s="76">
        <f t="shared" si="525"/>
        <v>3348.4600000000005</v>
      </c>
      <c r="AK94" s="76">
        <f t="shared" si="525"/>
        <v>7151</v>
      </c>
      <c r="AL94" s="76">
        <f t="shared" si="525"/>
        <v>2134</v>
      </c>
      <c r="AM94" s="76">
        <f t="shared" si="525"/>
        <v>48.3</v>
      </c>
      <c r="AN94" s="76">
        <f t="shared" si="525"/>
        <v>16.5</v>
      </c>
      <c r="AO94" s="76">
        <f t="shared" si="525"/>
        <v>530</v>
      </c>
      <c r="AP94" s="76">
        <f t="shared" si="525"/>
        <v>5.58</v>
      </c>
      <c r="AQ94" s="76">
        <f t="shared" si="525"/>
        <v>9885.380000000001</v>
      </c>
      <c r="AR94" s="76">
        <f t="shared" si="525"/>
        <v>1419</v>
      </c>
      <c r="AS94" s="76">
        <f t="shared" si="525"/>
        <v>326</v>
      </c>
      <c r="AT94" s="76">
        <f t="shared" si="525"/>
        <v>0</v>
      </c>
      <c r="AU94" s="76">
        <f t="shared" si="525"/>
        <v>0</v>
      </c>
      <c r="AV94" s="76">
        <f t="shared" si="525"/>
        <v>45</v>
      </c>
      <c r="AW94" s="76">
        <f t="shared" si="525"/>
        <v>7.44</v>
      </c>
      <c r="AX94" s="76">
        <f t="shared" si="525"/>
        <v>1797.4400000000005</v>
      </c>
      <c r="AY94" s="76">
        <f t="shared" si="525"/>
        <v>2289</v>
      </c>
      <c r="AZ94" s="76">
        <f t="shared" si="525"/>
        <v>867</v>
      </c>
      <c r="BA94" s="76">
        <f t="shared" si="525"/>
        <v>18.900000000000002</v>
      </c>
      <c r="BB94" s="76">
        <f t="shared" si="525"/>
        <v>0</v>
      </c>
      <c r="BC94" s="76">
        <f t="shared" si="525"/>
        <v>132.5</v>
      </c>
      <c r="BD94" s="76">
        <f t="shared" si="525"/>
        <v>15.809999999999999</v>
      </c>
      <c r="BE94" s="76">
        <f t="shared" si="525"/>
        <v>3323.2100000000005</v>
      </c>
      <c r="BF94" s="76">
        <f t="shared" si="525"/>
        <v>195</v>
      </c>
      <c r="BG94" s="76">
        <f t="shared" si="525"/>
        <v>46</v>
      </c>
      <c r="BH94" s="76">
        <f t="shared" si="525"/>
        <v>0</v>
      </c>
      <c r="BI94" s="76">
        <f t="shared" si="525"/>
        <v>0</v>
      </c>
      <c r="BJ94" s="76">
        <f t="shared" si="525"/>
        <v>27.5</v>
      </c>
      <c r="BK94" s="76">
        <f t="shared" si="525"/>
        <v>0</v>
      </c>
      <c r="BL94" s="76">
        <f t="shared" si="525"/>
        <v>268.5</v>
      </c>
      <c r="BM94" s="76">
        <f t="shared" si="525"/>
        <v>2737</v>
      </c>
      <c r="BN94" s="76">
        <f t="shared" si="525"/>
        <v>645</v>
      </c>
      <c r="BO94" s="76">
        <f t="shared" si="525"/>
        <v>6.3000000000000007</v>
      </c>
      <c r="BP94" s="76">
        <f t="shared" si="525"/>
        <v>0</v>
      </c>
      <c r="BQ94" s="76">
        <f t="shared" si="525"/>
        <v>62.5</v>
      </c>
      <c r="BR94" s="76">
        <f t="shared" si="525"/>
        <v>0</v>
      </c>
      <c r="BS94" s="76">
        <f t="shared" si="525"/>
        <v>3450.7999999999997</v>
      </c>
      <c r="BT94" s="76">
        <f t="shared" si="525"/>
        <v>2878</v>
      </c>
      <c r="BU94" s="76">
        <f t="shared" si="525"/>
        <v>599</v>
      </c>
      <c r="BV94" s="76">
        <f t="shared" si="525"/>
        <v>0</v>
      </c>
      <c r="BW94" s="76">
        <f t="shared" si="525"/>
        <v>0</v>
      </c>
      <c r="BX94" s="76">
        <f t="shared" si="525"/>
        <v>0</v>
      </c>
      <c r="BY94" s="76">
        <f t="shared" si="525"/>
        <v>0</v>
      </c>
      <c r="BZ94" s="76">
        <f t="shared" si="525"/>
        <v>3477</v>
      </c>
      <c r="CA94" s="76">
        <f t="shared" si="525"/>
        <v>0</v>
      </c>
      <c r="CB94" s="76">
        <f t="shared" si="525"/>
        <v>0</v>
      </c>
      <c r="CC94" s="76">
        <f t="shared" si="525"/>
        <v>0</v>
      </c>
      <c r="CD94" s="76">
        <f t="shared" si="525"/>
        <v>0</v>
      </c>
      <c r="CE94" s="76">
        <f t="shared" si="525"/>
        <v>0</v>
      </c>
      <c r="CF94" s="76">
        <f t="shared" si="525"/>
        <v>0</v>
      </c>
      <c r="CG94" s="76">
        <f t="shared" si="525"/>
        <v>0</v>
      </c>
      <c r="CH94" s="76">
        <f t="shared" si="525"/>
        <v>2021</v>
      </c>
      <c r="CI94" s="76">
        <f t="shared" si="525"/>
        <v>378</v>
      </c>
      <c r="CJ94" s="76">
        <f t="shared" si="525"/>
        <v>0</v>
      </c>
      <c r="CK94" s="76">
        <f t="shared" si="525"/>
        <v>0</v>
      </c>
      <c r="CL94" s="76">
        <f t="shared" si="525"/>
        <v>55</v>
      </c>
      <c r="CM94" s="76">
        <f t="shared" si="525"/>
        <v>5.58</v>
      </c>
      <c r="CN94" s="76">
        <f t="shared" si="525"/>
        <v>2459.58</v>
      </c>
      <c r="CO94" s="76">
        <f t="shared" si="525"/>
        <v>5722</v>
      </c>
      <c r="CP94" s="76">
        <f t="shared" si="525"/>
        <v>1300</v>
      </c>
      <c r="CQ94" s="76">
        <f t="shared" si="525"/>
        <v>52.500000000000014</v>
      </c>
      <c r="CR94" s="76">
        <f t="shared" si="525"/>
        <v>18</v>
      </c>
      <c r="CS94" s="76">
        <f t="shared" si="525"/>
        <v>187.5</v>
      </c>
      <c r="CT94" s="76">
        <f t="shared" si="525"/>
        <v>10.229999999999999</v>
      </c>
      <c r="CU94" s="76">
        <f t="shared" si="525"/>
        <v>7290.2300000000005</v>
      </c>
      <c r="CV94" s="76">
        <f t="shared" si="525"/>
        <v>0</v>
      </c>
      <c r="CW94" s="76">
        <f t="shared" si="525"/>
        <v>0</v>
      </c>
      <c r="CX94" s="76">
        <f t="shared" si="525"/>
        <v>0</v>
      </c>
      <c r="CY94" s="76">
        <f t="shared" si="525"/>
        <v>0</v>
      </c>
      <c r="CZ94" s="76">
        <f t="shared" si="525"/>
        <v>0</v>
      </c>
      <c r="DA94" s="76">
        <f t="shared" si="525"/>
        <v>0</v>
      </c>
      <c r="DB94" s="76">
        <f t="shared" si="525"/>
        <v>0</v>
      </c>
      <c r="DC94" s="76">
        <f t="shared" si="525"/>
        <v>0</v>
      </c>
      <c r="DD94" s="76">
        <f t="shared" si="525"/>
        <v>0</v>
      </c>
      <c r="DE94" s="76">
        <f t="shared" si="525"/>
        <v>0</v>
      </c>
      <c r="DF94" s="76">
        <f t="shared" si="525"/>
        <v>0</v>
      </c>
      <c r="DG94" s="76">
        <f t="shared" si="525"/>
        <v>0</v>
      </c>
      <c r="DH94" s="76">
        <f t="shared" si="525"/>
        <v>0</v>
      </c>
      <c r="DI94" s="76">
        <f t="shared" si="525"/>
        <v>0</v>
      </c>
      <c r="DJ94" s="76">
        <f t="shared" si="525"/>
        <v>0</v>
      </c>
      <c r="DK94" s="76">
        <f t="shared" si="525"/>
        <v>0</v>
      </c>
      <c r="DL94" s="76">
        <f t="shared" si="525"/>
        <v>0</v>
      </c>
      <c r="DM94" s="76">
        <f t="shared" si="525"/>
        <v>0</v>
      </c>
      <c r="DN94" s="76">
        <f t="shared" si="525"/>
        <v>0</v>
      </c>
      <c r="DO94" s="76">
        <f t="shared" si="525"/>
        <v>0</v>
      </c>
      <c r="DP94" s="76">
        <f t="shared" si="525"/>
        <v>0</v>
      </c>
      <c r="DQ94" s="76">
        <f t="shared" si="525"/>
        <v>0</v>
      </c>
      <c r="DR94" s="76">
        <f t="shared" si="525"/>
        <v>0</v>
      </c>
      <c r="DS94" s="76">
        <f t="shared" si="525"/>
        <v>0</v>
      </c>
      <c r="DT94" s="76">
        <f t="shared" si="525"/>
        <v>0</v>
      </c>
      <c r="DU94" s="76">
        <f t="shared" si="525"/>
        <v>0</v>
      </c>
      <c r="DV94" s="76">
        <f t="shared" si="525"/>
        <v>0</v>
      </c>
      <c r="DW94" s="76">
        <f t="shared" si="525"/>
        <v>0</v>
      </c>
      <c r="DX94" s="76">
        <f t="shared" si="525"/>
        <v>0</v>
      </c>
      <c r="DY94" s="76">
        <f t="shared" si="525"/>
        <v>0</v>
      </c>
      <c r="DZ94" s="76">
        <f t="shared" si="525"/>
        <v>0</v>
      </c>
      <c r="EA94" s="76">
        <f t="shared" si="525"/>
        <v>0</v>
      </c>
      <c r="EB94" s="76">
        <f t="shared" si="525"/>
        <v>0</v>
      </c>
      <c r="EC94" s="76">
        <f t="shared" si="525"/>
        <v>0</v>
      </c>
      <c r="ED94" s="76">
        <f t="shared" si="525"/>
        <v>0</v>
      </c>
      <c r="EE94" s="76"/>
      <c r="EF94" s="76"/>
      <c r="EG94" s="76"/>
      <c r="EH94" s="76"/>
      <c r="EI94" s="76"/>
      <c r="EJ94" s="76"/>
      <c r="EK94" s="76"/>
      <c r="EL94" s="76">
        <f t="shared" si="525"/>
        <v>0</v>
      </c>
      <c r="EM94" s="76">
        <f t="shared" si="525"/>
        <v>0</v>
      </c>
      <c r="EN94" s="76">
        <f t="shared" si="525"/>
        <v>0</v>
      </c>
      <c r="EO94" s="76">
        <f t="shared" si="525"/>
        <v>0</v>
      </c>
      <c r="EP94" s="76">
        <f t="shared" si="525"/>
        <v>0</v>
      </c>
      <c r="EQ94" s="76">
        <f t="shared" si="525"/>
        <v>0</v>
      </c>
      <c r="ER94" s="76">
        <f t="shared" si="525"/>
        <v>0</v>
      </c>
      <c r="ES94" s="76">
        <f t="shared" si="525"/>
        <v>0</v>
      </c>
      <c r="ET94" s="76">
        <f t="shared" si="525"/>
        <v>0</v>
      </c>
      <c r="EU94" s="76">
        <f t="shared" si="525"/>
        <v>0</v>
      </c>
      <c r="EV94" s="76">
        <f t="shared" si="525"/>
        <v>0</v>
      </c>
      <c r="EW94" s="76">
        <f t="shared" si="525"/>
        <v>0</v>
      </c>
      <c r="EX94" s="76">
        <f t="shared" si="525"/>
        <v>0</v>
      </c>
      <c r="EY94" s="76">
        <f t="shared" si="525"/>
        <v>0</v>
      </c>
      <c r="EZ94" s="76">
        <f t="shared" si="525"/>
        <v>0</v>
      </c>
      <c r="FA94" s="76">
        <f t="shared" si="525"/>
        <v>0</v>
      </c>
      <c r="FB94" s="76">
        <f t="shared" si="525"/>
        <v>0</v>
      </c>
      <c r="FC94" s="76">
        <f t="shared" si="525"/>
        <v>0</v>
      </c>
      <c r="FD94" s="76">
        <f t="shared" si="525"/>
        <v>0</v>
      </c>
      <c r="FE94" s="76">
        <f t="shared" si="525"/>
        <v>0</v>
      </c>
      <c r="FF94" s="76">
        <f t="shared" si="525"/>
        <v>0</v>
      </c>
      <c r="FG94" s="76"/>
      <c r="FH94" s="76"/>
      <c r="FI94" s="76"/>
      <c r="FJ94" s="76"/>
      <c r="FK94" s="76"/>
      <c r="FL94" s="76"/>
      <c r="FM94" s="76"/>
      <c r="FN94" s="76">
        <f t="shared" si="525"/>
        <v>0</v>
      </c>
      <c r="FO94" s="76">
        <f t="shared" si="525"/>
        <v>0</v>
      </c>
      <c r="FP94" s="76">
        <f t="shared" si="525"/>
        <v>0</v>
      </c>
      <c r="FQ94" s="76">
        <f t="shared" si="525"/>
        <v>0</v>
      </c>
      <c r="FR94" s="76">
        <f t="shared" si="525"/>
        <v>0</v>
      </c>
      <c r="FS94" s="76">
        <f t="shared" si="525"/>
        <v>0</v>
      </c>
      <c r="FT94" s="76">
        <f t="shared" si="525"/>
        <v>0</v>
      </c>
      <c r="FU94" s="76">
        <f t="shared" si="525"/>
        <v>0</v>
      </c>
      <c r="FV94" s="76">
        <f t="shared" si="525"/>
        <v>0</v>
      </c>
      <c r="FW94" s="76">
        <f t="shared" si="525"/>
        <v>0</v>
      </c>
      <c r="FX94" s="76">
        <f t="shared" si="525"/>
        <v>0</v>
      </c>
      <c r="FY94" s="76">
        <f t="shared" si="525"/>
        <v>0</v>
      </c>
      <c r="FZ94" s="76">
        <f t="shared" si="525"/>
        <v>0</v>
      </c>
      <c r="GA94" s="76">
        <f t="shared" si="525"/>
        <v>0</v>
      </c>
      <c r="GB94" s="76">
        <f t="shared" si="525"/>
        <v>0</v>
      </c>
      <c r="GC94" s="76">
        <f t="shared" si="525"/>
        <v>0</v>
      </c>
      <c r="GD94" s="76">
        <f t="shared" si="525"/>
        <v>0</v>
      </c>
      <c r="GE94" s="76">
        <f t="shared" si="525"/>
        <v>0</v>
      </c>
      <c r="GF94" s="76">
        <f t="shared" si="525"/>
        <v>0</v>
      </c>
      <c r="GG94" s="76">
        <f t="shared" si="525"/>
        <v>0</v>
      </c>
      <c r="GH94" s="76">
        <f t="shared" si="525"/>
        <v>0</v>
      </c>
      <c r="GI94" s="76"/>
      <c r="GJ94" s="76"/>
      <c r="GK94" s="76"/>
      <c r="GL94" s="76"/>
      <c r="GM94" s="76"/>
      <c r="GN94" s="76"/>
      <c r="GO94" s="76"/>
      <c r="GP94" s="76">
        <f t="shared" si="525"/>
        <v>0</v>
      </c>
      <c r="GQ94" s="76">
        <f t="shared" si="525"/>
        <v>0</v>
      </c>
      <c r="GR94" s="76">
        <f t="shared" si="525"/>
        <v>0</v>
      </c>
      <c r="GS94" s="76">
        <f t="shared" si="525"/>
        <v>0</v>
      </c>
      <c r="GT94" s="76">
        <f t="shared" si="525"/>
        <v>0</v>
      </c>
      <c r="GU94" s="76">
        <f t="shared" si="525"/>
        <v>0</v>
      </c>
      <c r="GV94" s="76">
        <f t="shared" si="525"/>
        <v>0</v>
      </c>
      <c r="GW94" s="76">
        <f t="shared" si="525"/>
        <v>0</v>
      </c>
      <c r="GX94" s="76">
        <f t="shared" si="525"/>
        <v>0</v>
      </c>
      <c r="GY94" s="76">
        <f t="shared" si="525"/>
        <v>0</v>
      </c>
      <c r="GZ94" s="76">
        <f t="shared" si="525"/>
        <v>0</v>
      </c>
      <c r="HA94" s="76">
        <f t="shared" si="525"/>
        <v>0</v>
      </c>
      <c r="HB94" s="76">
        <f t="shared" si="525"/>
        <v>0</v>
      </c>
      <c r="HC94" s="76">
        <f t="shared" si="525"/>
        <v>0</v>
      </c>
      <c r="HD94" s="76">
        <f t="shared" si="525"/>
        <v>0</v>
      </c>
      <c r="HE94" s="76">
        <f t="shared" si="525"/>
        <v>0</v>
      </c>
      <c r="HF94" s="76">
        <f t="shared" si="525"/>
        <v>0</v>
      </c>
      <c r="HG94" s="76">
        <f t="shared" si="525"/>
        <v>0</v>
      </c>
      <c r="HH94" s="76">
        <f t="shared" si="525"/>
        <v>0</v>
      </c>
      <c r="HI94" s="76">
        <f t="shared" si="525"/>
        <v>0</v>
      </c>
      <c r="HJ94" s="76">
        <f t="shared" si="525"/>
        <v>0</v>
      </c>
    </row>
    <row r="95" spans="1:218" ht="21.75" customHeight="1" x14ac:dyDescent="0.6">
      <c r="A95" s="86" t="s">
        <v>262</v>
      </c>
      <c r="B95" s="76">
        <f t="shared" ref="B95:HJ95" si="526">IFERROR(AVERAGEIF(B82:B93,"&gt;0"),"0")</f>
        <v>152.58333333333334</v>
      </c>
      <c r="C95" s="76">
        <f t="shared" si="526"/>
        <v>27.5</v>
      </c>
      <c r="D95" s="76">
        <f t="shared" si="526"/>
        <v>2.1</v>
      </c>
      <c r="E95" s="76" t="str">
        <f t="shared" si="526"/>
        <v>0</v>
      </c>
      <c r="F95" s="76">
        <f t="shared" si="526"/>
        <v>5.416666666666667</v>
      </c>
      <c r="G95" s="76">
        <f t="shared" si="526"/>
        <v>1.6274999999999997</v>
      </c>
      <c r="H95" s="76">
        <f>IFERROR(AVERAGEIF(H82:H93,"&gt;0"),"0")</f>
        <v>187.6525</v>
      </c>
      <c r="I95" s="76">
        <f t="shared" si="526"/>
        <v>152.58333333333334</v>
      </c>
      <c r="J95" s="76">
        <f t="shared" si="526"/>
        <v>40.333333333333336</v>
      </c>
      <c r="K95" s="76" t="str">
        <f t="shared" si="526"/>
        <v>0</v>
      </c>
      <c r="L95" s="76" t="str">
        <f t="shared" si="526"/>
        <v>0</v>
      </c>
      <c r="M95" s="76">
        <f t="shared" si="526"/>
        <v>2.5</v>
      </c>
      <c r="N95" s="76">
        <f t="shared" si="526"/>
        <v>0.93</v>
      </c>
      <c r="O95" s="76">
        <f t="shared" si="526"/>
        <v>193.48833333333334</v>
      </c>
      <c r="P95" s="76">
        <f t="shared" si="526"/>
        <v>88.833333333333329</v>
      </c>
      <c r="Q95" s="76">
        <f t="shared" si="526"/>
        <v>30.083333333333332</v>
      </c>
      <c r="R95" s="76" t="str">
        <f t="shared" si="526"/>
        <v>0</v>
      </c>
      <c r="S95" s="76" t="str">
        <f t="shared" si="526"/>
        <v>0</v>
      </c>
      <c r="T95" s="76">
        <f t="shared" si="526"/>
        <v>4.166666666666667</v>
      </c>
      <c r="U95" s="76" t="str">
        <f t="shared" si="526"/>
        <v>0</v>
      </c>
      <c r="V95" s="76">
        <f t="shared" si="526"/>
        <v>121</v>
      </c>
      <c r="W95" s="76" t="str">
        <f t="shared" si="526"/>
        <v>0</v>
      </c>
      <c r="X95" s="76" t="str">
        <f t="shared" si="526"/>
        <v>0</v>
      </c>
      <c r="Y95" s="76" t="str">
        <f t="shared" si="526"/>
        <v>0</v>
      </c>
      <c r="Z95" s="76" t="str">
        <f t="shared" si="526"/>
        <v>0</v>
      </c>
      <c r="AA95" s="76" t="str">
        <f t="shared" si="526"/>
        <v>0</v>
      </c>
      <c r="AB95" s="76" t="str">
        <f t="shared" si="526"/>
        <v>0</v>
      </c>
      <c r="AC95" s="76" t="str">
        <f t="shared" si="526"/>
        <v>0</v>
      </c>
      <c r="AD95" s="76">
        <f t="shared" si="526"/>
        <v>206.25</v>
      </c>
      <c r="AE95" s="76">
        <f t="shared" si="526"/>
        <v>69.916666666666671</v>
      </c>
      <c r="AF95" s="76">
        <f t="shared" si="526"/>
        <v>2.52</v>
      </c>
      <c r="AG95" s="76" t="str">
        <f t="shared" si="526"/>
        <v>0</v>
      </c>
      <c r="AH95" s="76">
        <f t="shared" si="526"/>
        <v>3.3333333333333335</v>
      </c>
      <c r="AI95" s="76">
        <f t="shared" si="526"/>
        <v>0.93</v>
      </c>
      <c r="AJ95" s="76">
        <f t="shared" si="526"/>
        <v>279.03833333333336</v>
      </c>
      <c r="AK95" s="76">
        <f t="shared" si="526"/>
        <v>595.91666666666663</v>
      </c>
      <c r="AL95" s="76">
        <f t="shared" si="526"/>
        <v>177.83333333333334</v>
      </c>
      <c r="AM95" s="76">
        <f t="shared" si="526"/>
        <v>4.3909090909090907</v>
      </c>
      <c r="AN95" s="76">
        <f t="shared" si="526"/>
        <v>1.8333333333333333</v>
      </c>
      <c r="AO95" s="76">
        <f t="shared" si="526"/>
        <v>44.166666666666664</v>
      </c>
      <c r="AP95" s="76">
        <f t="shared" si="526"/>
        <v>0.93</v>
      </c>
      <c r="AQ95" s="76">
        <f t="shared" si="526"/>
        <v>823.78166666666675</v>
      </c>
      <c r="AR95" s="76">
        <f t="shared" si="526"/>
        <v>118.25</v>
      </c>
      <c r="AS95" s="76">
        <f t="shared" si="526"/>
        <v>27.166666666666668</v>
      </c>
      <c r="AT95" s="76" t="str">
        <f t="shared" si="526"/>
        <v>0</v>
      </c>
      <c r="AU95" s="76" t="str">
        <f t="shared" si="526"/>
        <v>0</v>
      </c>
      <c r="AV95" s="76">
        <f t="shared" si="526"/>
        <v>5</v>
      </c>
      <c r="AW95" s="76">
        <f t="shared" si="526"/>
        <v>1.488</v>
      </c>
      <c r="AX95" s="76">
        <f t="shared" si="526"/>
        <v>149.78666666666672</v>
      </c>
      <c r="AY95" s="76">
        <f t="shared" si="526"/>
        <v>190.75</v>
      </c>
      <c r="AZ95" s="76">
        <f t="shared" si="526"/>
        <v>72.25</v>
      </c>
      <c r="BA95" s="76">
        <f t="shared" si="526"/>
        <v>2.7</v>
      </c>
      <c r="BB95" s="76" t="str">
        <f t="shared" si="526"/>
        <v>0</v>
      </c>
      <c r="BC95" s="76">
        <f t="shared" si="526"/>
        <v>11.041666666666666</v>
      </c>
      <c r="BD95" s="76">
        <f t="shared" si="526"/>
        <v>1.581</v>
      </c>
      <c r="BE95" s="76">
        <f t="shared" si="526"/>
        <v>276.93416666666673</v>
      </c>
      <c r="BF95" s="76">
        <f t="shared" si="526"/>
        <v>16.25</v>
      </c>
      <c r="BG95" s="76">
        <f t="shared" si="526"/>
        <v>3.8333333333333335</v>
      </c>
      <c r="BH95" s="76" t="str">
        <f t="shared" si="526"/>
        <v>0</v>
      </c>
      <c r="BI95" s="76" t="str">
        <f t="shared" si="526"/>
        <v>0</v>
      </c>
      <c r="BJ95" s="76">
        <f t="shared" si="526"/>
        <v>3.9285714285714284</v>
      </c>
      <c r="BK95" s="76" t="str">
        <f t="shared" si="526"/>
        <v>0</v>
      </c>
      <c r="BL95" s="76">
        <f t="shared" si="526"/>
        <v>22.375</v>
      </c>
      <c r="BM95" s="76">
        <f t="shared" si="526"/>
        <v>228.08333333333334</v>
      </c>
      <c r="BN95" s="76">
        <f t="shared" si="526"/>
        <v>53.75</v>
      </c>
      <c r="BO95" s="76">
        <f t="shared" si="526"/>
        <v>2.1</v>
      </c>
      <c r="BP95" s="76" t="str">
        <f t="shared" si="526"/>
        <v>0</v>
      </c>
      <c r="BQ95" s="76">
        <f t="shared" si="526"/>
        <v>5.208333333333333</v>
      </c>
      <c r="BR95" s="76" t="str">
        <f t="shared" si="526"/>
        <v>0</v>
      </c>
      <c r="BS95" s="76">
        <f t="shared" si="526"/>
        <v>287.56666666666666</v>
      </c>
      <c r="BT95" s="76">
        <f t="shared" si="526"/>
        <v>239.83333333333334</v>
      </c>
      <c r="BU95" s="76">
        <f t="shared" si="526"/>
        <v>49.916666666666664</v>
      </c>
      <c r="BV95" s="76" t="str">
        <f t="shared" si="526"/>
        <v>0</v>
      </c>
      <c r="BW95" s="76" t="str">
        <f t="shared" si="526"/>
        <v>0</v>
      </c>
      <c r="BX95" s="76" t="str">
        <f t="shared" si="526"/>
        <v>0</v>
      </c>
      <c r="BY95" s="76" t="str">
        <f t="shared" si="526"/>
        <v>0</v>
      </c>
      <c r="BZ95" s="76">
        <f t="shared" si="526"/>
        <v>289.75</v>
      </c>
      <c r="CA95" s="76" t="str">
        <f t="shared" si="526"/>
        <v>0</v>
      </c>
      <c r="CB95" s="76" t="str">
        <f t="shared" si="526"/>
        <v>0</v>
      </c>
      <c r="CC95" s="76" t="str">
        <f t="shared" si="526"/>
        <v>0</v>
      </c>
      <c r="CD95" s="76" t="str">
        <f t="shared" si="526"/>
        <v>0</v>
      </c>
      <c r="CE95" s="76" t="str">
        <f t="shared" si="526"/>
        <v>0</v>
      </c>
      <c r="CF95" s="76" t="str">
        <f t="shared" si="526"/>
        <v>0</v>
      </c>
      <c r="CG95" s="76" t="str">
        <f t="shared" si="526"/>
        <v>0</v>
      </c>
      <c r="CH95" s="76">
        <f t="shared" si="526"/>
        <v>168.41666666666666</v>
      </c>
      <c r="CI95" s="76">
        <f t="shared" si="526"/>
        <v>31.5</v>
      </c>
      <c r="CJ95" s="76" t="str">
        <f t="shared" si="526"/>
        <v>0</v>
      </c>
      <c r="CK95" s="76" t="str">
        <f t="shared" si="526"/>
        <v>0</v>
      </c>
      <c r="CL95" s="76">
        <f t="shared" si="526"/>
        <v>4.583333333333333</v>
      </c>
      <c r="CM95" s="76">
        <f t="shared" si="526"/>
        <v>1.1160000000000001</v>
      </c>
      <c r="CN95" s="76">
        <f t="shared" si="526"/>
        <v>204.965</v>
      </c>
      <c r="CO95" s="76">
        <f t="shared" si="526"/>
        <v>476.83333333333331</v>
      </c>
      <c r="CP95" s="76">
        <f t="shared" si="526"/>
        <v>108.33333333333333</v>
      </c>
      <c r="CQ95" s="76">
        <f t="shared" si="526"/>
        <v>4.7727272727272743</v>
      </c>
      <c r="CR95" s="76">
        <f t="shared" si="526"/>
        <v>2.25</v>
      </c>
      <c r="CS95" s="76">
        <f t="shared" si="526"/>
        <v>17.045454545454547</v>
      </c>
      <c r="CT95" s="76">
        <f t="shared" si="526"/>
        <v>1.4614285714285713</v>
      </c>
      <c r="CU95" s="76">
        <f t="shared" si="526"/>
        <v>607.51916666666671</v>
      </c>
      <c r="CV95" s="76" t="str">
        <f t="shared" si="526"/>
        <v>0</v>
      </c>
      <c r="CW95" s="76" t="str">
        <f t="shared" si="526"/>
        <v>0</v>
      </c>
      <c r="CX95" s="76" t="str">
        <f t="shared" si="526"/>
        <v>0</v>
      </c>
      <c r="CY95" s="76" t="str">
        <f t="shared" si="526"/>
        <v>0</v>
      </c>
      <c r="CZ95" s="76" t="str">
        <f t="shared" si="526"/>
        <v>0</v>
      </c>
      <c r="DA95" s="76" t="str">
        <f t="shared" si="526"/>
        <v>0</v>
      </c>
      <c r="DB95" s="76" t="str">
        <f t="shared" si="526"/>
        <v>0</v>
      </c>
      <c r="DC95" s="76" t="str">
        <f t="shared" si="526"/>
        <v>0</v>
      </c>
      <c r="DD95" s="76" t="str">
        <f t="shared" si="526"/>
        <v>0</v>
      </c>
      <c r="DE95" s="76" t="str">
        <f t="shared" si="526"/>
        <v>0</v>
      </c>
      <c r="DF95" s="76" t="str">
        <f t="shared" si="526"/>
        <v>0</v>
      </c>
      <c r="DG95" s="76" t="str">
        <f t="shared" si="526"/>
        <v>0</v>
      </c>
      <c r="DH95" s="76" t="str">
        <f t="shared" si="526"/>
        <v>0</v>
      </c>
      <c r="DI95" s="76" t="str">
        <f t="shared" si="526"/>
        <v>0</v>
      </c>
      <c r="DJ95" s="76" t="str">
        <f t="shared" si="526"/>
        <v>0</v>
      </c>
      <c r="DK95" s="76" t="str">
        <f t="shared" si="526"/>
        <v>0</v>
      </c>
      <c r="DL95" s="76" t="str">
        <f t="shared" si="526"/>
        <v>0</v>
      </c>
      <c r="DM95" s="76" t="str">
        <f t="shared" si="526"/>
        <v>0</v>
      </c>
      <c r="DN95" s="76" t="str">
        <f t="shared" si="526"/>
        <v>0</v>
      </c>
      <c r="DO95" s="76" t="str">
        <f t="shared" si="526"/>
        <v>0</v>
      </c>
      <c r="DP95" s="76" t="str">
        <f t="shared" si="526"/>
        <v>0</v>
      </c>
      <c r="DQ95" s="76" t="str">
        <f t="shared" si="526"/>
        <v>0</v>
      </c>
      <c r="DR95" s="76" t="str">
        <f t="shared" si="526"/>
        <v>0</v>
      </c>
      <c r="DS95" s="76" t="str">
        <f t="shared" si="526"/>
        <v>0</v>
      </c>
      <c r="DT95" s="76" t="str">
        <f t="shared" si="526"/>
        <v>0</v>
      </c>
      <c r="DU95" s="76" t="str">
        <f t="shared" si="526"/>
        <v>0</v>
      </c>
      <c r="DV95" s="76" t="str">
        <f t="shared" si="526"/>
        <v>0</v>
      </c>
      <c r="DW95" s="76" t="str">
        <f t="shared" si="526"/>
        <v>0</v>
      </c>
      <c r="DX95" s="76" t="str">
        <f t="shared" si="526"/>
        <v>0</v>
      </c>
      <c r="DY95" s="76" t="str">
        <f t="shared" si="526"/>
        <v>0</v>
      </c>
      <c r="DZ95" s="76" t="str">
        <f t="shared" si="526"/>
        <v>0</v>
      </c>
      <c r="EA95" s="76" t="str">
        <f t="shared" si="526"/>
        <v>0</v>
      </c>
      <c r="EB95" s="76" t="str">
        <f t="shared" si="526"/>
        <v>0</v>
      </c>
      <c r="EC95" s="76" t="str">
        <f t="shared" si="526"/>
        <v>0</v>
      </c>
      <c r="ED95" s="76" t="str">
        <f t="shared" si="526"/>
        <v>0</v>
      </c>
      <c r="EE95" s="76"/>
      <c r="EF95" s="76"/>
      <c r="EG95" s="76"/>
      <c r="EH95" s="76"/>
      <c r="EI95" s="76"/>
      <c r="EJ95" s="76"/>
      <c r="EK95" s="76"/>
      <c r="EL95" s="76" t="str">
        <f t="shared" si="526"/>
        <v>0</v>
      </c>
      <c r="EM95" s="76" t="str">
        <f t="shared" si="526"/>
        <v>0</v>
      </c>
      <c r="EN95" s="76" t="str">
        <f t="shared" si="526"/>
        <v>0</v>
      </c>
      <c r="EO95" s="76" t="str">
        <f t="shared" si="526"/>
        <v>0</v>
      </c>
      <c r="EP95" s="76" t="str">
        <f t="shared" si="526"/>
        <v>0</v>
      </c>
      <c r="EQ95" s="76" t="str">
        <f t="shared" si="526"/>
        <v>0</v>
      </c>
      <c r="ER95" s="76" t="str">
        <f t="shared" si="526"/>
        <v>0</v>
      </c>
      <c r="ES95" s="76" t="str">
        <f t="shared" si="526"/>
        <v>0</v>
      </c>
      <c r="ET95" s="76" t="str">
        <f t="shared" si="526"/>
        <v>0</v>
      </c>
      <c r="EU95" s="76" t="str">
        <f t="shared" si="526"/>
        <v>0</v>
      </c>
      <c r="EV95" s="76" t="str">
        <f t="shared" si="526"/>
        <v>0</v>
      </c>
      <c r="EW95" s="76" t="str">
        <f t="shared" si="526"/>
        <v>0</v>
      </c>
      <c r="EX95" s="76" t="str">
        <f t="shared" si="526"/>
        <v>0</v>
      </c>
      <c r="EY95" s="76" t="str">
        <f t="shared" si="526"/>
        <v>0</v>
      </c>
      <c r="EZ95" s="76" t="str">
        <f t="shared" si="526"/>
        <v>0</v>
      </c>
      <c r="FA95" s="76" t="str">
        <f t="shared" si="526"/>
        <v>0</v>
      </c>
      <c r="FB95" s="76" t="str">
        <f t="shared" si="526"/>
        <v>0</v>
      </c>
      <c r="FC95" s="76" t="str">
        <f t="shared" si="526"/>
        <v>0</v>
      </c>
      <c r="FD95" s="76" t="str">
        <f t="shared" si="526"/>
        <v>0</v>
      </c>
      <c r="FE95" s="76" t="str">
        <f t="shared" si="526"/>
        <v>0</v>
      </c>
      <c r="FF95" s="76" t="str">
        <f t="shared" si="526"/>
        <v>0</v>
      </c>
      <c r="FG95" s="76"/>
      <c r="FH95" s="76"/>
      <c r="FI95" s="76"/>
      <c r="FJ95" s="76"/>
      <c r="FK95" s="76"/>
      <c r="FL95" s="76"/>
      <c r="FM95" s="76"/>
      <c r="FN95" s="76" t="str">
        <f t="shared" si="526"/>
        <v>0</v>
      </c>
      <c r="FO95" s="76" t="str">
        <f t="shared" si="526"/>
        <v>0</v>
      </c>
      <c r="FP95" s="76" t="str">
        <f t="shared" si="526"/>
        <v>0</v>
      </c>
      <c r="FQ95" s="76" t="str">
        <f t="shared" si="526"/>
        <v>0</v>
      </c>
      <c r="FR95" s="76" t="str">
        <f t="shared" si="526"/>
        <v>0</v>
      </c>
      <c r="FS95" s="76" t="str">
        <f t="shared" si="526"/>
        <v>0</v>
      </c>
      <c r="FT95" s="76" t="str">
        <f t="shared" si="526"/>
        <v>0</v>
      </c>
      <c r="FU95" s="76" t="str">
        <f t="shared" si="526"/>
        <v>0</v>
      </c>
      <c r="FV95" s="76" t="str">
        <f t="shared" si="526"/>
        <v>0</v>
      </c>
      <c r="FW95" s="76" t="str">
        <f t="shared" si="526"/>
        <v>0</v>
      </c>
      <c r="FX95" s="76" t="str">
        <f t="shared" si="526"/>
        <v>0</v>
      </c>
      <c r="FY95" s="76" t="str">
        <f t="shared" si="526"/>
        <v>0</v>
      </c>
      <c r="FZ95" s="76" t="str">
        <f t="shared" si="526"/>
        <v>0</v>
      </c>
      <c r="GA95" s="76" t="str">
        <f t="shared" si="526"/>
        <v>0</v>
      </c>
      <c r="GB95" s="76" t="str">
        <f t="shared" si="526"/>
        <v>0</v>
      </c>
      <c r="GC95" s="76" t="str">
        <f t="shared" si="526"/>
        <v>0</v>
      </c>
      <c r="GD95" s="76" t="str">
        <f t="shared" si="526"/>
        <v>0</v>
      </c>
      <c r="GE95" s="76" t="str">
        <f t="shared" si="526"/>
        <v>0</v>
      </c>
      <c r="GF95" s="76" t="str">
        <f t="shared" si="526"/>
        <v>0</v>
      </c>
      <c r="GG95" s="76" t="str">
        <f t="shared" si="526"/>
        <v>0</v>
      </c>
      <c r="GH95" s="76" t="str">
        <f t="shared" si="526"/>
        <v>0</v>
      </c>
      <c r="GI95" s="76"/>
      <c r="GJ95" s="76"/>
      <c r="GK95" s="76"/>
      <c r="GL95" s="76"/>
      <c r="GM95" s="76"/>
      <c r="GN95" s="76"/>
      <c r="GO95" s="76"/>
      <c r="GP95" s="76" t="str">
        <f t="shared" si="526"/>
        <v>0</v>
      </c>
      <c r="GQ95" s="76" t="str">
        <f t="shared" si="526"/>
        <v>0</v>
      </c>
      <c r="GR95" s="76" t="str">
        <f t="shared" si="526"/>
        <v>0</v>
      </c>
      <c r="GS95" s="76" t="str">
        <f t="shared" si="526"/>
        <v>0</v>
      </c>
      <c r="GT95" s="76" t="str">
        <f t="shared" si="526"/>
        <v>0</v>
      </c>
      <c r="GU95" s="76" t="str">
        <f t="shared" si="526"/>
        <v>0</v>
      </c>
      <c r="GV95" s="76" t="str">
        <f t="shared" si="526"/>
        <v>0</v>
      </c>
      <c r="GW95" s="76" t="str">
        <f t="shared" si="526"/>
        <v>0</v>
      </c>
      <c r="GX95" s="76" t="str">
        <f t="shared" si="526"/>
        <v>0</v>
      </c>
      <c r="GY95" s="76" t="str">
        <f t="shared" si="526"/>
        <v>0</v>
      </c>
      <c r="GZ95" s="76" t="str">
        <f t="shared" si="526"/>
        <v>0</v>
      </c>
      <c r="HA95" s="76" t="str">
        <f t="shared" si="526"/>
        <v>0</v>
      </c>
      <c r="HB95" s="76" t="str">
        <f t="shared" si="526"/>
        <v>0</v>
      </c>
      <c r="HC95" s="76" t="str">
        <f t="shared" si="526"/>
        <v>0</v>
      </c>
      <c r="HD95" s="76" t="str">
        <f t="shared" si="526"/>
        <v>0</v>
      </c>
      <c r="HE95" s="76" t="str">
        <f t="shared" si="526"/>
        <v>0</v>
      </c>
      <c r="HF95" s="76" t="str">
        <f t="shared" si="526"/>
        <v>0</v>
      </c>
      <c r="HG95" s="76" t="str">
        <f t="shared" si="526"/>
        <v>0</v>
      </c>
      <c r="HH95" s="76" t="str">
        <f t="shared" si="526"/>
        <v>0</v>
      </c>
      <c r="HI95" s="76" t="str">
        <f t="shared" si="526"/>
        <v>0</v>
      </c>
      <c r="HJ95" s="76" t="str">
        <f t="shared" si="526"/>
        <v>0</v>
      </c>
    </row>
    <row r="96" spans="1:218" s="222" customFormat="1" ht="21.75" customHeight="1" x14ac:dyDescent="0.6">
      <c r="A96" s="220" t="s">
        <v>186</v>
      </c>
      <c r="B96" s="221" t="s">
        <v>106</v>
      </c>
      <c r="C96" s="221"/>
      <c r="D96" s="221"/>
      <c r="E96" s="221"/>
      <c r="F96" s="221"/>
      <c r="G96" s="221"/>
      <c r="H96" s="221"/>
      <c r="I96" s="62"/>
      <c r="J96" s="62" t="s">
        <v>259</v>
      </c>
      <c r="K96" s="62" t="s">
        <v>262</v>
      </c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221" t="s">
        <v>155</v>
      </c>
      <c r="AE96" s="221"/>
      <c r="AF96" s="221"/>
      <c r="AG96" s="221"/>
      <c r="AH96" s="221"/>
      <c r="AI96" s="221"/>
      <c r="AJ96" s="221"/>
      <c r="AK96" s="62"/>
      <c r="AL96" s="62" t="s">
        <v>259</v>
      </c>
      <c r="AM96" s="62" t="s">
        <v>262</v>
      </c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221" t="s">
        <v>156</v>
      </c>
      <c r="BG96" s="221"/>
      <c r="BH96" s="221"/>
      <c r="BI96" s="221"/>
      <c r="BJ96" s="221"/>
      <c r="BK96" s="221"/>
      <c r="BL96" s="221"/>
      <c r="BM96" s="62"/>
      <c r="BN96" s="62" t="s">
        <v>259</v>
      </c>
      <c r="BO96" s="62" t="s">
        <v>262</v>
      </c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221" t="s">
        <v>157</v>
      </c>
      <c r="CI96" s="221"/>
      <c r="CJ96" s="221"/>
      <c r="CK96" s="221"/>
      <c r="CL96" s="221"/>
      <c r="CM96" s="221"/>
      <c r="CN96" s="221"/>
      <c r="CO96" s="62"/>
      <c r="CP96" s="62" t="s">
        <v>259</v>
      </c>
      <c r="CQ96" s="62" t="s">
        <v>262</v>
      </c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  <c r="DM96" s="62"/>
      <c r="DN96" s="62"/>
      <c r="DO96" s="62"/>
      <c r="DP96" s="62"/>
      <c r="DQ96" s="62"/>
      <c r="DR96" s="62"/>
      <c r="DS96" s="62"/>
      <c r="DT96" s="62"/>
      <c r="DU96" s="62"/>
      <c r="DV96" s="62"/>
      <c r="DW96" s="62"/>
      <c r="DX96" s="62"/>
      <c r="DY96" s="62"/>
      <c r="DZ96" s="62"/>
      <c r="EA96" s="62"/>
      <c r="EB96" s="62"/>
      <c r="EC96" s="62"/>
      <c r="ED96" s="62"/>
      <c r="EE96" s="62"/>
      <c r="EF96" s="62"/>
      <c r="EG96" s="62"/>
      <c r="EH96" s="62"/>
      <c r="EI96" s="62"/>
      <c r="EJ96" s="62"/>
      <c r="EK96" s="62"/>
      <c r="EL96" s="62"/>
      <c r="EM96" s="62"/>
      <c r="EN96" s="62"/>
      <c r="EO96" s="62"/>
      <c r="EP96" s="62"/>
      <c r="EQ96" s="62"/>
      <c r="ER96" s="62"/>
      <c r="ES96" s="62"/>
      <c r="ET96" s="62"/>
      <c r="EU96" s="62"/>
      <c r="EV96" s="62"/>
      <c r="EW96" s="62"/>
      <c r="EX96" s="62"/>
      <c r="EY96" s="62"/>
      <c r="EZ96" s="62"/>
      <c r="FA96" s="62"/>
      <c r="FB96" s="62"/>
      <c r="FC96" s="62"/>
      <c r="FD96" s="62"/>
      <c r="FE96" s="62"/>
      <c r="FF96" s="62"/>
      <c r="FG96" s="62"/>
      <c r="FH96" s="62"/>
      <c r="FI96" s="62"/>
      <c r="FJ96" s="62"/>
      <c r="FK96" s="62"/>
      <c r="FL96" s="62"/>
      <c r="FM96" s="62"/>
      <c r="FN96" s="62"/>
      <c r="FO96" s="62"/>
      <c r="FP96" s="62"/>
      <c r="FQ96" s="62"/>
      <c r="FR96" s="62"/>
      <c r="FS96" s="62"/>
      <c r="FT96" s="62"/>
      <c r="FU96" s="62"/>
      <c r="FV96" s="62"/>
      <c r="FW96" s="62"/>
      <c r="FX96" s="62"/>
      <c r="FY96" s="62"/>
      <c r="FZ96" s="62"/>
      <c r="GA96" s="62"/>
      <c r="GB96" s="62"/>
      <c r="GC96" s="62"/>
      <c r="GD96" s="62"/>
      <c r="GE96" s="62"/>
      <c r="GF96" s="62"/>
      <c r="GG96" s="62"/>
      <c r="GH96" s="62"/>
      <c r="GI96" s="62"/>
      <c r="GJ96" s="62"/>
      <c r="GK96" s="62"/>
      <c r="GL96" s="62"/>
      <c r="GM96" s="62"/>
      <c r="GN96" s="62"/>
      <c r="GO96" s="62"/>
      <c r="GP96" s="62"/>
      <c r="GQ96" s="62"/>
      <c r="GR96" s="62"/>
      <c r="GS96" s="62"/>
      <c r="GT96" s="62"/>
      <c r="GU96" s="62"/>
      <c r="GV96" s="62"/>
      <c r="GW96" s="62"/>
      <c r="GX96" s="62"/>
      <c r="GY96" s="62"/>
      <c r="GZ96" s="62"/>
      <c r="HA96" s="62"/>
      <c r="HB96" s="62"/>
      <c r="HC96" s="62"/>
      <c r="HD96" s="62"/>
      <c r="HE96" s="62"/>
      <c r="HF96" s="62"/>
      <c r="HG96" s="62"/>
      <c r="HH96" s="62"/>
      <c r="HI96" s="62"/>
      <c r="HJ96" s="62"/>
    </row>
    <row r="97" spans="1:218" ht="21.75" customHeight="1" x14ac:dyDescent="0.6">
      <c r="A97" s="216" t="s">
        <v>245</v>
      </c>
      <c r="B97" s="217">
        <f t="shared" ref="B97:G97" si="527">SUM(B53:B54,I53:I54,P53:P54,W53:W54,DJ53:DJ54,DQ53:DQ54,DX53:DX54)</f>
        <v>712</v>
      </c>
      <c r="C97" s="217">
        <f t="shared" si="527"/>
        <v>155</v>
      </c>
      <c r="D97" s="217">
        <f t="shared" si="527"/>
        <v>1</v>
      </c>
      <c r="E97" s="217">
        <f t="shared" si="527"/>
        <v>0</v>
      </c>
      <c r="F97" s="217">
        <f t="shared" si="527"/>
        <v>5</v>
      </c>
      <c r="G97" s="217">
        <f t="shared" si="527"/>
        <v>3</v>
      </c>
      <c r="H97" s="218">
        <f>SUM(B97:G97)</f>
        <v>876</v>
      </c>
      <c r="I97" s="53"/>
      <c r="J97" s="53">
        <f>H97+H101</f>
        <v>2307</v>
      </c>
      <c r="K97" s="53">
        <f>J97/2</f>
        <v>1153.5</v>
      </c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219">
        <f t="shared" ref="AD97:AI97" si="528">SUM(AD53:AD54,AK53:AK54,AR53:AR54,AY53:AY54,EL53:EL54,ES53:ES54,EZ53:EZ54)</f>
        <v>2398</v>
      </c>
      <c r="AE97" s="219">
        <f t="shared" si="528"/>
        <v>607</v>
      </c>
      <c r="AF97" s="219">
        <f t="shared" si="528"/>
        <v>5</v>
      </c>
      <c r="AG97" s="219">
        <f t="shared" si="528"/>
        <v>1</v>
      </c>
      <c r="AH97" s="219">
        <f t="shared" si="528"/>
        <v>44</v>
      </c>
      <c r="AI97" s="219">
        <f t="shared" si="528"/>
        <v>5</v>
      </c>
      <c r="AJ97" s="218">
        <f>SUM(AD97:AI97)</f>
        <v>3060</v>
      </c>
      <c r="AK97" s="53"/>
      <c r="AL97" s="53">
        <f>AJ97+AJ101</f>
        <v>5969</v>
      </c>
      <c r="AM97" s="53">
        <f>AL97/2</f>
        <v>2984.5</v>
      </c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223">
        <f t="shared" ref="BF97:BK97" si="529">SUM(BF53:BF54,BM53:BM54,BT53:BT54,CA53:CA54,FN53:FN54,FU53:FU54,GB53:GB54)</f>
        <v>1010</v>
      </c>
      <c r="BG97" s="223">
        <f t="shared" si="529"/>
        <v>208</v>
      </c>
      <c r="BH97" s="223">
        <f t="shared" si="529"/>
        <v>1</v>
      </c>
      <c r="BI97" s="223">
        <f t="shared" si="529"/>
        <v>0</v>
      </c>
      <c r="BJ97" s="223">
        <f t="shared" si="529"/>
        <v>3</v>
      </c>
      <c r="BK97" s="223">
        <f t="shared" si="529"/>
        <v>0</v>
      </c>
      <c r="BL97" s="218">
        <f>SUM(BF97:BK97)</f>
        <v>1222</v>
      </c>
      <c r="BM97" s="53"/>
      <c r="BN97" s="53">
        <f>BL97+BL101</f>
        <v>1922</v>
      </c>
      <c r="BO97" s="53">
        <f>BN97/2</f>
        <v>961</v>
      </c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  <c r="CG97" s="53"/>
      <c r="CH97" s="224">
        <f t="shared" ref="CH97:CM97" si="530">SUM(CH53:CH54,CO53:CO54,CV53:CV54,DC53:DC54,GP53:GP54,GW53:GW54,HD53:HD54)</f>
        <v>1600</v>
      </c>
      <c r="CI97" s="224">
        <f t="shared" si="530"/>
        <v>202</v>
      </c>
      <c r="CJ97" s="224">
        <f t="shared" si="530"/>
        <v>10</v>
      </c>
      <c r="CK97" s="224">
        <f t="shared" si="530"/>
        <v>1</v>
      </c>
      <c r="CL97" s="224">
        <f t="shared" si="530"/>
        <v>27</v>
      </c>
      <c r="CM97" s="224">
        <f t="shared" si="530"/>
        <v>0</v>
      </c>
      <c r="CN97" s="218">
        <f>SUM(CH97:CM97)</f>
        <v>1840</v>
      </c>
      <c r="CO97" s="53"/>
      <c r="CP97" s="53">
        <f>CN97+CN101</f>
        <v>3798</v>
      </c>
      <c r="CQ97" s="53">
        <f>CP97/2</f>
        <v>1899</v>
      </c>
      <c r="CR97" s="53"/>
      <c r="CS97" s="53"/>
      <c r="CT97" s="53"/>
      <c r="CU97" s="53"/>
      <c r="CV97" s="53"/>
      <c r="CW97" s="53"/>
      <c r="CX97" s="53"/>
      <c r="CY97" s="53"/>
      <c r="CZ97" s="53"/>
      <c r="DA97" s="53"/>
      <c r="DB97" s="53"/>
      <c r="DC97" s="53"/>
      <c r="DD97" s="53"/>
      <c r="DE97" s="53"/>
      <c r="DF97" s="53"/>
      <c r="DG97" s="53"/>
      <c r="DH97" s="53"/>
      <c r="DI97" s="53"/>
      <c r="DJ97" s="53"/>
      <c r="DK97" s="53"/>
      <c r="DL97" s="53"/>
      <c r="DM97" s="53"/>
      <c r="DN97" s="53"/>
      <c r="DO97" s="53"/>
      <c r="DP97" s="53"/>
      <c r="DQ97" s="53"/>
      <c r="DR97" s="53"/>
      <c r="DS97" s="53"/>
      <c r="DT97" s="53"/>
      <c r="DU97" s="53"/>
      <c r="DV97" s="53"/>
      <c r="DW97" s="53"/>
      <c r="DX97" s="53"/>
      <c r="DY97" s="53"/>
      <c r="DZ97" s="53"/>
      <c r="EA97" s="53"/>
      <c r="EB97" s="53"/>
      <c r="EC97" s="53"/>
      <c r="ED97" s="53"/>
      <c r="EE97" s="53"/>
      <c r="EF97" s="53"/>
      <c r="EG97" s="53"/>
      <c r="EH97" s="53"/>
      <c r="EI97" s="53"/>
      <c r="EJ97" s="53"/>
      <c r="EK97" s="53"/>
      <c r="EL97" s="53"/>
      <c r="EM97" s="53"/>
      <c r="EN97" s="53"/>
      <c r="EO97" s="53"/>
      <c r="EP97" s="53"/>
      <c r="EQ97" s="53"/>
      <c r="ER97" s="53"/>
      <c r="ES97" s="53"/>
      <c r="ET97" s="53"/>
      <c r="EU97" s="53"/>
      <c r="EV97" s="53"/>
      <c r="EW97" s="53"/>
      <c r="EX97" s="53"/>
      <c r="EY97" s="53"/>
      <c r="EZ97" s="53"/>
      <c r="FA97" s="53"/>
      <c r="FB97" s="53"/>
      <c r="FC97" s="53"/>
      <c r="FD97" s="53"/>
      <c r="FE97" s="53"/>
      <c r="FF97" s="53"/>
      <c r="FG97" s="53"/>
      <c r="FH97" s="53"/>
      <c r="FI97" s="53"/>
      <c r="FJ97" s="53"/>
      <c r="FK97" s="53"/>
      <c r="FL97" s="53"/>
      <c r="FM97" s="53"/>
      <c r="FN97" s="53"/>
      <c r="FO97" s="53"/>
      <c r="FP97" s="53"/>
      <c r="FQ97" s="53"/>
      <c r="FR97" s="53"/>
      <c r="FS97" s="53"/>
      <c r="FT97" s="53"/>
      <c r="FU97" s="53"/>
      <c r="FV97" s="53"/>
      <c r="FW97" s="53"/>
      <c r="FX97" s="53"/>
      <c r="FY97" s="53"/>
      <c r="FZ97" s="53"/>
      <c r="GA97" s="53"/>
      <c r="GB97" s="53"/>
      <c r="GC97" s="53"/>
      <c r="GD97" s="53"/>
      <c r="GE97" s="53"/>
      <c r="GF97" s="53"/>
      <c r="GG97" s="53"/>
      <c r="GH97" s="53"/>
      <c r="GI97" s="53"/>
      <c r="GJ97" s="53"/>
      <c r="GK97" s="53"/>
      <c r="GL97" s="53"/>
      <c r="GM97" s="53"/>
      <c r="GN97" s="53"/>
      <c r="GO97" s="53"/>
      <c r="GP97" s="53"/>
      <c r="GQ97" s="53"/>
      <c r="GR97" s="53"/>
      <c r="GS97" s="53"/>
      <c r="GT97" s="53"/>
      <c r="GU97" s="53"/>
      <c r="GV97" s="53"/>
      <c r="GW97" s="53"/>
      <c r="GX97" s="53"/>
      <c r="GY97" s="53"/>
      <c r="GZ97" s="53"/>
      <c r="HA97" s="53"/>
      <c r="HB97" s="53"/>
      <c r="HC97" s="53"/>
      <c r="HD97" s="53"/>
      <c r="HE97" s="53"/>
      <c r="HF97" s="53"/>
      <c r="HG97" s="53"/>
      <c r="HH97" s="53"/>
      <c r="HI97" s="53"/>
      <c r="HJ97" s="53"/>
    </row>
    <row r="98" spans="1:218" ht="21.75" customHeight="1" x14ac:dyDescent="0.6">
      <c r="A98" s="216" t="s">
        <v>246</v>
      </c>
      <c r="B98" s="217">
        <f t="shared" ref="B98:G98" si="531">SUM(B55:B62,I55:I62,P55:P62,W55:W62,DJ55:DJ62,DQ55:DQ62,DX55:DX62)</f>
        <v>3305</v>
      </c>
      <c r="C98" s="217">
        <f t="shared" si="531"/>
        <v>846</v>
      </c>
      <c r="D98" s="217">
        <f t="shared" si="531"/>
        <v>1</v>
      </c>
      <c r="E98" s="217">
        <f t="shared" si="531"/>
        <v>0</v>
      </c>
      <c r="F98" s="217">
        <f t="shared" si="531"/>
        <v>28</v>
      </c>
      <c r="G98" s="217">
        <f t="shared" si="531"/>
        <v>17</v>
      </c>
      <c r="H98" s="218">
        <f t="shared" ref="H98" si="532">SUM(B98:G98)</f>
        <v>4197</v>
      </c>
      <c r="I98" s="53"/>
      <c r="J98" s="53">
        <f t="shared" ref="J98:J99" si="533">H98+H102</f>
        <v>8842</v>
      </c>
      <c r="K98" s="53">
        <f>J98/8</f>
        <v>1105.25</v>
      </c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219">
        <f t="shared" ref="AD98:AI98" si="534">SUM(AD55:AD62,AK55:AK62,AR55:AR62,AY55:AY62,EL55:EL62,ES55:ES62,EZ55:EZ62)</f>
        <v>8570</v>
      </c>
      <c r="AE98" s="219">
        <f t="shared" si="534"/>
        <v>2910</v>
      </c>
      <c r="AF98" s="219">
        <f t="shared" si="534"/>
        <v>26</v>
      </c>
      <c r="AG98" s="219">
        <f t="shared" si="534"/>
        <v>8</v>
      </c>
      <c r="AH98" s="219">
        <f t="shared" si="534"/>
        <v>220</v>
      </c>
      <c r="AI98" s="219">
        <f t="shared" si="534"/>
        <v>19</v>
      </c>
      <c r="AJ98" s="218">
        <f t="shared" ref="AJ98" si="535">SUM(AD98:AI98)</f>
        <v>11753</v>
      </c>
      <c r="AK98" s="53"/>
      <c r="AL98" s="53">
        <f t="shared" ref="AL98:AL99" si="536">AJ98+AJ102</f>
        <v>21748</v>
      </c>
      <c r="AM98" s="53">
        <f>AL98/8</f>
        <v>2718.5</v>
      </c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223">
        <f t="shared" ref="BF98:BK98" si="537">SUM(BF55:BF62,BM55:BM62,BT55:BT62,CA55:CA62,FN55:FN62,FU55:FU62,GB55:GB62)</f>
        <v>3852</v>
      </c>
      <c r="BG98" s="223">
        <f t="shared" si="537"/>
        <v>860</v>
      </c>
      <c r="BH98" s="223">
        <f t="shared" si="537"/>
        <v>0</v>
      </c>
      <c r="BI98" s="223">
        <f t="shared" si="537"/>
        <v>0</v>
      </c>
      <c r="BJ98" s="223">
        <f t="shared" si="537"/>
        <v>28</v>
      </c>
      <c r="BK98" s="223">
        <f t="shared" si="537"/>
        <v>0</v>
      </c>
      <c r="BL98" s="218">
        <f>SUM(BF98:BK98)</f>
        <v>4740</v>
      </c>
      <c r="BM98" s="53"/>
      <c r="BN98" s="53">
        <f t="shared" ref="BN98:BN99" si="538">BL98+BL102</f>
        <v>8829</v>
      </c>
      <c r="BO98" s="53">
        <f>BN98/8</f>
        <v>1103.625</v>
      </c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  <c r="CG98" s="53"/>
      <c r="CH98" s="224">
        <f t="shared" ref="CH98:CM98" si="539">SUM(CH55:CH62,CO55:CO62,CV55:CV62,DC55:DC62,GP55:GP62,GW55:GW62,HD55:HD62)</f>
        <v>4427</v>
      </c>
      <c r="CI98" s="224">
        <f t="shared" si="539"/>
        <v>1029</v>
      </c>
      <c r="CJ98" s="224">
        <f t="shared" si="539"/>
        <v>13</v>
      </c>
      <c r="CK98" s="224">
        <f t="shared" si="539"/>
        <v>7</v>
      </c>
      <c r="CL98" s="224">
        <f t="shared" si="539"/>
        <v>63</v>
      </c>
      <c r="CM98" s="224">
        <f t="shared" si="539"/>
        <v>12</v>
      </c>
      <c r="CN98" s="218">
        <f>SUM(CH98:CM98)</f>
        <v>5551</v>
      </c>
      <c r="CO98" s="53"/>
      <c r="CP98" s="53">
        <f t="shared" ref="CP98:CP99" si="540">CN98+CN102</f>
        <v>13063</v>
      </c>
      <c r="CQ98" s="53">
        <f>CP98/8</f>
        <v>1632.875</v>
      </c>
      <c r="CR98" s="53"/>
      <c r="CS98" s="53"/>
      <c r="CT98" s="53"/>
      <c r="CU98" s="53"/>
      <c r="CV98" s="53"/>
      <c r="CW98" s="53"/>
      <c r="CX98" s="53"/>
      <c r="CY98" s="53"/>
      <c r="CZ98" s="53"/>
      <c r="DA98" s="53"/>
      <c r="DB98" s="53"/>
      <c r="DC98" s="53"/>
      <c r="DD98" s="53"/>
      <c r="DE98" s="53"/>
      <c r="DF98" s="53"/>
      <c r="DG98" s="53"/>
      <c r="DH98" s="53"/>
      <c r="DI98" s="53"/>
      <c r="DJ98" s="53"/>
      <c r="DK98" s="53"/>
      <c r="DL98" s="53"/>
      <c r="DM98" s="53"/>
      <c r="DN98" s="53"/>
      <c r="DO98" s="53"/>
      <c r="DP98" s="53"/>
      <c r="DQ98" s="53"/>
      <c r="DR98" s="53"/>
      <c r="DS98" s="53"/>
      <c r="DT98" s="53"/>
      <c r="DU98" s="53"/>
      <c r="DV98" s="53"/>
      <c r="DW98" s="53"/>
      <c r="DX98" s="53"/>
      <c r="DY98" s="53"/>
      <c r="DZ98" s="53"/>
      <c r="EA98" s="53"/>
      <c r="EB98" s="53"/>
      <c r="EC98" s="53"/>
      <c r="ED98" s="53"/>
      <c r="EE98" s="53"/>
      <c r="EF98" s="53"/>
      <c r="EG98" s="53"/>
      <c r="EH98" s="53"/>
      <c r="EI98" s="53"/>
      <c r="EJ98" s="53"/>
      <c r="EK98" s="53"/>
      <c r="EL98" s="53"/>
      <c r="EM98" s="53"/>
      <c r="EN98" s="53"/>
      <c r="EO98" s="53"/>
      <c r="EP98" s="53"/>
      <c r="EQ98" s="53"/>
      <c r="ER98" s="53"/>
      <c r="ES98" s="53"/>
      <c r="ET98" s="53"/>
      <c r="EU98" s="53"/>
      <c r="EV98" s="53"/>
      <c r="EW98" s="53"/>
      <c r="EX98" s="53"/>
      <c r="EY98" s="53"/>
      <c r="EZ98" s="53"/>
      <c r="FA98" s="53"/>
      <c r="FB98" s="53"/>
      <c r="FC98" s="53"/>
      <c r="FD98" s="53"/>
      <c r="FE98" s="53"/>
      <c r="FF98" s="53"/>
      <c r="FG98" s="53"/>
      <c r="FH98" s="53"/>
      <c r="FI98" s="53"/>
      <c r="FJ98" s="53"/>
      <c r="FK98" s="53"/>
      <c r="FL98" s="53"/>
      <c r="FM98" s="53"/>
      <c r="FN98" s="53"/>
      <c r="FO98" s="53"/>
      <c r="FP98" s="53"/>
      <c r="FQ98" s="53"/>
      <c r="FR98" s="53"/>
      <c r="FS98" s="53"/>
      <c r="FT98" s="53"/>
      <c r="FU98" s="53"/>
      <c r="FV98" s="53"/>
      <c r="FW98" s="53"/>
      <c r="FX98" s="53"/>
      <c r="FY98" s="53"/>
      <c r="FZ98" s="53"/>
      <c r="GA98" s="53"/>
      <c r="GB98" s="53"/>
      <c r="GC98" s="53"/>
      <c r="GD98" s="53"/>
      <c r="GE98" s="53"/>
      <c r="GF98" s="53"/>
      <c r="GG98" s="53"/>
      <c r="GH98" s="53"/>
      <c r="GI98" s="53"/>
      <c r="GJ98" s="53"/>
      <c r="GK98" s="53"/>
      <c r="GL98" s="53"/>
      <c r="GM98" s="53"/>
      <c r="GN98" s="53"/>
      <c r="GO98" s="53"/>
      <c r="GP98" s="53"/>
      <c r="GQ98" s="53"/>
      <c r="GR98" s="53"/>
      <c r="GS98" s="53"/>
      <c r="GT98" s="53"/>
      <c r="GU98" s="53"/>
      <c r="GV98" s="53"/>
      <c r="GW98" s="53"/>
      <c r="GX98" s="53"/>
      <c r="GY98" s="53"/>
      <c r="GZ98" s="53"/>
      <c r="HA98" s="53"/>
      <c r="HB98" s="53"/>
      <c r="HC98" s="53"/>
      <c r="HD98" s="53"/>
      <c r="HE98" s="53"/>
      <c r="HF98" s="53"/>
      <c r="HG98" s="53"/>
      <c r="HH98" s="53"/>
      <c r="HI98" s="53"/>
      <c r="HJ98" s="53"/>
    </row>
    <row r="99" spans="1:218" ht="21.75" customHeight="1" x14ac:dyDescent="0.6">
      <c r="A99" s="216" t="s">
        <v>247</v>
      </c>
      <c r="B99" s="217">
        <f t="shared" ref="B99:G99" si="541">SUM(B63:B64,I63:I64,P63:P64,W63:W64,DJ63:DJ64,DQ63:DQ64,DX63:DX64)</f>
        <v>711</v>
      </c>
      <c r="C99" s="217">
        <f t="shared" si="541"/>
        <v>174</v>
      </c>
      <c r="D99" s="217">
        <f t="shared" si="541"/>
        <v>1</v>
      </c>
      <c r="E99" s="217">
        <f t="shared" si="541"/>
        <v>0</v>
      </c>
      <c r="F99" s="217">
        <f t="shared" si="541"/>
        <v>5</v>
      </c>
      <c r="G99" s="217">
        <f t="shared" si="541"/>
        <v>3</v>
      </c>
      <c r="H99" s="218">
        <f>SUM(B99:G99)</f>
        <v>894</v>
      </c>
      <c r="I99" s="53">
        <f>SUM(H97:H99)</f>
        <v>5967</v>
      </c>
      <c r="J99" s="53">
        <f t="shared" si="533"/>
        <v>2426</v>
      </c>
      <c r="K99" s="53">
        <f>J99/2</f>
        <v>1213</v>
      </c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219">
        <f t="shared" ref="AD99:AI99" si="542">SUM(AD63:AD64,AK63:AK64,AR63:AR64,AY63:AY64,EL63:EL64,ES63:ES64,EZ63:EZ64)</f>
        <v>2366</v>
      </c>
      <c r="AE99" s="219">
        <f t="shared" si="542"/>
        <v>649</v>
      </c>
      <c r="AF99" s="219">
        <f t="shared" si="542"/>
        <v>7</v>
      </c>
      <c r="AG99" s="219">
        <f t="shared" si="542"/>
        <v>2</v>
      </c>
      <c r="AH99" s="219">
        <f t="shared" si="542"/>
        <v>27</v>
      </c>
      <c r="AI99" s="219">
        <f t="shared" si="542"/>
        <v>9</v>
      </c>
      <c r="AJ99" s="218">
        <f>SUM(AD99:AI99)</f>
        <v>3060</v>
      </c>
      <c r="AK99" s="53">
        <f>SUM(AJ97:AJ99)</f>
        <v>17873</v>
      </c>
      <c r="AL99" s="53">
        <f t="shared" si="536"/>
        <v>6224</v>
      </c>
      <c r="AM99" s="53">
        <f>AL99/2</f>
        <v>3112</v>
      </c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223">
        <f t="shared" ref="BF99:BK99" si="543">SUM(BF63:BF64,BM63:BM64,BT63:BT64,CA63:CA64,FN63:FN64,FU63:FU64,GB63:GB64)</f>
        <v>948</v>
      </c>
      <c r="BG99" s="223">
        <f t="shared" si="543"/>
        <v>222</v>
      </c>
      <c r="BH99" s="223">
        <f t="shared" si="543"/>
        <v>2</v>
      </c>
      <c r="BI99" s="223">
        <f t="shared" si="543"/>
        <v>0</v>
      </c>
      <c r="BJ99" s="223">
        <f t="shared" si="543"/>
        <v>5</v>
      </c>
      <c r="BK99" s="223">
        <f t="shared" si="543"/>
        <v>0</v>
      </c>
      <c r="BL99" s="218">
        <f>SUM(BF99:BK99)</f>
        <v>1177</v>
      </c>
      <c r="BM99" s="53">
        <f>SUM(BL97:BL99)</f>
        <v>7139</v>
      </c>
      <c r="BN99" s="53">
        <f t="shared" si="538"/>
        <v>2037</v>
      </c>
      <c r="BO99" s="53">
        <f>BN99/2</f>
        <v>1018.5</v>
      </c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  <c r="CG99" s="53"/>
      <c r="CH99" s="224">
        <f t="shared" ref="CH99:CM99" si="544">SUM(CH63:CH64,CO63:CO64,CV63:CV64,DC63:DC64,GP63:GP64,GW63:GW64,HD63:HD64)</f>
        <v>1716</v>
      </c>
      <c r="CI99" s="224">
        <f t="shared" si="544"/>
        <v>447</v>
      </c>
      <c r="CJ99" s="224">
        <f t="shared" si="544"/>
        <v>2</v>
      </c>
      <c r="CK99" s="224">
        <f t="shared" si="544"/>
        <v>4</v>
      </c>
      <c r="CL99" s="224">
        <f t="shared" si="544"/>
        <v>7</v>
      </c>
      <c r="CM99" s="224">
        <f t="shared" si="544"/>
        <v>5</v>
      </c>
      <c r="CN99" s="218">
        <f>SUM(CH99:CM99)</f>
        <v>2181</v>
      </c>
      <c r="CO99" s="53">
        <f>SUM(CN97:CN99)</f>
        <v>9572</v>
      </c>
      <c r="CP99" s="53">
        <f t="shared" si="540"/>
        <v>3937</v>
      </c>
      <c r="CQ99" s="53">
        <f>CP99/2</f>
        <v>1968.5</v>
      </c>
      <c r="CR99" s="53"/>
      <c r="CS99" s="53"/>
      <c r="CT99" s="53"/>
      <c r="CU99" s="53"/>
      <c r="CV99" s="53"/>
      <c r="CW99" s="53"/>
      <c r="CX99" s="53"/>
      <c r="CY99" s="53"/>
      <c r="CZ99" s="53"/>
      <c r="DA99" s="53"/>
      <c r="DB99" s="53"/>
      <c r="DC99" s="53"/>
      <c r="DD99" s="53"/>
      <c r="DE99" s="53"/>
      <c r="DF99" s="53"/>
      <c r="DG99" s="53"/>
      <c r="DH99" s="53"/>
      <c r="DI99" s="53"/>
      <c r="DJ99" s="53"/>
      <c r="DK99" s="53"/>
      <c r="DL99" s="53"/>
      <c r="DM99" s="53"/>
      <c r="DN99" s="53"/>
      <c r="DO99" s="53"/>
      <c r="DP99" s="53"/>
      <c r="DQ99" s="53"/>
      <c r="DR99" s="53"/>
      <c r="DS99" s="53"/>
      <c r="DT99" s="53"/>
      <c r="DU99" s="53"/>
      <c r="DV99" s="53"/>
      <c r="DW99" s="53"/>
      <c r="DX99" s="53"/>
      <c r="DY99" s="53"/>
      <c r="DZ99" s="53"/>
      <c r="EA99" s="53"/>
      <c r="EB99" s="53"/>
      <c r="EC99" s="53"/>
      <c r="ED99" s="53"/>
      <c r="EE99" s="53"/>
      <c r="EF99" s="53"/>
      <c r="EG99" s="53"/>
      <c r="EH99" s="53"/>
      <c r="EI99" s="53"/>
      <c r="EJ99" s="53"/>
      <c r="EK99" s="53"/>
      <c r="EL99" s="53"/>
      <c r="EM99" s="53"/>
      <c r="EN99" s="53"/>
      <c r="EO99" s="53"/>
      <c r="EP99" s="53"/>
      <c r="EQ99" s="53"/>
      <c r="ER99" s="53"/>
      <c r="ES99" s="53"/>
      <c r="ET99" s="53"/>
      <c r="EU99" s="53"/>
      <c r="EV99" s="53"/>
      <c r="EW99" s="53"/>
      <c r="EX99" s="53"/>
      <c r="EY99" s="53"/>
      <c r="EZ99" s="53"/>
      <c r="FA99" s="53"/>
      <c r="FB99" s="53"/>
      <c r="FC99" s="53"/>
      <c r="FD99" s="53"/>
      <c r="FE99" s="53"/>
      <c r="FF99" s="53"/>
      <c r="FG99" s="53"/>
      <c r="FH99" s="53"/>
      <c r="FI99" s="53"/>
      <c r="FJ99" s="53"/>
      <c r="FK99" s="53"/>
      <c r="FL99" s="53"/>
      <c r="FM99" s="53"/>
      <c r="FN99" s="53"/>
      <c r="FO99" s="53"/>
      <c r="FP99" s="53"/>
      <c r="FQ99" s="53"/>
      <c r="FR99" s="53"/>
      <c r="FS99" s="53"/>
      <c r="FT99" s="53"/>
      <c r="FU99" s="53"/>
      <c r="FV99" s="53"/>
      <c r="FW99" s="53"/>
      <c r="FX99" s="53"/>
      <c r="FY99" s="53"/>
      <c r="FZ99" s="53"/>
      <c r="GA99" s="53"/>
      <c r="GB99" s="53"/>
      <c r="GC99" s="53"/>
      <c r="GD99" s="53"/>
      <c r="GE99" s="53"/>
      <c r="GF99" s="53"/>
      <c r="GG99" s="53"/>
      <c r="GH99" s="53"/>
      <c r="GI99" s="53"/>
      <c r="GJ99" s="53"/>
      <c r="GK99" s="53"/>
      <c r="GL99" s="53"/>
      <c r="GM99" s="53"/>
      <c r="GN99" s="53"/>
      <c r="GO99" s="53"/>
      <c r="GP99" s="53"/>
      <c r="GQ99" s="53"/>
      <c r="GR99" s="53"/>
      <c r="GS99" s="53"/>
      <c r="GT99" s="53"/>
      <c r="GU99" s="53"/>
      <c r="GV99" s="53"/>
      <c r="GW99" s="53"/>
      <c r="GX99" s="53"/>
      <c r="GY99" s="53"/>
      <c r="GZ99" s="53"/>
      <c r="HA99" s="53"/>
      <c r="HB99" s="53"/>
      <c r="HC99" s="53"/>
      <c r="HD99" s="53"/>
      <c r="HE99" s="53"/>
      <c r="HF99" s="53"/>
      <c r="HG99" s="53"/>
      <c r="HH99" s="53"/>
      <c r="HI99" s="53"/>
      <c r="HJ99" s="53"/>
    </row>
    <row r="100" spans="1:218" ht="21.75" customHeight="1" x14ac:dyDescent="0.6">
      <c r="A100" s="255" t="s">
        <v>187</v>
      </c>
      <c r="B100" s="256"/>
      <c r="C100" s="256"/>
      <c r="D100" s="256"/>
      <c r="E100" s="256"/>
      <c r="F100" s="256"/>
      <c r="G100" s="256"/>
      <c r="H100" s="256"/>
      <c r="I100" s="53"/>
      <c r="J100" s="267">
        <f>SUM(J97:J99)</f>
        <v>13575</v>
      </c>
      <c r="K100" s="267">
        <f>J100/12</f>
        <v>1131.25</v>
      </c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256"/>
      <c r="AE100" s="256"/>
      <c r="AF100" s="256"/>
      <c r="AG100" s="256"/>
      <c r="AH100" s="256"/>
      <c r="AI100" s="256"/>
      <c r="AJ100" s="256"/>
      <c r="AK100" s="53"/>
      <c r="AL100" s="267">
        <f>SUM(AL97:AL99)</f>
        <v>33941</v>
      </c>
      <c r="AM100" s="267">
        <f>AL100/12</f>
        <v>2828.4166666666665</v>
      </c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256"/>
      <c r="BG100" s="256"/>
      <c r="BH100" s="256"/>
      <c r="BI100" s="256"/>
      <c r="BJ100" s="256"/>
      <c r="BK100" s="256"/>
      <c r="BL100" s="256"/>
      <c r="BM100" s="53"/>
      <c r="BN100" s="267">
        <f>SUM(BN97:BN99)</f>
        <v>12788</v>
      </c>
      <c r="BO100" s="267">
        <f>BN100/12</f>
        <v>1065.6666666666667</v>
      </c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  <c r="CG100" s="53"/>
      <c r="CH100" s="256"/>
      <c r="CI100" s="256"/>
      <c r="CJ100" s="256"/>
      <c r="CK100" s="256"/>
      <c r="CL100" s="256"/>
      <c r="CM100" s="256"/>
      <c r="CN100" s="256"/>
      <c r="CO100" s="53"/>
      <c r="CP100" s="267">
        <f>SUM(CP97:CP99)</f>
        <v>20798</v>
      </c>
      <c r="CQ100" s="267">
        <f>CP100/12</f>
        <v>1733.1666666666667</v>
      </c>
      <c r="CR100" s="53"/>
      <c r="CS100" s="53"/>
      <c r="CT100" s="53"/>
      <c r="CU100" s="53"/>
      <c r="CV100" s="53"/>
      <c r="CW100" s="53"/>
      <c r="CX100" s="53"/>
      <c r="CY100" s="53"/>
      <c r="CZ100" s="53"/>
      <c r="DA100" s="53"/>
      <c r="DB100" s="53"/>
      <c r="DC100" s="53"/>
      <c r="DD100" s="53"/>
      <c r="DE100" s="53"/>
      <c r="DF100" s="53"/>
      <c r="DG100" s="53"/>
      <c r="DH100" s="53"/>
      <c r="DI100" s="53"/>
      <c r="DJ100" s="53"/>
      <c r="DK100" s="53"/>
      <c r="DL100" s="53"/>
      <c r="DM100" s="53"/>
      <c r="DN100" s="53"/>
      <c r="DO100" s="53"/>
      <c r="DP100" s="53"/>
      <c r="DQ100" s="53"/>
      <c r="DR100" s="53"/>
      <c r="DS100" s="53"/>
      <c r="DT100" s="53"/>
      <c r="DU100" s="53"/>
      <c r="DV100" s="53"/>
      <c r="DW100" s="53"/>
      <c r="DX100" s="53"/>
      <c r="DY100" s="53"/>
      <c r="DZ100" s="53"/>
      <c r="EA100" s="53"/>
      <c r="EB100" s="53"/>
      <c r="EC100" s="53"/>
      <c r="ED100" s="53"/>
      <c r="EE100" s="53"/>
      <c r="EF100" s="53"/>
      <c r="EG100" s="53"/>
      <c r="EH100" s="53"/>
      <c r="EI100" s="53"/>
      <c r="EJ100" s="53"/>
      <c r="EK100" s="53"/>
      <c r="EL100" s="53"/>
      <c r="EM100" s="53"/>
      <c r="EN100" s="53"/>
      <c r="EO100" s="53"/>
      <c r="EP100" s="53"/>
      <c r="EQ100" s="53"/>
      <c r="ER100" s="53"/>
      <c r="ES100" s="53"/>
      <c r="ET100" s="53"/>
      <c r="EU100" s="53"/>
      <c r="EV100" s="53"/>
      <c r="EW100" s="53"/>
      <c r="EX100" s="53"/>
      <c r="EY100" s="53"/>
      <c r="EZ100" s="53"/>
      <c r="FA100" s="53"/>
      <c r="FB100" s="53"/>
      <c r="FC100" s="53"/>
      <c r="FD100" s="53"/>
      <c r="FE100" s="53"/>
      <c r="FF100" s="53"/>
      <c r="FG100" s="53"/>
      <c r="FH100" s="53"/>
      <c r="FI100" s="53"/>
      <c r="FJ100" s="53"/>
      <c r="FK100" s="53"/>
      <c r="FL100" s="53"/>
      <c r="FM100" s="53"/>
      <c r="FN100" s="53"/>
      <c r="FO100" s="53"/>
      <c r="FP100" s="53"/>
      <c r="FQ100" s="53"/>
      <c r="FR100" s="53"/>
      <c r="FS100" s="53"/>
      <c r="FT100" s="53"/>
      <c r="FU100" s="53"/>
      <c r="FV100" s="53"/>
      <c r="FW100" s="53"/>
      <c r="FX100" s="53"/>
      <c r="FY100" s="53"/>
      <c r="FZ100" s="53"/>
      <c r="GA100" s="53"/>
      <c r="GB100" s="53"/>
      <c r="GC100" s="53"/>
      <c r="GD100" s="53"/>
      <c r="GE100" s="53"/>
      <c r="GF100" s="53"/>
      <c r="GG100" s="53"/>
      <c r="GH100" s="53"/>
      <c r="GI100" s="53"/>
      <c r="GJ100" s="53"/>
      <c r="GK100" s="53"/>
      <c r="GL100" s="53"/>
      <c r="GM100" s="53"/>
      <c r="GN100" s="53"/>
      <c r="GO100" s="53"/>
      <c r="GP100" s="53"/>
      <c r="GQ100" s="53"/>
      <c r="GR100" s="53"/>
      <c r="GS100" s="53"/>
      <c r="GT100" s="53"/>
      <c r="GU100" s="53"/>
      <c r="GV100" s="53"/>
      <c r="GW100" s="53"/>
      <c r="GX100" s="53"/>
      <c r="GY100" s="53"/>
      <c r="GZ100" s="53"/>
      <c r="HA100" s="53"/>
      <c r="HB100" s="53"/>
      <c r="HC100" s="53"/>
      <c r="HD100" s="53"/>
      <c r="HE100" s="53"/>
      <c r="HF100" s="53"/>
      <c r="HG100" s="53"/>
      <c r="HH100" s="53"/>
      <c r="HI100" s="53"/>
      <c r="HJ100" s="53"/>
    </row>
    <row r="101" spans="1:218" ht="21.75" customHeight="1" x14ac:dyDescent="0.6">
      <c r="A101" s="216" t="s">
        <v>245</v>
      </c>
      <c r="B101" s="217">
        <f t="shared" ref="B101:G101" si="545">SUM(W53:W54,AR53:AR54,BM53:BM54,CH53:CH54,EZ53:EZ54,FU53:FU54,GP53:GP54)</f>
        <v>1230</v>
      </c>
      <c r="C101" s="217">
        <f t="shared" si="545"/>
        <v>189</v>
      </c>
      <c r="D101" s="217">
        <f t="shared" si="545"/>
        <v>1</v>
      </c>
      <c r="E101" s="217">
        <f t="shared" si="545"/>
        <v>0</v>
      </c>
      <c r="F101" s="217">
        <f t="shared" si="545"/>
        <v>10</v>
      </c>
      <c r="G101" s="217">
        <f t="shared" si="545"/>
        <v>1</v>
      </c>
      <c r="H101" s="218">
        <f>SUM(B101:G101)</f>
        <v>1431</v>
      </c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219">
        <f t="shared" ref="AD101:AI101" si="546">SUM(B53:B54,AY53:AY54,BT53:BT54,CO53:CO54,DJ53:DJ54,GB53:GB54,GW53:GW54)</f>
        <v>2438</v>
      </c>
      <c r="AE101" s="219">
        <f t="shared" si="546"/>
        <v>416</v>
      </c>
      <c r="AF101" s="219">
        <f t="shared" si="546"/>
        <v>12</v>
      </c>
      <c r="AG101" s="219">
        <f t="shared" si="546"/>
        <v>1</v>
      </c>
      <c r="AH101" s="219">
        <f t="shared" si="546"/>
        <v>36</v>
      </c>
      <c r="AI101" s="219">
        <f t="shared" si="546"/>
        <v>6</v>
      </c>
      <c r="AJ101" s="218">
        <f>SUM(AD101:AI101)</f>
        <v>2909</v>
      </c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223">
        <f t="shared" ref="BF101:BK101" si="547">SUM(I53:I54,AD53:AD54,CA53:CA54,CV53:CV54,DQ53:DQ54,EL53:EL54,HD53:HD54)</f>
        <v>528</v>
      </c>
      <c r="BG101" s="223">
        <f t="shared" si="547"/>
        <v>170</v>
      </c>
      <c r="BH101" s="223">
        <f t="shared" si="547"/>
        <v>0</v>
      </c>
      <c r="BI101" s="223">
        <f t="shared" si="547"/>
        <v>0</v>
      </c>
      <c r="BJ101" s="223">
        <f t="shared" si="547"/>
        <v>2</v>
      </c>
      <c r="BK101" s="223">
        <f t="shared" si="547"/>
        <v>0</v>
      </c>
      <c r="BL101" s="218">
        <f>SUM(BF101:BK101)</f>
        <v>700</v>
      </c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  <c r="CG101" s="53"/>
      <c r="CH101" s="224">
        <f t="shared" ref="CH101:CM101" si="548">SUM(P53:P54,AK53:AK54,BF53:BF54,DC53:DC54,DX53:DX54,ES53:ES54,FN53:FN54)</f>
        <v>1524</v>
      </c>
      <c r="CI101" s="224">
        <f t="shared" si="548"/>
        <v>397</v>
      </c>
      <c r="CJ101" s="224">
        <f t="shared" si="548"/>
        <v>4</v>
      </c>
      <c r="CK101" s="224">
        <f t="shared" si="548"/>
        <v>1</v>
      </c>
      <c r="CL101" s="224">
        <f t="shared" si="548"/>
        <v>31</v>
      </c>
      <c r="CM101" s="224">
        <f t="shared" si="548"/>
        <v>1</v>
      </c>
      <c r="CN101" s="218">
        <f>SUM(CH101:CM101)</f>
        <v>1958</v>
      </c>
      <c r="CO101" s="53"/>
      <c r="CP101" s="53"/>
      <c r="CQ101" s="53"/>
      <c r="CR101" s="53"/>
      <c r="CS101" s="53"/>
      <c r="CT101" s="53"/>
      <c r="CU101" s="53"/>
      <c r="CV101" s="53"/>
      <c r="CW101" s="53"/>
      <c r="CX101" s="53"/>
      <c r="CY101" s="53"/>
      <c r="CZ101" s="53"/>
      <c r="DA101" s="53"/>
      <c r="DB101" s="53"/>
      <c r="DC101" s="53"/>
      <c r="DD101" s="53"/>
      <c r="DE101" s="53"/>
      <c r="DF101" s="53"/>
      <c r="DG101" s="53"/>
      <c r="DH101" s="53"/>
      <c r="DI101" s="53"/>
      <c r="DJ101" s="53"/>
      <c r="DK101" s="53"/>
      <c r="DL101" s="53"/>
      <c r="DM101" s="53"/>
      <c r="DN101" s="53"/>
      <c r="DO101" s="53"/>
      <c r="DP101" s="53"/>
      <c r="DQ101" s="53"/>
      <c r="DR101" s="53"/>
      <c r="DS101" s="53"/>
      <c r="DT101" s="53"/>
      <c r="DU101" s="53"/>
      <c r="DV101" s="53"/>
      <c r="DW101" s="53"/>
      <c r="DX101" s="53"/>
      <c r="DY101" s="53"/>
      <c r="DZ101" s="53"/>
      <c r="EA101" s="53"/>
      <c r="EB101" s="53"/>
      <c r="EC101" s="53"/>
      <c r="ED101" s="53"/>
      <c r="EE101" s="53"/>
      <c r="EF101" s="53"/>
      <c r="EG101" s="53"/>
      <c r="EH101" s="53"/>
      <c r="EI101" s="53"/>
      <c r="EJ101" s="53"/>
      <c r="EK101" s="53"/>
      <c r="EL101" s="53"/>
      <c r="EM101" s="53"/>
      <c r="EN101" s="53"/>
      <c r="EO101" s="53"/>
      <c r="EP101" s="53"/>
      <c r="EQ101" s="53"/>
      <c r="ER101" s="53"/>
      <c r="ES101" s="53"/>
      <c r="ET101" s="53"/>
      <c r="EU101" s="53"/>
      <c r="EV101" s="53"/>
      <c r="EW101" s="53"/>
      <c r="EX101" s="53"/>
      <c r="EY101" s="53"/>
      <c r="EZ101" s="53"/>
      <c r="FA101" s="53"/>
      <c r="FB101" s="53"/>
      <c r="FC101" s="53"/>
      <c r="FD101" s="53"/>
      <c r="FE101" s="53"/>
      <c r="FF101" s="53"/>
      <c r="FG101" s="53"/>
      <c r="FH101" s="53"/>
      <c r="FI101" s="53"/>
      <c r="FJ101" s="53"/>
      <c r="FK101" s="53"/>
      <c r="FL101" s="53"/>
      <c r="FM101" s="53"/>
      <c r="FN101" s="53"/>
      <c r="FO101" s="53"/>
      <c r="FP101" s="53"/>
      <c r="FQ101" s="53"/>
      <c r="FR101" s="53"/>
      <c r="FS101" s="53"/>
      <c r="FT101" s="53"/>
      <c r="FU101" s="53"/>
      <c r="FV101" s="53"/>
      <c r="FW101" s="53"/>
      <c r="FX101" s="53"/>
      <c r="FY101" s="53"/>
      <c r="FZ101" s="53"/>
      <c r="GA101" s="53"/>
      <c r="GB101" s="53"/>
      <c r="GC101" s="53"/>
      <c r="GD101" s="53"/>
      <c r="GE101" s="53"/>
      <c r="GF101" s="53"/>
      <c r="GG101" s="53"/>
      <c r="GH101" s="53"/>
      <c r="GI101" s="53"/>
      <c r="GJ101" s="53"/>
      <c r="GK101" s="53"/>
      <c r="GL101" s="53"/>
      <c r="GM101" s="53"/>
      <c r="GN101" s="53"/>
      <c r="GO101" s="53"/>
      <c r="GP101" s="53"/>
      <c r="GQ101" s="53"/>
      <c r="GR101" s="53"/>
      <c r="GS101" s="53"/>
      <c r="GT101" s="53"/>
      <c r="GU101" s="53"/>
      <c r="GV101" s="53"/>
      <c r="GW101" s="53"/>
      <c r="GX101" s="53"/>
      <c r="GY101" s="53"/>
      <c r="GZ101" s="53"/>
      <c r="HA101" s="53"/>
      <c r="HB101" s="53"/>
      <c r="HC101" s="53"/>
      <c r="HD101" s="53"/>
      <c r="HE101" s="53"/>
      <c r="HF101" s="53"/>
      <c r="HG101" s="53"/>
      <c r="HH101" s="53"/>
      <c r="HI101" s="53"/>
      <c r="HJ101" s="53"/>
    </row>
    <row r="102" spans="1:218" ht="21.75" customHeight="1" x14ac:dyDescent="0.6">
      <c r="A102" s="216" t="s">
        <v>246</v>
      </c>
      <c r="B102" s="217">
        <f t="shared" ref="B102:G102" si="549">SUM(W55:W62,AR55:AR62,BM55:BM62,CH55:CH62,EZ55:EZ62,FU55:FU62,GP55:GP62)</f>
        <v>3676</v>
      </c>
      <c r="C102" s="217">
        <f t="shared" si="549"/>
        <v>917</v>
      </c>
      <c r="D102" s="217">
        <f t="shared" si="549"/>
        <v>0</v>
      </c>
      <c r="E102" s="217">
        <f t="shared" si="549"/>
        <v>0</v>
      </c>
      <c r="F102" s="217">
        <f t="shared" si="549"/>
        <v>46</v>
      </c>
      <c r="G102" s="217">
        <f t="shared" si="549"/>
        <v>6</v>
      </c>
      <c r="H102" s="218">
        <f>SUM(B102:G102)</f>
        <v>4645</v>
      </c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219">
        <f t="shared" ref="AD102:AI102" si="550">SUM(B55:B62,AY55:AY62,BT55:BT62,CO55:CO62,DJ55:DJ62,GB55:GB62,GW55:GW62)</f>
        <v>7826</v>
      </c>
      <c r="AE102" s="219">
        <f t="shared" si="550"/>
        <v>2008</v>
      </c>
      <c r="AF102" s="219">
        <f t="shared" si="550"/>
        <v>21</v>
      </c>
      <c r="AG102" s="219">
        <f t="shared" si="550"/>
        <v>7</v>
      </c>
      <c r="AH102" s="219">
        <f t="shared" si="550"/>
        <v>98</v>
      </c>
      <c r="AI102" s="219">
        <f t="shared" si="550"/>
        <v>35</v>
      </c>
      <c r="AJ102" s="218">
        <f>SUM(AD102:AI102)</f>
        <v>9995</v>
      </c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223">
        <f t="shared" ref="BF102:BK102" si="551">SUM(I55:I62,AD55:AD62,CA55:CA62,CV55:CV62,DQ55:DQ62,EL55:EL62,HD55:HD62)</f>
        <v>3150</v>
      </c>
      <c r="BG102" s="223">
        <f t="shared" si="551"/>
        <v>924</v>
      </c>
      <c r="BH102" s="223">
        <f t="shared" si="551"/>
        <v>5</v>
      </c>
      <c r="BI102" s="223">
        <f t="shared" si="551"/>
        <v>0</v>
      </c>
      <c r="BJ102" s="223">
        <f t="shared" si="551"/>
        <v>7</v>
      </c>
      <c r="BK102" s="223">
        <f t="shared" si="551"/>
        <v>3</v>
      </c>
      <c r="BL102" s="218">
        <f>SUM(BF102:BK102)</f>
        <v>4089</v>
      </c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  <c r="CG102" s="53"/>
      <c r="CH102" s="224">
        <f t="shared" ref="CH102:CM102" si="552">SUM(P55:P62,AK55:AK62,BF55:BF62,DC55:DC62,DX55:DX62,ES55:ES62,FN55:FN62)</f>
        <v>5502</v>
      </c>
      <c r="CI102" s="224">
        <f t="shared" si="552"/>
        <v>1796</v>
      </c>
      <c r="CJ102" s="224">
        <f t="shared" si="552"/>
        <v>14</v>
      </c>
      <c r="CK102" s="224">
        <f t="shared" si="552"/>
        <v>8</v>
      </c>
      <c r="CL102" s="224">
        <f t="shared" si="552"/>
        <v>188</v>
      </c>
      <c r="CM102" s="224">
        <f t="shared" si="552"/>
        <v>4</v>
      </c>
      <c r="CN102" s="218">
        <f>SUM(CH102:CM102)</f>
        <v>7512</v>
      </c>
      <c r="CO102" s="53"/>
      <c r="CP102" s="53"/>
      <c r="CQ102" s="53"/>
      <c r="CR102" s="53"/>
      <c r="CS102" s="53"/>
      <c r="CT102" s="53"/>
      <c r="CU102" s="53"/>
      <c r="CV102" s="53"/>
      <c r="CW102" s="53"/>
      <c r="CX102" s="53"/>
      <c r="CY102" s="53"/>
      <c r="CZ102" s="53"/>
      <c r="DA102" s="53"/>
      <c r="DB102" s="53"/>
      <c r="DC102" s="53"/>
      <c r="DD102" s="53"/>
      <c r="DE102" s="53"/>
      <c r="DF102" s="53"/>
      <c r="DG102" s="53"/>
      <c r="DH102" s="53"/>
      <c r="DI102" s="53"/>
      <c r="DJ102" s="53"/>
      <c r="DK102" s="53"/>
      <c r="DL102" s="53"/>
      <c r="DM102" s="53"/>
      <c r="DN102" s="53"/>
      <c r="DO102" s="53"/>
      <c r="DP102" s="53"/>
      <c r="DQ102" s="53"/>
      <c r="DR102" s="53"/>
      <c r="DS102" s="53"/>
      <c r="DT102" s="53"/>
      <c r="DU102" s="53"/>
      <c r="DV102" s="53"/>
      <c r="DW102" s="53"/>
      <c r="DX102" s="53"/>
      <c r="DY102" s="53"/>
      <c r="DZ102" s="53"/>
      <c r="EA102" s="53"/>
      <c r="EB102" s="53"/>
      <c r="EC102" s="53"/>
      <c r="ED102" s="53"/>
      <c r="EE102" s="53"/>
      <c r="EF102" s="53"/>
      <c r="EG102" s="53"/>
      <c r="EH102" s="53"/>
      <c r="EI102" s="53"/>
      <c r="EJ102" s="53"/>
      <c r="EK102" s="53"/>
      <c r="EL102" s="53"/>
      <c r="EM102" s="53"/>
      <c r="EN102" s="53"/>
      <c r="EO102" s="53"/>
      <c r="EP102" s="53"/>
      <c r="EQ102" s="53"/>
      <c r="ER102" s="53"/>
      <c r="ES102" s="53"/>
      <c r="ET102" s="53"/>
      <c r="EU102" s="53"/>
      <c r="EV102" s="53"/>
      <c r="EW102" s="53"/>
      <c r="EX102" s="53"/>
      <c r="EY102" s="53"/>
      <c r="EZ102" s="53"/>
      <c r="FA102" s="53"/>
      <c r="FB102" s="53"/>
      <c r="FC102" s="53"/>
      <c r="FD102" s="53"/>
      <c r="FE102" s="53"/>
      <c r="FF102" s="53"/>
      <c r="FG102" s="53"/>
      <c r="FH102" s="53"/>
      <c r="FI102" s="53"/>
      <c r="FJ102" s="53"/>
      <c r="FK102" s="53"/>
      <c r="FL102" s="53"/>
      <c r="FM102" s="53"/>
      <c r="FN102" s="53"/>
      <c r="FO102" s="53"/>
      <c r="FP102" s="53"/>
      <c r="FQ102" s="53"/>
      <c r="FR102" s="53"/>
      <c r="FS102" s="53"/>
      <c r="FT102" s="53"/>
      <c r="FU102" s="53"/>
      <c r="FV102" s="53"/>
      <c r="FW102" s="53"/>
      <c r="FX102" s="53"/>
      <c r="FY102" s="53"/>
      <c r="FZ102" s="53"/>
      <c r="GA102" s="53"/>
      <c r="GB102" s="53"/>
      <c r="GC102" s="53"/>
      <c r="GD102" s="53"/>
      <c r="GE102" s="53"/>
      <c r="GF102" s="53"/>
      <c r="GG102" s="53"/>
      <c r="GH102" s="53"/>
      <c r="GI102" s="53"/>
      <c r="GJ102" s="53"/>
      <c r="GK102" s="53"/>
      <c r="GL102" s="53"/>
      <c r="GM102" s="53"/>
      <c r="GN102" s="53"/>
      <c r="GO102" s="53"/>
      <c r="GP102" s="53"/>
      <c r="GQ102" s="53"/>
      <c r="GR102" s="53"/>
      <c r="GS102" s="53"/>
      <c r="GT102" s="53"/>
      <c r="GU102" s="53"/>
      <c r="GV102" s="53"/>
      <c r="GW102" s="53"/>
      <c r="GX102" s="53"/>
      <c r="GY102" s="53"/>
      <c r="GZ102" s="53"/>
      <c r="HA102" s="53"/>
      <c r="HB102" s="53"/>
      <c r="HC102" s="53"/>
      <c r="HD102" s="53"/>
      <c r="HE102" s="53"/>
      <c r="HF102" s="53"/>
      <c r="HG102" s="53"/>
      <c r="HH102" s="53"/>
      <c r="HI102" s="53"/>
      <c r="HJ102" s="53"/>
    </row>
    <row r="103" spans="1:218" ht="21.75" customHeight="1" x14ac:dyDescent="0.6">
      <c r="A103" s="216" t="s">
        <v>247</v>
      </c>
      <c r="B103" s="217">
        <f t="shared" ref="B103:G103" si="553">SUM(W63:W64,AR63:AR64,BM63:BM64,CH63:CH64,EZ63:EZ64,FU63:FU64,GP63:GP64)</f>
        <v>1271</v>
      </c>
      <c r="C103" s="217">
        <f t="shared" si="553"/>
        <v>243</v>
      </c>
      <c r="D103" s="217">
        <f t="shared" si="553"/>
        <v>2</v>
      </c>
      <c r="E103" s="217">
        <f t="shared" si="553"/>
        <v>0</v>
      </c>
      <c r="F103" s="217">
        <f t="shared" si="553"/>
        <v>9</v>
      </c>
      <c r="G103" s="217">
        <f t="shared" si="553"/>
        <v>7</v>
      </c>
      <c r="H103" s="218">
        <f>SUM(B103:G103)</f>
        <v>1532</v>
      </c>
      <c r="I103" s="53">
        <f>SUM(H101:H103)</f>
        <v>7608</v>
      </c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219">
        <f t="shared" ref="AD103:AI103" si="554">SUM(B63:B64,AY63:AY64,BT63:BT64,CO63:CO64,DJ63:DJ64,GB63:GB64,GW63:GW64)</f>
        <v>2456</v>
      </c>
      <c r="AE103" s="219">
        <f t="shared" si="554"/>
        <v>672</v>
      </c>
      <c r="AF103" s="219">
        <f t="shared" si="554"/>
        <v>4</v>
      </c>
      <c r="AG103" s="219">
        <f t="shared" si="554"/>
        <v>4</v>
      </c>
      <c r="AH103" s="219">
        <f t="shared" si="554"/>
        <v>20</v>
      </c>
      <c r="AI103" s="219">
        <f t="shared" si="554"/>
        <v>8</v>
      </c>
      <c r="AJ103" s="218">
        <f>SUM(AD103:AI103)</f>
        <v>3164</v>
      </c>
      <c r="AK103" s="53">
        <f>SUM(AJ101:AJ103)</f>
        <v>16068</v>
      </c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223">
        <f t="shared" ref="BF103:BK103" si="555">SUM(I63:I64,AD63:AD64,CA63:CA64,CV63:CV64,DQ63:DQ64,EL63:EL64,HD63:HD64)</f>
        <v>628</v>
      </c>
      <c r="BG103" s="223">
        <f t="shared" si="555"/>
        <v>229</v>
      </c>
      <c r="BH103" s="223">
        <f t="shared" si="555"/>
        <v>1</v>
      </c>
      <c r="BI103" s="223">
        <f t="shared" si="555"/>
        <v>0</v>
      </c>
      <c r="BJ103" s="223">
        <f t="shared" si="555"/>
        <v>1</v>
      </c>
      <c r="BK103" s="223">
        <f t="shared" si="555"/>
        <v>1</v>
      </c>
      <c r="BL103" s="218">
        <f>SUM(BF103:BK103)</f>
        <v>860</v>
      </c>
      <c r="BM103" s="53">
        <f>SUM(BL101:BL103)</f>
        <v>5649</v>
      </c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224">
        <f t="shared" ref="CH103:CM103" si="556">SUM(P63:P64,AK63:AK64,BF63:BF64,DC63:DC64,DX63:DX64,ES63:ES64,FN63:FN64)</f>
        <v>1386</v>
      </c>
      <c r="CI103" s="224">
        <f t="shared" si="556"/>
        <v>348</v>
      </c>
      <c r="CJ103" s="224">
        <f t="shared" si="556"/>
        <v>5</v>
      </c>
      <c r="CK103" s="224">
        <f t="shared" si="556"/>
        <v>2</v>
      </c>
      <c r="CL103" s="224">
        <f t="shared" si="556"/>
        <v>14</v>
      </c>
      <c r="CM103" s="224">
        <f t="shared" si="556"/>
        <v>1</v>
      </c>
      <c r="CN103" s="218">
        <f>SUM(CH103:CM103)</f>
        <v>1756</v>
      </c>
      <c r="CO103" s="53">
        <f>SUM(CN101:CN103)</f>
        <v>11226</v>
      </c>
      <c r="CP103" s="53"/>
      <c r="CQ103" s="53"/>
      <c r="CR103" s="53"/>
      <c r="CS103" s="53"/>
      <c r="CT103" s="53"/>
      <c r="CU103" s="53"/>
      <c r="CV103" s="53"/>
      <c r="CW103" s="53"/>
      <c r="CX103" s="53"/>
      <c r="CY103" s="53"/>
      <c r="CZ103" s="53"/>
      <c r="DA103" s="53"/>
      <c r="DB103" s="53"/>
      <c r="DC103" s="53"/>
      <c r="DD103" s="53"/>
      <c r="DE103" s="53"/>
      <c r="DF103" s="53"/>
      <c r="DG103" s="53"/>
      <c r="DH103" s="53"/>
      <c r="DI103" s="53"/>
      <c r="DJ103" s="53"/>
      <c r="DK103" s="53"/>
      <c r="DL103" s="53"/>
      <c r="DM103" s="53"/>
      <c r="DN103" s="53"/>
      <c r="DO103" s="53"/>
      <c r="DP103" s="53"/>
      <c r="DQ103" s="53"/>
      <c r="DR103" s="53"/>
      <c r="DS103" s="53"/>
      <c r="DT103" s="53"/>
      <c r="DU103" s="53"/>
      <c r="DV103" s="53"/>
      <c r="DW103" s="53"/>
      <c r="DX103" s="53"/>
      <c r="DY103" s="53"/>
      <c r="DZ103" s="53"/>
      <c r="EA103" s="53"/>
      <c r="EB103" s="53"/>
      <c r="EC103" s="53"/>
      <c r="ED103" s="53"/>
      <c r="EE103" s="53"/>
      <c r="EF103" s="53"/>
      <c r="EG103" s="53"/>
      <c r="EH103" s="53"/>
      <c r="EI103" s="53"/>
      <c r="EJ103" s="53"/>
      <c r="EK103" s="53"/>
      <c r="EL103" s="53"/>
      <c r="EM103" s="53"/>
      <c r="EN103" s="53"/>
      <c r="EO103" s="53"/>
      <c r="EP103" s="53"/>
      <c r="EQ103" s="53"/>
      <c r="ER103" s="53"/>
      <c r="ES103" s="53"/>
      <c r="ET103" s="53"/>
      <c r="EU103" s="53"/>
      <c r="EV103" s="53"/>
      <c r="EW103" s="53"/>
      <c r="EX103" s="53"/>
      <c r="EY103" s="53"/>
      <c r="EZ103" s="53"/>
      <c r="FA103" s="53"/>
      <c r="FB103" s="53"/>
      <c r="FC103" s="53"/>
      <c r="FD103" s="53"/>
      <c r="FE103" s="53"/>
      <c r="FF103" s="53"/>
      <c r="FG103" s="53"/>
      <c r="FH103" s="53"/>
      <c r="FI103" s="53"/>
      <c r="FJ103" s="53"/>
      <c r="FK103" s="53"/>
      <c r="FL103" s="53"/>
      <c r="FM103" s="53"/>
      <c r="FN103" s="53"/>
      <c r="FO103" s="53"/>
      <c r="FP103" s="53"/>
      <c r="FQ103" s="53"/>
      <c r="FR103" s="53"/>
      <c r="FS103" s="53"/>
      <c r="FT103" s="53"/>
      <c r="FU103" s="53"/>
      <c r="FV103" s="53"/>
      <c r="FW103" s="53"/>
      <c r="FX103" s="53"/>
      <c r="FY103" s="53"/>
      <c r="FZ103" s="53"/>
      <c r="GA103" s="53"/>
      <c r="GB103" s="53"/>
      <c r="GC103" s="53"/>
      <c r="GD103" s="53"/>
      <c r="GE103" s="53"/>
      <c r="GF103" s="53"/>
      <c r="GG103" s="53"/>
      <c r="GH103" s="53"/>
      <c r="GI103" s="53"/>
      <c r="GJ103" s="53"/>
      <c r="GK103" s="53"/>
      <c r="GL103" s="53"/>
      <c r="GM103" s="53"/>
      <c r="GN103" s="53"/>
      <c r="GO103" s="53"/>
      <c r="GP103" s="53"/>
      <c r="GQ103" s="53"/>
      <c r="GR103" s="53"/>
      <c r="GS103" s="53"/>
      <c r="GT103" s="53"/>
      <c r="GU103" s="53"/>
      <c r="GV103" s="53"/>
      <c r="GW103" s="53"/>
      <c r="GX103" s="53"/>
      <c r="GY103" s="53"/>
      <c r="GZ103" s="53"/>
      <c r="HA103" s="53"/>
      <c r="HB103" s="53"/>
      <c r="HC103" s="53"/>
      <c r="HD103" s="53"/>
      <c r="HE103" s="53"/>
      <c r="HF103" s="53"/>
      <c r="HG103" s="53"/>
      <c r="HH103" s="53"/>
      <c r="HI103" s="53"/>
      <c r="HJ103" s="53"/>
    </row>
    <row r="104" spans="1:218" s="222" customFormat="1" ht="21.75" customHeight="1" x14ac:dyDescent="0.6">
      <c r="A104" s="220" t="s">
        <v>264</v>
      </c>
      <c r="B104" s="85">
        <v>1</v>
      </c>
      <c r="C104" s="85">
        <v>1</v>
      </c>
      <c r="D104" s="85">
        <v>2.1</v>
      </c>
      <c r="E104" s="85">
        <v>1.5</v>
      </c>
      <c r="F104" s="85">
        <v>2.5</v>
      </c>
      <c r="G104" s="85">
        <v>0.93</v>
      </c>
      <c r="H104" s="221"/>
      <c r="I104" s="62"/>
      <c r="J104" s="62" t="s">
        <v>259</v>
      </c>
      <c r="K104" s="62" t="s">
        <v>262</v>
      </c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85">
        <v>1</v>
      </c>
      <c r="AE104" s="85">
        <v>1</v>
      </c>
      <c r="AF104" s="85">
        <v>2.1</v>
      </c>
      <c r="AG104" s="85">
        <v>1.5</v>
      </c>
      <c r="AH104" s="85">
        <v>2.5</v>
      </c>
      <c r="AI104" s="85">
        <v>0.93</v>
      </c>
      <c r="AJ104" s="221"/>
      <c r="AK104" s="62"/>
      <c r="AL104" s="62" t="s">
        <v>259</v>
      </c>
      <c r="AM104" s="62" t="s">
        <v>262</v>
      </c>
      <c r="AN104" s="62"/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62"/>
      <c r="BD104" s="62"/>
      <c r="BE104" s="62"/>
      <c r="BF104" s="85">
        <v>1</v>
      </c>
      <c r="BG104" s="85">
        <v>1</v>
      </c>
      <c r="BH104" s="85">
        <v>2.1</v>
      </c>
      <c r="BI104" s="85">
        <v>1.5</v>
      </c>
      <c r="BJ104" s="85">
        <v>2.5</v>
      </c>
      <c r="BK104" s="85">
        <v>0.93</v>
      </c>
      <c r="BL104" s="221"/>
      <c r="BM104" s="62"/>
      <c r="BN104" s="62" t="s">
        <v>259</v>
      </c>
      <c r="BO104" s="62" t="s">
        <v>262</v>
      </c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85">
        <v>1</v>
      </c>
      <c r="CI104" s="85">
        <v>1</v>
      </c>
      <c r="CJ104" s="85">
        <v>2.1</v>
      </c>
      <c r="CK104" s="85">
        <v>1.5</v>
      </c>
      <c r="CL104" s="85">
        <v>2.5</v>
      </c>
      <c r="CM104" s="85">
        <v>0.93</v>
      </c>
      <c r="CN104" s="221"/>
      <c r="CO104" s="62"/>
      <c r="CP104" s="62" t="s">
        <v>259</v>
      </c>
      <c r="CQ104" s="62" t="s">
        <v>262</v>
      </c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  <c r="DM104" s="62"/>
      <c r="DN104" s="62"/>
      <c r="DO104" s="62"/>
      <c r="DP104" s="62"/>
      <c r="DQ104" s="62"/>
      <c r="DR104" s="62"/>
      <c r="DS104" s="62"/>
      <c r="DT104" s="62"/>
      <c r="DU104" s="62"/>
      <c r="DV104" s="62"/>
      <c r="DW104" s="62"/>
      <c r="DX104" s="62"/>
      <c r="DY104" s="62"/>
      <c r="DZ104" s="62"/>
      <c r="EA104" s="62"/>
      <c r="EB104" s="62"/>
      <c r="EC104" s="62"/>
      <c r="ED104" s="62"/>
      <c r="EE104" s="62"/>
      <c r="EF104" s="62"/>
      <c r="EG104" s="62"/>
      <c r="EH104" s="62"/>
      <c r="EI104" s="62"/>
      <c r="EJ104" s="62"/>
      <c r="EK104" s="62"/>
      <c r="EL104" s="62"/>
      <c r="EM104" s="62"/>
      <c r="EN104" s="62"/>
      <c r="EO104" s="62"/>
      <c r="EP104" s="62"/>
      <c r="EQ104" s="62"/>
      <c r="ER104" s="62"/>
      <c r="ES104" s="62"/>
      <c r="ET104" s="62"/>
      <c r="EU104" s="62"/>
      <c r="EV104" s="62"/>
      <c r="EW104" s="62"/>
      <c r="EX104" s="62"/>
      <c r="EY104" s="62"/>
      <c r="EZ104" s="62"/>
      <c r="FA104" s="62"/>
      <c r="FB104" s="62"/>
      <c r="FC104" s="62"/>
      <c r="FD104" s="62"/>
      <c r="FE104" s="62"/>
      <c r="FF104" s="62"/>
      <c r="FG104" s="62"/>
      <c r="FH104" s="62"/>
      <c r="FI104" s="62"/>
      <c r="FJ104" s="62"/>
      <c r="FK104" s="62"/>
      <c r="FL104" s="62"/>
      <c r="FM104" s="62"/>
      <c r="FN104" s="62"/>
      <c r="FO104" s="62"/>
      <c r="FP104" s="62"/>
      <c r="FQ104" s="62"/>
      <c r="FR104" s="62"/>
      <c r="FS104" s="62"/>
      <c r="FT104" s="62"/>
      <c r="FU104" s="62"/>
      <c r="FV104" s="62"/>
      <c r="FW104" s="62"/>
      <c r="FX104" s="62"/>
      <c r="FY104" s="62"/>
      <c r="FZ104" s="62"/>
      <c r="GA104" s="62"/>
      <c r="GB104" s="62"/>
      <c r="GC104" s="62"/>
      <c r="GD104" s="62"/>
      <c r="GE104" s="62"/>
      <c r="GF104" s="62"/>
      <c r="GG104" s="62"/>
      <c r="GH104" s="62"/>
      <c r="GI104" s="62"/>
      <c r="GJ104" s="62"/>
      <c r="GK104" s="62"/>
      <c r="GL104" s="62"/>
      <c r="GM104" s="62"/>
      <c r="GN104" s="62"/>
      <c r="GO104" s="62"/>
      <c r="GP104" s="62"/>
      <c r="GQ104" s="62"/>
      <c r="GR104" s="62"/>
      <c r="GS104" s="62"/>
      <c r="GT104" s="62"/>
      <c r="GU104" s="62"/>
      <c r="GV104" s="62"/>
      <c r="GW104" s="62"/>
      <c r="GX104" s="62"/>
      <c r="GY104" s="62"/>
      <c r="GZ104" s="62"/>
      <c r="HA104" s="62"/>
      <c r="HB104" s="62"/>
      <c r="HC104" s="62"/>
      <c r="HD104" s="62"/>
      <c r="HE104" s="62"/>
      <c r="HF104" s="62"/>
      <c r="HG104" s="62"/>
      <c r="HH104" s="62"/>
      <c r="HI104" s="62"/>
      <c r="HJ104" s="62"/>
    </row>
    <row r="105" spans="1:218" ht="21.75" customHeight="1" x14ac:dyDescent="0.6">
      <c r="A105" s="216" t="s">
        <v>245</v>
      </c>
      <c r="B105" s="217">
        <f>B97*1</f>
        <v>712</v>
      </c>
      <c r="C105" s="217">
        <f>C97*1</f>
        <v>155</v>
      </c>
      <c r="D105" s="217">
        <f>D97*2.1</f>
        <v>2.1</v>
      </c>
      <c r="E105" s="217">
        <f>E97*1.5</f>
        <v>0</v>
      </c>
      <c r="F105" s="217">
        <f>F97*2.5</f>
        <v>12.5</v>
      </c>
      <c r="G105" s="217">
        <f>G97*0.93</f>
        <v>2.79</v>
      </c>
      <c r="H105" s="218">
        <f>SUM(B105:G105)</f>
        <v>884.39</v>
      </c>
      <c r="I105" s="53"/>
      <c r="J105" s="53">
        <f>H105+H109</f>
        <v>2331.42</v>
      </c>
      <c r="K105" s="53">
        <f>J105/2</f>
        <v>1165.71</v>
      </c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219">
        <f>AD97*1</f>
        <v>2398</v>
      </c>
      <c r="AE105" s="219">
        <f t="shared" ref="AE105" si="557">AE97*1</f>
        <v>607</v>
      </c>
      <c r="AF105" s="219">
        <f>AF97*2.1</f>
        <v>10.5</v>
      </c>
      <c r="AG105" s="219">
        <f>AG97*1.5</f>
        <v>1.5</v>
      </c>
      <c r="AH105" s="219">
        <f>AH97*2.5</f>
        <v>110</v>
      </c>
      <c r="AI105" s="219">
        <f>AI97*0.93</f>
        <v>4.6500000000000004</v>
      </c>
      <c r="AJ105" s="218">
        <f>SUM(AD105:AI105)</f>
        <v>3131.65</v>
      </c>
      <c r="AK105" s="53"/>
      <c r="AL105" s="53">
        <f>AJ105+AJ109</f>
        <v>6107.93</v>
      </c>
      <c r="AM105" s="53">
        <f>AL105/2</f>
        <v>3053.9650000000001</v>
      </c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223">
        <f>BF97*1</f>
        <v>1010</v>
      </c>
      <c r="BG105" s="223">
        <f t="shared" ref="BG105" si="558">BG97*1</f>
        <v>208</v>
      </c>
      <c r="BH105" s="223">
        <f>BH97*2.1</f>
        <v>2.1</v>
      </c>
      <c r="BI105" s="223">
        <f>BI97*1.5</f>
        <v>0</v>
      </c>
      <c r="BJ105" s="223">
        <f>BJ97*2.5</f>
        <v>7.5</v>
      </c>
      <c r="BK105" s="223">
        <f>BK97*0.93</f>
        <v>0</v>
      </c>
      <c r="BL105" s="218">
        <f>SUM(BF105:BK105)</f>
        <v>1227.5999999999999</v>
      </c>
      <c r="BM105" s="53"/>
      <c r="BN105" s="53">
        <f>BL105+BL109</f>
        <v>1930.6</v>
      </c>
      <c r="BO105" s="53">
        <f>BN105/2</f>
        <v>965.3</v>
      </c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224">
        <f>CH97*1</f>
        <v>1600</v>
      </c>
      <c r="CI105" s="224">
        <f t="shared" ref="CI105" si="559">CI97*1</f>
        <v>202</v>
      </c>
      <c r="CJ105" s="224">
        <f>CJ97*2.1</f>
        <v>21</v>
      </c>
      <c r="CK105" s="224">
        <f>CK97*1.5</f>
        <v>1.5</v>
      </c>
      <c r="CL105" s="224">
        <f>CL97*2.5</f>
        <v>67.5</v>
      </c>
      <c r="CM105" s="224">
        <f>CM97*0.93</f>
        <v>0</v>
      </c>
      <c r="CN105" s="218">
        <f>SUM(CH105:CM105)</f>
        <v>1892</v>
      </c>
      <c r="CO105" s="53"/>
      <c r="CP105" s="53">
        <f>CN105+CN109</f>
        <v>3901.33</v>
      </c>
      <c r="CQ105" s="53">
        <f>CP105/2</f>
        <v>1950.665</v>
      </c>
      <c r="CR105" s="53"/>
      <c r="CS105" s="53"/>
      <c r="CT105" s="53"/>
      <c r="CU105" s="53"/>
      <c r="CV105" s="53"/>
      <c r="CW105" s="53"/>
      <c r="CX105" s="53"/>
      <c r="CY105" s="53"/>
      <c r="CZ105" s="53"/>
      <c r="DA105" s="53"/>
      <c r="DB105" s="53"/>
      <c r="DC105" s="53"/>
      <c r="DD105" s="53"/>
      <c r="DE105" s="53"/>
      <c r="DF105" s="53"/>
      <c r="DG105" s="53"/>
      <c r="DH105" s="53"/>
      <c r="DI105" s="53"/>
      <c r="DJ105" s="53"/>
      <c r="DK105" s="53"/>
      <c r="DL105" s="53"/>
      <c r="DM105" s="53"/>
      <c r="DN105" s="53"/>
      <c r="DO105" s="53"/>
      <c r="DP105" s="53"/>
      <c r="DQ105" s="53"/>
      <c r="DR105" s="53"/>
      <c r="DS105" s="53"/>
      <c r="DT105" s="53"/>
      <c r="DU105" s="53"/>
      <c r="DV105" s="53"/>
      <c r="DW105" s="53"/>
      <c r="DX105" s="53"/>
      <c r="DY105" s="53"/>
      <c r="DZ105" s="53"/>
      <c r="EA105" s="53"/>
      <c r="EB105" s="53"/>
      <c r="EC105" s="53"/>
      <c r="ED105" s="53"/>
      <c r="EE105" s="53"/>
      <c r="EF105" s="53"/>
      <c r="EG105" s="53"/>
      <c r="EH105" s="53"/>
      <c r="EI105" s="53"/>
      <c r="EJ105" s="53"/>
      <c r="EK105" s="53"/>
      <c r="EL105" s="53"/>
      <c r="EM105" s="53"/>
      <c r="EN105" s="53"/>
      <c r="EO105" s="53"/>
      <c r="EP105" s="53"/>
      <c r="EQ105" s="53"/>
      <c r="ER105" s="53"/>
      <c r="ES105" s="53"/>
      <c r="ET105" s="53"/>
      <c r="EU105" s="53"/>
      <c r="EV105" s="53"/>
      <c r="EW105" s="53"/>
      <c r="EX105" s="53"/>
      <c r="EY105" s="53"/>
      <c r="EZ105" s="53"/>
      <c r="FA105" s="53"/>
      <c r="FB105" s="53"/>
      <c r="FC105" s="53"/>
      <c r="FD105" s="53"/>
      <c r="FE105" s="53"/>
      <c r="FF105" s="53"/>
      <c r="FG105" s="53"/>
      <c r="FH105" s="53"/>
      <c r="FI105" s="53"/>
      <c r="FJ105" s="53"/>
      <c r="FK105" s="53"/>
      <c r="FL105" s="53"/>
      <c r="FM105" s="53"/>
      <c r="FN105" s="53"/>
      <c r="FO105" s="53"/>
      <c r="FP105" s="53"/>
      <c r="FQ105" s="53"/>
      <c r="FR105" s="53"/>
      <c r="FS105" s="53"/>
      <c r="FT105" s="53"/>
      <c r="FU105" s="53"/>
      <c r="FV105" s="53"/>
      <c r="FW105" s="53"/>
      <c r="FX105" s="53"/>
      <c r="FY105" s="53"/>
      <c r="FZ105" s="53"/>
      <c r="GA105" s="53"/>
      <c r="GB105" s="53"/>
      <c r="GC105" s="53"/>
      <c r="GD105" s="53"/>
      <c r="GE105" s="53"/>
      <c r="GF105" s="53"/>
      <c r="GG105" s="53"/>
      <c r="GH105" s="53"/>
      <c r="GI105" s="53"/>
      <c r="GJ105" s="53"/>
      <c r="GK105" s="53"/>
      <c r="GL105" s="53"/>
      <c r="GM105" s="53"/>
      <c r="GN105" s="53"/>
      <c r="GO105" s="53"/>
      <c r="GP105" s="53"/>
      <c r="GQ105" s="53"/>
      <c r="GR105" s="53"/>
      <c r="GS105" s="53"/>
      <c r="GT105" s="53"/>
      <c r="GU105" s="53"/>
      <c r="GV105" s="53"/>
      <c r="GW105" s="53"/>
      <c r="GX105" s="53"/>
      <c r="GY105" s="53"/>
      <c r="GZ105" s="53"/>
      <c r="HA105" s="53"/>
      <c r="HB105" s="53"/>
      <c r="HC105" s="53"/>
      <c r="HD105" s="53"/>
      <c r="HE105" s="53"/>
      <c r="HF105" s="53"/>
      <c r="HG105" s="53"/>
      <c r="HH105" s="53"/>
      <c r="HI105" s="53"/>
      <c r="HJ105" s="53"/>
    </row>
    <row r="106" spans="1:218" ht="21.75" customHeight="1" x14ac:dyDescent="0.6">
      <c r="A106" s="216" t="s">
        <v>246</v>
      </c>
      <c r="B106" s="217">
        <f t="shared" ref="B106:C107" si="560">B98*1</f>
        <v>3305</v>
      </c>
      <c r="C106" s="217">
        <f t="shared" si="560"/>
        <v>846</v>
      </c>
      <c r="D106" s="217">
        <f t="shared" ref="D106:D107" si="561">D98*2.1</f>
        <v>2.1</v>
      </c>
      <c r="E106" s="217">
        <f t="shared" ref="E106:E107" si="562">E98*1.5</f>
        <v>0</v>
      </c>
      <c r="F106" s="217">
        <f t="shared" ref="F106:F107" si="563">F98*2.5</f>
        <v>70</v>
      </c>
      <c r="G106" s="217">
        <f t="shared" ref="G106:G107" si="564">G98*0.93</f>
        <v>15.81</v>
      </c>
      <c r="H106" s="218">
        <f t="shared" ref="H106" si="565">SUM(B106:G106)</f>
        <v>4238.9100000000008</v>
      </c>
      <c r="I106" s="53"/>
      <c r="J106" s="53">
        <f t="shared" ref="J106:J107" si="566">H106+H110</f>
        <v>8952.4900000000016</v>
      </c>
      <c r="K106" s="53">
        <f>J106/8</f>
        <v>1119.0612500000002</v>
      </c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219">
        <f t="shared" ref="AD106:AE106" si="567">AD98*1</f>
        <v>8570</v>
      </c>
      <c r="AE106" s="219">
        <f t="shared" si="567"/>
        <v>2910</v>
      </c>
      <c r="AF106" s="219">
        <f t="shared" ref="AF106:AF107" si="568">AF98*2.1</f>
        <v>54.6</v>
      </c>
      <c r="AG106" s="219">
        <f t="shared" ref="AG106:AG107" si="569">AG98*1.5</f>
        <v>12</v>
      </c>
      <c r="AH106" s="219">
        <f t="shared" ref="AH106:AH107" si="570">AH98*2.5</f>
        <v>550</v>
      </c>
      <c r="AI106" s="219">
        <f t="shared" ref="AI106:AI107" si="571">AI98*0.93</f>
        <v>17.670000000000002</v>
      </c>
      <c r="AJ106" s="218">
        <f t="shared" ref="AJ106" si="572">SUM(AD106:AI106)</f>
        <v>12114.27</v>
      </c>
      <c r="AK106" s="53"/>
      <c r="AL106" s="53">
        <f t="shared" ref="AL106:AL107" si="573">AJ106+AJ110</f>
        <v>22280.42</v>
      </c>
      <c r="AM106" s="53">
        <f>AL106/8</f>
        <v>2785.0524999999998</v>
      </c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223">
        <f t="shared" ref="BF106:BG106" si="574">BF98*1</f>
        <v>3852</v>
      </c>
      <c r="BG106" s="223">
        <f t="shared" si="574"/>
        <v>860</v>
      </c>
      <c r="BH106" s="223">
        <f t="shared" ref="BH106:BH107" si="575">BH98*2.1</f>
        <v>0</v>
      </c>
      <c r="BI106" s="223">
        <f t="shared" ref="BI106:BI107" si="576">BI98*1.5</f>
        <v>0</v>
      </c>
      <c r="BJ106" s="223">
        <f t="shared" ref="BJ106:BJ107" si="577">BJ98*2.5</f>
        <v>70</v>
      </c>
      <c r="BK106" s="223">
        <f t="shared" ref="BK106:BK107" si="578">BK98*0.93</f>
        <v>0</v>
      </c>
      <c r="BL106" s="218">
        <f>SUM(BF106:BK106)</f>
        <v>4782</v>
      </c>
      <c r="BM106" s="53"/>
      <c r="BN106" s="53">
        <f t="shared" ref="BN106:BN107" si="579">BL106+BL110</f>
        <v>8886.7900000000009</v>
      </c>
      <c r="BO106" s="53">
        <f>BN106/8</f>
        <v>1110.8487500000001</v>
      </c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224">
        <f t="shared" ref="CH106:CI106" si="580">CH98*1</f>
        <v>4427</v>
      </c>
      <c r="CI106" s="224">
        <f t="shared" si="580"/>
        <v>1029</v>
      </c>
      <c r="CJ106" s="224">
        <f t="shared" ref="CJ106:CJ107" si="581">CJ98*2.1</f>
        <v>27.3</v>
      </c>
      <c r="CK106" s="224">
        <f t="shared" ref="CK106:CK107" si="582">CK98*1.5</f>
        <v>10.5</v>
      </c>
      <c r="CL106" s="224">
        <f t="shared" ref="CL106:CL107" si="583">CL98*2.5</f>
        <v>157.5</v>
      </c>
      <c r="CM106" s="224">
        <f t="shared" ref="CM106:CM107" si="584">CM98*0.93</f>
        <v>11.16</v>
      </c>
      <c r="CN106" s="218">
        <f>SUM(CH106:CM106)</f>
        <v>5662.46</v>
      </c>
      <c r="CO106" s="53"/>
      <c r="CP106" s="53">
        <f t="shared" ref="CP106:CP107" si="585">CN106+CN110</f>
        <v>13475.58</v>
      </c>
      <c r="CQ106" s="53">
        <f>CP106/8</f>
        <v>1684.4475</v>
      </c>
      <c r="CR106" s="53"/>
      <c r="CS106" s="53"/>
      <c r="CT106" s="53"/>
      <c r="CU106" s="53"/>
      <c r="CV106" s="53"/>
      <c r="CW106" s="53"/>
      <c r="CX106" s="53"/>
      <c r="CY106" s="53"/>
      <c r="CZ106" s="53"/>
      <c r="DA106" s="53"/>
      <c r="DB106" s="53"/>
      <c r="DC106" s="53"/>
      <c r="DD106" s="53"/>
      <c r="DE106" s="53"/>
      <c r="DF106" s="53"/>
      <c r="DG106" s="53"/>
      <c r="DH106" s="53"/>
      <c r="DI106" s="53"/>
      <c r="DJ106" s="53"/>
      <c r="DK106" s="53"/>
      <c r="DL106" s="53"/>
      <c r="DM106" s="53"/>
      <c r="DN106" s="53"/>
      <c r="DO106" s="53"/>
      <c r="DP106" s="53"/>
      <c r="DQ106" s="53"/>
      <c r="DR106" s="53"/>
      <c r="DS106" s="53"/>
      <c r="DT106" s="53"/>
      <c r="DU106" s="53"/>
      <c r="DV106" s="53"/>
      <c r="DW106" s="53"/>
      <c r="DX106" s="53"/>
      <c r="DY106" s="53"/>
      <c r="DZ106" s="53"/>
      <c r="EA106" s="53"/>
      <c r="EB106" s="53"/>
      <c r="EC106" s="53"/>
      <c r="ED106" s="53"/>
      <c r="EE106" s="53"/>
      <c r="EF106" s="53"/>
      <c r="EG106" s="53"/>
      <c r="EH106" s="53"/>
      <c r="EI106" s="53"/>
      <c r="EJ106" s="53"/>
      <c r="EK106" s="53"/>
      <c r="EL106" s="53"/>
      <c r="EM106" s="53"/>
      <c r="EN106" s="53"/>
      <c r="EO106" s="53"/>
      <c r="EP106" s="53"/>
      <c r="EQ106" s="53"/>
      <c r="ER106" s="53"/>
      <c r="ES106" s="53"/>
      <c r="ET106" s="53"/>
      <c r="EU106" s="53"/>
      <c r="EV106" s="53"/>
      <c r="EW106" s="53"/>
      <c r="EX106" s="53"/>
      <c r="EY106" s="53"/>
      <c r="EZ106" s="53"/>
      <c r="FA106" s="53"/>
      <c r="FB106" s="53"/>
      <c r="FC106" s="53"/>
      <c r="FD106" s="53"/>
      <c r="FE106" s="53"/>
      <c r="FF106" s="53"/>
      <c r="FG106" s="53"/>
      <c r="FH106" s="53"/>
      <c r="FI106" s="53"/>
      <c r="FJ106" s="53"/>
      <c r="FK106" s="53"/>
      <c r="FL106" s="53"/>
      <c r="FM106" s="53"/>
      <c r="FN106" s="53"/>
      <c r="FO106" s="53"/>
      <c r="FP106" s="53"/>
      <c r="FQ106" s="53"/>
      <c r="FR106" s="53"/>
      <c r="FS106" s="53"/>
      <c r="FT106" s="53"/>
      <c r="FU106" s="53"/>
      <c r="FV106" s="53"/>
      <c r="FW106" s="53"/>
      <c r="FX106" s="53"/>
      <c r="FY106" s="53"/>
      <c r="FZ106" s="53"/>
      <c r="GA106" s="53"/>
      <c r="GB106" s="53"/>
      <c r="GC106" s="53"/>
      <c r="GD106" s="53"/>
      <c r="GE106" s="53"/>
      <c r="GF106" s="53"/>
      <c r="GG106" s="53"/>
      <c r="GH106" s="53"/>
      <c r="GI106" s="53"/>
      <c r="GJ106" s="53"/>
      <c r="GK106" s="53"/>
      <c r="GL106" s="53"/>
      <c r="GM106" s="53"/>
      <c r="GN106" s="53"/>
      <c r="GO106" s="53"/>
      <c r="GP106" s="53"/>
      <c r="GQ106" s="53"/>
      <c r="GR106" s="53"/>
      <c r="GS106" s="53"/>
      <c r="GT106" s="53"/>
      <c r="GU106" s="53"/>
      <c r="GV106" s="53"/>
      <c r="GW106" s="53"/>
      <c r="GX106" s="53"/>
      <c r="GY106" s="53"/>
      <c r="GZ106" s="53"/>
      <c r="HA106" s="53"/>
      <c r="HB106" s="53"/>
      <c r="HC106" s="53"/>
      <c r="HD106" s="53"/>
      <c r="HE106" s="53"/>
      <c r="HF106" s="53"/>
      <c r="HG106" s="53"/>
      <c r="HH106" s="53"/>
      <c r="HI106" s="53"/>
      <c r="HJ106" s="53"/>
    </row>
    <row r="107" spans="1:218" ht="21.75" customHeight="1" x14ac:dyDescent="0.6">
      <c r="A107" s="216" t="s">
        <v>247</v>
      </c>
      <c r="B107" s="217">
        <f t="shared" si="560"/>
        <v>711</v>
      </c>
      <c r="C107" s="217">
        <f t="shared" si="560"/>
        <v>174</v>
      </c>
      <c r="D107" s="217">
        <f t="shared" si="561"/>
        <v>2.1</v>
      </c>
      <c r="E107" s="217">
        <f t="shared" si="562"/>
        <v>0</v>
      </c>
      <c r="F107" s="217">
        <f t="shared" si="563"/>
        <v>12.5</v>
      </c>
      <c r="G107" s="217">
        <f t="shared" si="564"/>
        <v>2.79</v>
      </c>
      <c r="H107" s="218">
        <f>SUM(B107:G107)</f>
        <v>902.39</v>
      </c>
      <c r="I107" s="53"/>
      <c r="J107" s="53">
        <f t="shared" si="566"/>
        <v>2449.6</v>
      </c>
      <c r="K107" s="53">
        <f>J107/2</f>
        <v>1224.8</v>
      </c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219">
        <f t="shared" ref="AD107:AE107" si="586">AD99*1</f>
        <v>2366</v>
      </c>
      <c r="AE107" s="219">
        <f t="shared" si="586"/>
        <v>649</v>
      </c>
      <c r="AF107" s="219">
        <f t="shared" si="568"/>
        <v>14.700000000000001</v>
      </c>
      <c r="AG107" s="219">
        <f t="shared" si="569"/>
        <v>3</v>
      </c>
      <c r="AH107" s="219">
        <f t="shared" si="570"/>
        <v>67.5</v>
      </c>
      <c r="AI107" s="219">
        <f t="shared" si="571"/>
        <v>8.370000000000001</v>
      </c>
      <c r="AJ107" s="218">
        <f>SUM(AD107:AI107)</f>
        <v>3108.5699999999997</v>
      </c>
      <c r="AK107" s="53"/>
      <c r="AL107" s="53">
        <f t="shared" si="573"/>
        <v>6308.41</v>
      </c>
      <c r="AM107" s="53">
        <f>AL107/2</f>
        <v>3154.2049999999999</v>
      </c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223">
        <f t="shared" ref="BF107:BG107" si="587">BF99*1</f>
        <v>948</v>
      </c>
      <c r="BG107" s="223">
        <f t="shared" si="587"/>
        <v>222</v>
      </c>
      <c r="BH107" s="223">
        <f t="shared" si="575"/>
        <v>4.2</v>
      </c>
      <c r="BI107" s="223">
        <f t="shared" si="576"/>
        <v>0</v>
      </c>
      <c r="BJ107" s="223">
        <f t="shared" si="577"/>
        <v>12.5</v>
      </c>
      <c r="BK107" s="223">
        <f t="shared" si="578"/>
        <v>0</v>
      </c>
      <c r="BL107" s="218">
        <f>SUM(BF107:BK107)</f>
        <v>1186.7</v>
      </c>
      <c r="BM107" s="53"/>
      <c r="BN107" s="53">
        <f t="shared" si="579"/>
        <v>2049.23</v>
      </c>
      <c r="BO107" s="53">
        <f>BN107/2</f>
        <v>1024.615</v>
      </c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  <c r="CG107" s="53"/>
      <c r="CH107" s="224">
        <f t="shared" ref="CH107:CI107" si="588">CH99*1</f>
        <v>1716</v>
      </c>
      <c r="CI107" s="224">
        <f t="shared" si="588"/>
        <v>447</v>
      </c>
      <c r="CJ107" s="224">
        <f t="shared" si="581"/>
        <v>4.2</v>
      </c>
      <c r="CK107" s="224">
        <f t="shared" si="582"/>
        <v>6</v>
      </c>
      <c r="CL107" s="224">
        <f t="shared" si="583"/>
        <v>17.5</v>
      </c>
      <c r="CM107" s="224">
        <f t="shared" si="584"/>
        <v>4.6500000000000004</v>
      </c>
      <c r="CN107" s="218">
        <f>SUM(CH107:CM107)</f>
        <v>2195.35</v>
      </c>
      <c r="CO107" s="53"/>
      <c r="CP107" s="53">
        <f t="shared" si="585"/>
        <v>3978.7799999999997</v>
      </c>
      <c r="CQ107" s="53">
        <f>CP107/2</f>
        <v>1989.3899999999999</v>
      </c>
      <c r="CR107" s="53"/>
      <c r="CS107" s="53"/>
      <c r="CT107" s="53"/>
      <c r="CU107" s="53"/>
      <c r="CV107" s="53"/>
      <c r="CW107" s="53"/>
      <c r="CX107" s="53"/>
      <c r="CY107" s="53"/>
      <c r="CZ107" s="53"/>
      <c r="DA107" s="53"/>
      <c r="DB107" s="53"/>
      <c r="DC107" s="53"/>
      <c r="DD107" s="53"/>
      <c r="DE107" s="53"/>
      <c r="DF107" s="53"/>
      <c r="DG107" s="53"/>
      <c r="DH107" s="53"/>
      <c r="DI107" s="53"/>
      <c r="DJ107" s="53"/>
      <c r="DK107" s="53"/>
      <c r="DL107" s="53"/>
      <c r="DM107" s="53"/>
      <c r="DN107" s="53"/>
      <c r="DO107" s="53"/>
      <c r="DP107" s="53"/>
      <c r="DQ107" s="53"/>
      <c r="DR107" s="53"/>
      <c r="DS107" s="53"/>
      <c r="DT107" s="53"/>
      <c r="DU107" s="53"/>
      <c r="DV107" s="53"/>
      <c r="DW107" s="53"/>
      <c r="DX107" s="53"/>
      <c r="DY107" s="53"/>
      <c r="DZ107" s="53"/>
      <c r="EA107" s="53"/>
      <c r="EB107" s="53"/>
      <c r="EC107" s="53"/>
      <c r="ED107" s="53"/>
      <c r="EE107" s="53"/>
      <c r="EF107" s="53"/>
      <c r="EG107" s="53"/>
      <c r="EH107" s="53"/>
      <c r="EI107" s="53"/>
      <c r="EJ107" s="53"/>
      <c r="EK107" s="53"/>
      <c r="EL107" s="53"/>
      <c r="EM107" s="53"/>
      <c r="EN107" s="53"/>
      <c r="EO107" s="53"/>
      <c r="EP107" s="53"/>
      <c r="EQ107" s="53"/>
      <c r="ER107" s="53"/>
      <c r="ES107" s="53"/>
      <c r="ET107" s="53"/>
      <c r="EU107" s="53"/>
      <c r="EV107" s="53"/>
      <c r="EW107" s="53"/>
      <c r="EX107" s="53"/>
      <c r="EY107" s="53"/>
      <c r="EZ107" s="53"/>
      <c r="FA107" s="53"/>
      <c r="FB107" s="53"/>
      <c r="FC107" s="53"/>
      <c r="FD107" s="53"/>
      <c r="FE107" s="53"/>
      <c r="FF107" s="53"/>
      <c r="FG107" s="53"/>
      <c r="FH107" s="53"/>
      <c r="FI107" s="53"/>
      <c r="FJ107" s="53"/>
      <c r="FK107" s="53"/>
      <c r="FL107" s="53"/>
      <c r="FM107" s="53"/>
      <c r="FN107" s="53"/>
      <c r="FO107" s="53"/>
      <c r="FP107" s="53"/>
      <c r="FQ107" s="53"/>
      <c r="FR107" s="53"/>
      <c r="FS107" s="53"/>
      <c r="FT107" s="53"/>
      <c r="FU107" s="53"/>
      <c r="FV107" s="53"/>
      <c r="FW107" s="53"/>
      <c r="FX107" s="53"/>
      <c r="FY107" s="53"/>
      <c r="FZ107" s="53"/>
      <c r="GA107" s="53"/>
      <c r="GB107" s="53"/>
      <c r="GC107" s="53"/>
      <c r="GD107" s="53"/>
      <c r="GE107" s="53"/>
      <c r="GF107" s="53"/>
      <c r="GG107" s="53"/>
      <c r="GH107" s="53"/>
      <c r="GI107" s="53"/>
      <c r="GJ107" s="53"/>
      <c r="GK107" s="53"/>
      <c r="GL107" s="53"/>
      <c r="GM107" s="53"/>
      <c r="GN107" s="53"/>
      <c r="GO107" s="53"/>
      <c r="GP107" s="53"/>
      <c r="GQ107" s="53"/>
      <c r="GR107" s="53"/>
      <c r="GS107" s="53"/>
      <c r="GT107" s="53"/>
      <c r="GU107" s="53"/>
      <c r="GV107" s="53"/>
      <c r="GW107" s="53"/>
      <c r="GX107" s="53"/>
      <c r="GY107" s="53"/>
      <c r="GZ107" s="53"/>
      <c r="HA107" s="53"/>
      <c r="HB107" s="53"/>
      <c r="HC107" s="53"/>
      <c r="HD107" s="53"/>
      <c r="HE107" s="53"/>
      <c r="HF107" s="53"/>
      <c r="HG107" s="53"/>
      <c r="HH107" s="53"/>
      <c r="HI107" s="53"/>
      <c r="HJ107" s="53"/>
    </row>
    <row r="108" spans="1:218" s="222" customFormat="1" ht="21.75" customHeight="1" x14ac:dyDescent="0.6">
      <c r="A108" s="220" t="s">
        <v>265</v>
      </c>
      <c r="B108" s="85">
        <v>1</v>
      </c>
      <c r="C108" s="85">
        <v>1</v>
      </c>
      <c r="D108" s="85">
        <v>2.1</v>
      </c>
      <c r="E108" s="85">
        <v>1.5</v>
      </c>
      <c r="F108" s="85">
        <v>2.5</v>
      </c>
      <c r="G108" s="85">
        <v>0.93</v>
      </c>
      <c r="H108" s="221"/>
      <c r="I108" s="62"/>
      <c r="J108" s="267">
        <f>SUM(J105:J107)</f>
        <v>13733.510000000002</v>
      </c>
      <c r="K108" s="267">
        <f>J108/12</f>
        <v>1144.4591666666668</v>
      </c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85">
        <v>1</v>
      </c>
      <c r="AE108" s="85">
        <v>1</v>
      </c>
      <c r="AF108" s="85">
        <v>2.1</v>
      </c>
      <c r="AG108" s="85">
        <v>1.5</v>
      </c>
      <c r="AH108" s="85">
        <v>2.5</v>
      </c>
      <c r="AI108" s="85">
        <v>0.93</v>
      </c>
      <c r="AJ108" s="221"/>
      <c r="AK108" s="62"/>
      <c r="AL108" s="267">
        <f>SUM(AL105:AL107)</f>
        <v>34696.759999999995</v>
      </c>
      <c r="AM108" s="267">
        <f>AL108/12</f>
        <v>2891.3966666666661</v>
      </c>
      <c r="AN108" s="62"/>
      <c r="AO108" s="62"/>
      <c r="AP108" s="62"/>
      <c r="AQ108" s="62"/>
      <c r="AR108" s="62"/>
      <c r="AS108" s="62"/>
      <c r="AT108" s="62"/>
      <c r="AU108" s="62"/>
      <c r="AV108" s="62"/>
      <c r="AW108" s="62"/>
      <c r="AX108" s="62"/>
      <c r="AY108" s="62"/>
      <c r="AZ108" s="62"/>
      <c r="BA108" s="62"/>
      <c r="BB108" s="62"/>
      <c r="BC108" s="62"/>
      <c r="BD108" s="62"/>
      <c r="BE108" s="62"/>
      <c r="BF108" s="85">
        <v>1</v>
      </c>
      <c r="BG108" s="85">
        <v>1</v>
      </c>
      <c r="BH108" s="85">
        <v>2.1</v>
      </c>
      <c r="BI108" s="85">
        <v>1.5</v>
      </c>
      <c r="BJ108" s="85">
        <v>2.5</v>
      </c>
      <c r="BK108" s="85">
        <v>0.93</v>
      </c>
      <c r="BL108" s="221"/>
      <c r="BM108" s="62"/>
      <c r="BN108" s="267">
        <f>SUM(BN105:BN107)</f>
        <v>12866.62</v>
      </c>
      <c r="BO108" s="267">
        <f>BN108/12</f>
        <v>1072.2183333333335</v>
      </c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85">
        <v>1</v>
      </c>
      <c r="CI108" s="85">
        <v>1</v>
      </c>
      <c r="CJ108" s="85">
        <v>2.1</v>
      </c>
      <c r="CK108" s="85">
        <v>1.5</v>
      </c>
      <c r="CL108" s="85">
        <v>2.5</v>
      </c>
      <c r="CM108" s="85">
        <v>0.93</v>
      </c>
      <c r="CN108" s="221"/>
      <c r="CO108" s="62"/>
      <c r="CP108" s="267">
        <f>SUM(CP105:CP107)</f>
        <v>21355.69</v>
      </c>
      <c r="CQ108" s="267">
        <f>CP108/12</f>
        <v>1779.6408333333331</v>
      </c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  <c r="DM108" s="62"/>
      <c r="DN108" s="62"/>
      <c r="DO108" s="62"/>
      <c r="DP108" s="62"/>
      <c r="DQ108" s="62"/>
      <c r="DR108" s="62"/>
      <c r="DS108" s="62"/>
      <c r="DT108" s="62"/>
      <c r="DU108" s="62"/>
      <c r="DV108" s="62"/>
      <c r="DW108" s="62"/>
      <c r="DX108" s="62"/>
      <c r="DY108" s="62"/>
      <c r="DZ108" s="62"/>
      <c r="EA108" s="62"/>
      <c r="EB108" s="62"/>
      <c r="EC108" s="62"/>
      <c r="ED108" s="62"/>
      <c r="EE108" s="62"/>
      <c r="EF108" s="62"/>
      <c r="EG108" s="62"/>
      <c r="EH108" s="62"/>
      <c r="EI108" s="62"/>
      <c r="EJ108" s="62"/>
      <c r="EK108" s="62"/>
      <c r="EL108" s="62"/>
      <c r="EM108" s="62"/>
      <c r="EN108" s="62"/>
      <c r="EO108" s="62"/>
      <c r="EP108" s="62"/>
      <c r="EQ108" s="62"/>
      <c r="ER108" s="62"/>
      <c r="ES108" s="62"/>
      <c r="ET108" s="62"/>
      <c r="EU108" s="62"/>
      <c r="EV108" s="62"/>
      <c r="EW108" s="62"/>
      <c r="EX108" s="62"/>
      <c r="EY108" s="62"/>
      <c r="EZ108" s="62"/>
      <c r="FA108" s="62"/>
      <c r="FB108" s="62"/>
      <c r="FC108" s="62"/>
      <c r="FD108" s="62"/>
      <c r="FE108" s="62"/>
      <c r="FF108" s="62"/>
      <c r="FG108" s="62"/>
      <c r="FH108" s="62"/>
      <c r="FI108" s="62"/>
      <c r="FJ108" s="62"/>
      <c r="FK108" s="62"/>
      <c r="FL108" s="62"/>
      <c r="FM108" s="62"/>
      <c r="FN108" s="62"/>
      <c r="FO108" s="62"/>
      <c r="FP108" s="62"/>
      <c r="FQ108" s="62"/>
      <c r="FR108" s="62"/>
      <c r="FS108" s="62"/>
      <c r="FT108" s="62"/>
      <c r="FU108" s="62"/>
      <c r="FV108" s="62"/>
      <c r="FW108" s="62"/>
      <c r="FX108" s="62"/>
      <c r="FY108" s="62"/>
      <c r="FZ108" s="62"/>
      <c r="GA108" s="62"/>
      <c r="GB108" s="62"/>
      <c r="GC108" s="62"/>
      <c r="GD108" s="62"/>
      <c r="GE108" s="62"/>
      <c r="GF108" s="62"/>
      <c r="GG108" s="62"/>
      <c r="GH108" s="62"/>
      <c r="GI108" s="62"/>
      <c r="GJ108" s="62"/>
      <c r="GK108" s="62"/>
      <c r="GL108" s="62"/>
      <c r="GM108" s="62"/>
      <c r="GN108" s="62"/>
      <c r="GO108" s="62"/>
      <c r="GP108" s="62"/>
      <c r="GQ108" s="62"/>
      <c r="GR108" s="62"/>
      <c r="GS108" s="62"/>
      <c r="GT108" s="62"/>
      <c r="GU108" s="62"/>
      <c r="GV108" s="62"/>
      <c r="GW108" s="62"/>
      <c r="GX108" s="62"/>
      <c r="GY108" s="62"/>
      <c r="GZ108" s="62"/>
      <c r="HA108" s="62"/>
      <c r="HB108" s="62"/>
      <c r="HC108" s="62"/>
      <c r="HD108" s="62"/>
      <c r="HE108" s="62"/>
      <c r="HF108" s="62"/>
      <c r="HG108" s="62"/>
      <c r="HH108" s="62"/>
      <c r="HI108" s="62"/>
      <c r="HJ108" s="62"/>
    </row>
    <row r="109" spans="1:218" ht="21.75" customHeight="1" x14ac:dyDescent="0.6">
      <c r="A109" s="216" t="s">
        <v>245</v>
      </c>
      <c r="B109" s="217">
        <f>B101*1</f>
        <v>1230</v>
      </c>
      <c r="C109" s="217">
        <f>C101*1</f>
        <v>189</v>
      </c>
      <c r="D109" s="217">
        <f>D101*2.1</f>
        <v>2.1</v>
      </c>
      <c r="E109" s="217">
        <f>E101*1.5</f>
        <v>0</v>
      </c>
      <c r="F109" s="217">
        <f>F101*2.5</f>
        <v>25</v>
      </c>
      <c r="G109" s="217">
        <f>G101*0.93</f>
        <v>0.93</v>
      </c>
      <c r="H109" s="218">
        <f>SUM(B109:G109)</f>
        <v>1447.03</v>
      </c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219">
        <f>AD101*1</f>
        <v>2438</v>
      </c>
      <c r="AE109" s="219">
        <f t="shared" ref="AE109" si="589">AE101*1</f>
        <v>416</v>
      </c>
      <c r="AF109" s="219">
        <f>AF101*2.1</f>
        <v>25.200000000000003</v>
      </c>
      <c r="AG109" s="219">
        <f>AG101*1.5</f>
        <v>1.5</v>
      </c>
      <c r="AH109" s="219">
        <f>AH101*2.5</f>
        <v>90</v>
      </c>
      <c r="AI109" s="219">
        <f>AI101*0.93</f>
        <v>5.58</v>
      </c>
      <c r="AJ109" s="218">
        <f>SUM(AD109:AI109)</f>
        <v>2976.2799999999997</v>
      </c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223">
        <f>BF101*1</f>
        <v>528</v>
      </c>
      <c r="BG109" s="223">
        <f t="shared" ref="BG109" si="590">BG101*1</f>
        <v>170</v>
      </c>
      <c r="BH109" s="223">
        <f>BH101*2.1</f>
        <v>0</v>
      </c>
      <c r="BI109" s="223">
        <f>BI101*1.5</f>
        <v>0</v>
      </c>
      <c r="BJ109" s="223">
        <f>BJ101*2.5</f>
        <v>5</v>
      </c>
      <c r="BK109" s="223">
        <f>BK101*0.93</f>
        <v>0</v>
      </c>
      <c r="BL109" s="218">
        <f>SUM(BF109:BK109)</f>
        <v>703</v>
      </c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224">
        <f>CH101*1</f>
        <v>1524</v>
      </c>
      <c r="CI109" s="224">
        <f t="shared" ref="CI109" si="591">CI101*1</f>
        <v>397</v>
      </c>
      <c r="CJ109" s="224">
        <f>CJ101*2.1</f>
        <v>8.4</v>
      </c>
      <c r="CK109" s="224">
        <f>CK101*1.5</f>
        <v>1.5</v>
      </c>
      <c r="CL109" s="224">
        <f>CL101*2.5</f>
        <v>77.5</v>
      </c>
      <c r="CM109" s="224">
        <f>CM101*0.93</f>
        <v>0.93</v>
      </c>
      <c r="CN109" s="218">
        <f>SUM(CH109:CM109)</f>
        <v>2009.3300000000002</v>
      </c>
      <c r="CO109" s="53"/>
      <c r="CP109" s="53"/>
      <c r="CQ109" s="53"/>
      <c r="CR109" s="53"/>
      <c r="CS109" s="53"/>
      <c r="CT109" s="53"/>
      <c r="CU109" s="53"/>
      <c r="CV109" s="53"/>
      <c r="CW109" s="53"/>
      <c r="CX109" s="53"/>
      <c r="CY109" s="53"/>
      <c r="CZ109" s="53"/>
      <c r="DA109" s="53"/>
      <c r="DB109" s="53"/>
      <c r="DC109" s="53"/>
      <c r="DD109" s="53"/>
      <c r="DE109" s="53"/>
      <c r="DF109" s="53"/>
      <c r="DG109" s="53"/>
      <c r="DH109" s="53"/>
      <c r="DI109" s="53"/>
      <c r="DJ109" s="53"/>
      <c r="DK109" s="53"/>
      <c r="DL109" s="53"/>
      <c r="DM109" s="53"/>
      <c r="DN109" s="53"/>
      <c r="DO109" s="53"/>
      <c r="DP109" s="53"/>
      <c r="DQ109" s="53"/>
      <c r="DR109" s="53"/>
      <c r="DS109" s="53"/>
      <c r="DT109" s="53"/>
      <c r="DU109" s="53"/>
      <c r="DV109" s="53"/>
      <c r="DW109" s="53"/>
      <c r="DX109" s="53"/>
      <c r="DY109" s="53"/>
      <c r="DZ109" s="53"/>
      <c r="EA109" s="53"/>
      <c r="EB109" s="53"/>
      <c r="EC109" s="53"/>
      <c r="ED109" s="53"/>
      <c r="EE109" s="53"/>
      <c r="EF109" s="53"/>
      <c r="EG109" s="53"/>
      <c r="EH109" s="53"/>
      <c r="EI109" s="53"/>
      <c r="EJ109" s="53"/>
      <c r="EK109" s="53"/>
      <c r="EL109" s="53"/>
      <c r="EM109" s="53"/>
      <c r="EN109" s="53"/>
      <c r="EO109" s="53"/>
      <c r="EP109" s="53"/>
      <c r="EQ109" s="53"/>
      <c r="ER109" s="53"/>
      <c r="ES109" s="53"/>
      <c r="ET109" s="53"/>
      <c r="EU109" s="53"/>
      <c r="EV109" s="53"/>
      <c r="EW109" s="53"/>
      <c r="EX109" s="53"/>
      <c r="EY109" s="53"/>
      <c r="EZ109" s="53"/>
      <c r="FA109" s="53"/>
      <c r="FB109" s="53"/>
      <c r="FC109" s="53"/>
      <c r="FD109" s="53"/>
      <c r="FE109" s="53"/>
      <c r="FF109" s="53"/>
      <c r="FG109" s="53"/>
      <c r="FH109" s="53"/>
      <c r="FI109" s="53"/>
      <c r="FJ109" s="53"/>
      <c r="FK109" s="53"/>
      <c r="FL109" s="53"/>
      <c r="FM109" s="53"/>
      <c r="FN109" s="53"/>
      <c r="FO109" s="53"/>
      <c r="FP109" s="53"/>
      <c r="FQ109" s="53"/>
      <c r="FR109" s="53"/>
      <c r="FS109" s="53"/>
      <c r="FT109" s="53"/>
      <c r="FU109" s="53"/>
      <c r="FV109" s="53"/>
      <c r="FW109" s="53"/>
      <c r="FX109" s="53"/>
      <c r="FY109" s="53"/>
      <c r="FZ109" s="53"/>
      <c r="GA109" s="53"/>
      <c r="GB109" s="53"/>
      <c r="GC109" s="53"/>
      <c r="GD109" s="53"/>
      <c r="GE109" s="53"/>
      <c r="GF109" s="53"/>
      <c r="GG109" s="53"/>
      <c r="GH109" s="53"/>
      <c r="GI109" s="53"/>
      <c r="GJ109" s="53"/>
      <c r="GK109" s="53"/>
      <c r="GL109" s="53"/>
      <c r="GM109" s="53"/>
      <c r="GN109" s="53"/>
      <c r="GO109" s="53"/>
      <c r="GP109" s="53"/>
      <c r="GQ109" s="53"/>
      <c r="GR109" s="53"/>
      <c r="GS109" s="53"/>
      <c r="GT109" s="53"/>
      <c r="GU109" s="53"/>
      <c r="GV109" s="53"/>
      <c r="GW109" s="53"/>
      <c r="GX109" s="53"/>
      <c r="GY109" s="53"/>
      <c r="GZ109" s="53"/>
      <c r="HA109" s="53"/>
      <c r="HB109" s="53"/>
      <c r="HC109" s="53"/>
      <c r="HD109" s="53"/>
      <c r="HE109" s="53"/>
      <c r="HF109" s="53"/>
      <c r="HG109" s="53"/>
      <c r="HH109" s="53"/>
      <c r="HI109" s="53"/>
      <c r="HJ109" s="53"/>
    </row>
    <row r="110" spans="1:218" ht="21.75" customHeight="1" x14ac:dyDescent="0.6">
      <c r="A110" s="216" t="s">
        <v>246</v>
      </c>
      <c r="B110" s="217">
        <f t="shared" ref="B110:C110" si="592">B102*1</f>
        <v>3676</v>
      </c>
      <c r="C110" s="217">
        <f t="shared" si="592"/>
        <v>917</v>
      </c>
      <c r="D110" s="217">
        <f t="shared" ref="D110:D111" si="593">D102*2.1</f>
        <v>0</v>
      </c>
      <c r="E110" s="217">
        <f t="shared" ref="E110:E111" si="594">E102*1.5</f>
        <v>0</v>
      </c>
      <c r="F110" s="217">
        <f t="shared" ref="F110:F111" si="595">F102*2.5</f>
        <v>115</v>
      </c>
      <c r="G110" s="217">
        <f t="shared" ref="G110:G111" si="596">G102*0.93</f>
        <v>5.58</v>
      </c>
      <c r="H110" s="218">
        <f t="shared" ref="H110" si="597">SUM(B110:G110)</f>
        <v>4713.58</v>
      </c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219">
        <f t="shared" ref="AD110:AE110" si="598">AD102*1</f>
        <v>7826</v>
      </c>
      <c r="AE110" s="219">
        <f t="shared" si="598"/>
        <v>2008</v>
      </c>
      <c r="AF110" s="219">
        <f t="shared" ref="AF110:AF111" si="599">AF102*2.1</f>
        <v>44.1</v>
      </c>
      <c r="AG110" s="219">
        <f t="shared" ref="AG110:AG111" si="600">AG102*1.5</f>
        <v>10.5</v>
      </c>
      <c r="AH110" s="219">
        <f t="shared" ref="AH110:AH111" si="601">AH102*2.5</f>
        <v>245</v>
      </c>
      <c r="AI110" s="219">
        <f t="shared" ref="AI110:AI111" si="602">AI102*0.93</f>
        <v>32.550000000000004</v>
      </c>
      <c r="AJ110" s="218">
        <f t="shared" ref="AJ110" si="603">SUM(AD110:AI110)</f>
        <v>10166.15</v>
      </c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223">
        <f t="shared" ref="BF110:BG110" si="604">BF102*1</f>
        <v>3150</v>
      </c>
      <c r="BG110" s="223">
        <f t="shared" si="604"/>
        <v>924</v>
      </c>
      <c r="BH110" s="223">
        <f t="shared" ref="BH110:BH111" si="605">BH102*2.1</f>
        <v>10.5</v>
      </c>
      <c r="BI110" s="223">
        <f t="shared" ref="BI110:BI111" si="606">BI102*1.5</f>
        <v>0</v>
      </c>
      <c r="BJ110" s="223">
        <f t="shared" ref="BJ110:BJ111" si="607">BJ102*2.5</f>
        <v>17.5</v>
      </c>
      <c r="BK110" s="223">
        <f t="shared" ref="BK110:BK111" si="608">BK102*0.93</f>
        <v>2.79</v>
      </c>
      <c r="BL110" s="218">
        <f>SUM(BF110:BK110)</f>
        <v>4104.79</v>
      </c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224">
        <f t="shared" ref="CH110:CI110" si="609">CH102*1</f>
        <v>5502</v>
      </c>
      <c r="CI110" s="224">
        <f t="shared" si="609"/>
        <v>1796</v>
      </c>
      <c r="CJ110" s="224">
        <f t="shared" ref="CJ110:CJ111" si="610">CJ102*2.1</f>
        <v>29.400000000000002</v>
      </c>
      <c r="CK110" s="224">
        <f t="shared" ref="CK110:CK111" si="611">CK102*1.5</f>
        <v>12</v>
      </c>
      <c r="CL110" s="224">
        <f t="shared" ref="CL110:CL111" si="612">CL102*2.5</f>
        <v>470</v>
      </c>
      <c r="CM110" s="224">
        <f t="shared" ref="CM110:CM111" si="613">CM102*0.93</f>
        <v>3.72</v>
      </c>
      <c r="CN110" s="218">
        <f>SUM(CH110:CM110)</f>
        <v>7813.12</v>
      </c>
      <c r="CO110" s="53"/>
      <c r="CP110" s="53"/>
      <c r="CQ110" s="53"/>
      <c r="CR110" s="53"/>
      <c r="CS110" s="53"/>
      <c r="CT110" s="53"/>
      <c r="CU110" s="53"/>
      <c r="CV110" s="53"/>
      <c r="CW110" s="53"/>
      <c r="CX110" s="53"/>
      <c r="CY110" s="53"/>
      <c r="CZ110" s="53"/>
      <c r="DA110" s="53"/>
      <c r="DB110" s="53"/>
      <c r="DC110" s="53"/>
      <c r="DD110" s="53"/>
      <c r="DE110" s="53"/>
      <c r="DF110" s="53"/>
      <c r="DG110" s="53"/>
      <c r="DH110" s="53"/>
      <c r="DI110" s="53"/>
      <c r="DJ110" s="53"/>
      <c r="DK110" s="53"/>
      <c r="DL110" s="53"/>
      <c r="DM110" s="53"/>
      <c r="DN110" s="53"/>
      <c r="DO110" s="53"/>
      <c r="DP110" s="53"/>
      <c r="DQ110" s="53"/>
      <c r="DR110" s="53"/>
      <c r="DS110" s="53"/>
      <c r="DT110" s="53"/>
      <c r="DU110" s="53"/>
      <c r="DV110" s="53"/>
      <c r="DW110" s="53"/>
      <c r="DX110" s="53"/>
      <c r="DY110" s="53"/>
      <c r="DZ110" s="53"/>
      <c r="EA110" s="53"/>
      <c r="EB110" s="53"/>
      <c r="EC110" s="53"/>
      <c r="ED110" s="53"/>
      <c r="EE110" s="53"/>
      <c r="EF110" s="53"/>
      <c r="EG110" s="53"/>
      <c r="EH110" s="53"/>
      <c r="EI110" s="53"/>
      <c r="EJ110" s="53"/>
      <c r="EK110" s="53"/>
      <c r="EL110" s="53"/>
      <c r="EM110" s="53"/>
      <c r="EN110" s="53"/>
      <c r="EO110" s="53"/>
      <c r="EP110" s="53"/>
      <c r="EQ110" s="53"/>
      <c r="ER110" s="53"/>
      <c r="ES110" s="53"/>
      <c r="ET110" s="53"/>
      <c r="EU110" s="53"/>
      <c r="EV110" s="53"/>
      <c r="EW110" s="53"/>
      <c r="EX110" s="53"/>
      <c r="EY110" s="53"/>
      <c r="EZ110" s="53"/>
      <c r="FA110" s="53"/>
      <c r="FB110" s="53"/>
      <c r="FC110" s="53"/>
      <c r="FD110" s="53"/>
      <c r="FE110" s="53"/>
      <c r="FF110" s="53"/>
      <c r="FG110" s="53"/>
      <c r="FH110" s="53"/>
      <c r="FI110" s="53"/>
      <c r="FJ110" s="53"/>
      <c r="FK110" s="53"/>
      <c r="FL110" s="53"/>
      <c r="FM110" s="53"/>
      <c r="FN110" s="53"/>
      <c r="FO110" s="53"/>
      <c r="FP110" s="53"/>
      <c r="FQ110" s="53"/>
      <c r="FR110" s="53"/>
      <c r="FS110" s="53"/>
      <c r="FT110" s="53"/>
      <c r="FU110" s="53"/>
      <c r="FV110" s="53"/>
      <c r="FW110" s="53"/>
      <c r="FX110" s="53"/>
      <c r="FY110" s="53"/>
      <c r="FZ110" s="53"/>
      <c r="GA110" s="53"/>
      <c r="GB110" s="53"/>
      <c r="GC110" s="53"/>
      <c r="GD110" s="53"/>
      <c r="GE110" s="53"/>
      <c r="GF110" s="53"/>
      <c r="GG110" s="53"/>
      <c r="GH110" s="53"/>
      <c r="GI110" s="53"/>
      <c r="GJ110" s="53"/>
      <c r="GK110" s="53"/>
      <c r="GL110" s="53"/>
      <c r="GM110" s="53"/>
      <c r="GN110" s="53"/>
      <c r="GO110" s="53"/>
      <c r="GP110" s="53"/>
      <c r="GQ110" s="53"/>
      <c r="GR110" s="53"/>
      <c r="GS110" s="53"/>
      <c r="GT110" s="53"/>
      <c r="GU110" s="53"/>
      <c r="GV110" s="53"/>
      <c r="GW110" s="53"/>
      <c r="GX110" s="53"/>
      <c r="GY110" s="53"/>
      <c r="GZ110" s="53"/>
      <c r="HA110" s="53"/>
      <c r="HB110" s="53"/>
      <c r="HC110" s="53"/>
      <c r="HD110" s="53"/>
      <c r="HE110" s="53"/>
      <c r="HF110" s="53"/>
      <c r="HG110" s="53"/>
      <c r="HH110" s="53"/>
      <c r="HI110" s="53"/>
      <c r="HJ110" s="53"/>
    </row>
    <row r="111" spans="1:218" ht="21.75" customHeight="1" x14ac:dyDescent="0.6">
      <c r="A111" s="216" t="s">
        <v>247</v>
      </c>
      <c r="B111" s="217">
        <f t="shared" ref="B111:C111" si="614">B103*1</f>
        <v>1271</v>
      </c>
      <c r="C111" s="217">
        <f t="shared" si="614"/>
        <v>243</v>
      </c>
      <c r="D111" s="217">
        <f t="shared" si="593"/>
        <v>4.2</v>
      </c>
      <c r="E111" s="217">
        <f t="shared" si="594"/>
        <v>0</v>
      </c>
      <c r="F111" s="217">
        <f t="shared" si="595"/>
        <v>22.5</v>
      </c>
      <c r="G111" s="217">
        <f t="shared" si="596"/>
        <v>6.5100000000000007</v>
      </c>
      <c r="H111" s="218">
        <f>SUM(B111:G111)</f>
        <v>1547.21</v>
      </c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219">
        <f t="shared" ref="AD111:AE111" si="615">AD103*1</f>
        <v>2456</v>
      </c>
      <c r="AE111" s="219">
        <f t="shared" si="615"/>
        <v>672</v>
      </c>
      <c r="AF111" s="219">
        <f t="shared" si="599"/>
        <v>8.4</v>
      </c>
      <c r="AG111" s="219">
        <f t="shared" si="600"/>
        <v>6</v>
      </c>
      <c r="AH111" s="219">
        <f t="shared" si="601"/>
        <v>50</v>
      </c>
      <c r="AI111" s="219">
        <f t="shared" si="602"/>
        <v>7.44</v>
      </c>
      <c r="AJ111" s="218">
        <f>SUM(AD111:AI111)</f>
        <v>3199.84</v>
      </c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223">
        <f t="shared" ref="BF111:BG111" si="616">BF103*1</f>
        <v>628</v>
      </c>
      <c r="BG111" s="223">
        <f t="shared" si="616"/>
        <v>229</v>
      </c>
      <c r="BH111" s="223">
        <f t="shared" si="605"/>
        <v>2.1</v>
      </c>
      <c r="BI111" s="223">
        <f t="shared" si="606"/>
        <v>0</v>
      </c>
      <c r="BJ111" s="223">
        <f t="shared" si="607"/>
        <v>2.5</v>
      </c>
      <c r="BK111" s="223">
        <f t="shared" si="608"/>
        <v>0.93</v>
      </c>
      <c r="BL111" s="218">
        <f>SUM(BF111:BK111)</f>
        <v>862.53</v>
      </c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224">
        <f t="shared" ref="CH111:CI111" si="617">CH103*1</f>
        <v>1386</v>
      </c>
      <c r="CI111" s="224">
        <f t="shared" si="617"/>
        <v>348</v>
      </c>
      <c r="CJ111" s="224">
        <f t="shared" si="610"/>
        <v>10.5</v>
      </c>
      <c r="CK111" s="224">
        <f t="shared" si="611"/>
        <v>3</v>
      </c>
      <c r="CL111" s="224">
        <f t="shared" si="612"/>
        <v>35</v>
      </c>
      <c r="CM111" s="224">
        <f t="shared" si="613"/>
        <v>0.93</v>
      </c>
      <c r="CN111" s="218">
        <f>SUM(CH111:CM111)</f>
        <v>1783.43</v>
      </c>
      <c r="CO111" s="53"/>
      <c r="CP111" s="53"/>
      <c r="CQ111" s="53"/>
      <c r="CR111" s="53"/>
      <c r="CS111" s="53"/>
      <c r="CT111" s="53"/>
      <c r="CU111" s="53"/>
      <c r="CV111" s="53"/>
      <c r="CW111" s="53"/>
      <c r="CX111" s="53"/>
      <c r="CY111" s="53"/>
      <c r="CZ111" s="53"/>
      <c r="DA111" s="53"/>
      <c r="DB111" s="53"/>
      <c r="DC111" s="53"/>
      <c r="DD111" s="53"/>
      <c r="DE111" s="53"/>
      <c r="DF111" s="53"/>
      <c r="DG111" s="53"/>
      <c r="DH111" s="53"/>
      <c r="DI111" s="53"/>
      <c r="DJ111" s="53"/>
      <c r="DK111" s="53"/>
      <c r="DL111" s="53"/>
      <c r="DM111" s="53"/>
      <c r="DN111" s="53"/>
      <c r="DO111" s="53"/>
      <c r="DP111" s="53"/>
      <c r="DQ111" s="53"/>
      <c r="DR111" s="53"/>
      <c r="DS111" s="53"/>
      <c r="DT111" s="53"/>
      <c r="DU111" s="53"/>
      <c r="DV111" s="53"/>
      <c r="DW111" s="53"/>
      <c r="DX111" s="53"/>
      <c r="DY111" s="53"/>
      <c r="DZ111" s="53"/>
      <c r="EA111" s="53"/>
      <c r="EB111" s="53"/>
      <c r="EC111" s="53"/>
      <c r="ED111" s="53"/>
      <c r="EE111" s="53"/>
      <c r="EF111" s="53"/>
      <c r="EG111" s="53"/>
      <c r="EH111" s="53"/>
      <c r="EI111" s="53"/>
      <c r="EJ111" s="53"/>
      <c r="EK111" s="53"/>
      <c r="EL111" s="53"/>
      <c r="EM111" s="53"/>
      <c r="EN111" s="53"/>
      <c r="EO111" s="53"/>
      <c r="EP111" s="53"/>
      <c r="EQ111" s="53"/>
      <c r="ER111" s="53"/>
      <c r="ES111" s="53"/>
      <c r="ET111" s="53"/>
      <c r="EU111" s="53"/>
      <c r="EV111" s="53"/>
      <c r="EW111" s="53"/>
      <c r="EX111" s="53"/>
      <c r="EY111" s="53"/>
      <c r="EZ111" s="53"/>
      <c r="FA111" s="53"/>
      <c r="FB111" s="53"/>
      <c r="FC111" s="53"/>
      <c r="FD111" s="53"/>
      <c r="FE111" s="53"/>
      <c r="FF111" s="53"/>
      <c r="FG111" s="53"/>
      <c r="FH111" s="53"/>
      <c r="FI111" s="53"/>
      <c r="FJ111" s="53"/>
      <c r="FK111" s="53"/>
      <c r="FL111" s="53"/>
      <c r="FM111" s="53"/>
      <c r="FN111" s="53"/>
      <c r="FO111" s="53"/>
      <c r="FP111" s="53"/>
      <c r="FQ111" s="53"/>
      <c r="FR111" s="53"/>
      <c r="FS111" s="53"/>
      <c r="FT111" s="53"/>
      <c r="FU111" s="53"/>
      <c r="FV111" s="53"/>
      <c r="FW111" s="53"/>
      <c r="FX111" s="53"/>
      <c r="FY111" s="53"/>
      <c r="FZ111" s="53"/>
      <c r="GA111" s="53"/>
      <c r="GB111" s="53"/>
      <c r="GC111" s="53"/>
      <c r="GD111" s="53"/>
      <c r="GE111" s="53"/>
      <c r="GF111" s="53"/>
      <c r="GG111" s="53"/>
      <c r="GH111" s="53"/>
      <c r="GI111" s="53"/>
      <c r="GJ111" s="53"/>
      <c r="GK111" s="53"/>
      <c r="GL111" s="53"/>
      <c r="GM111" s="53"/>
      <c r="GN111" s="53"/>
      <c r="GO111" s="53"/>
      <c r="GP111" s="53"/>
      <c r="GQ111" s="53"/>
      <c r="GR111" s="53"/>
      <c r="GS111" s="53"/>
      <c r="GT111" s="53"/>
      <c r="GU111" s="53"/>
      <c r="GV111" s="53"/>
      <c r="GW111" s="53"/>
      <c r="GX111" s="53"/>
      <c r="GY111" s="53"/>
      <c r="GZ111" s="53"/>
      <c r="HA111" s="53"/>
      <c r="HB111" s="53"/>
      <c r="HC111" s="53"/>
      <c r="HD111" s="53"/>
      <c r="HE111" s="53"/>
      <c r="HF111" s="53"/>
      <c r="HG111" s="53"/>
      <c r="HH111" s="53"/>
      <c r="HI111" s="53"/>
      <c r="HJ111" s="53"/>
    </row>
  </sheetData>
  <pageMargins left="0.25" right="0" top="0.25" bottom="0" header="0" footer="0"/>
  <pageSetup paperSize="39" orientation="portrait" r:id="rId1"/>
  <headerFooter>
    <oddHeader>&amp;Rหน้า  &amp;P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C411C0BFFE9E4BB63DE98EAC7E8290" ma:contentTypeVersion="2" ma:contentTypeDescription="Create a new document." ma:contentTypeScope="" ma:versionID="ae63fa8e05a30461980aa187f368781a">
  <xsd:schema xmlns:xsd="http://www.w3.org/2001/XMLSchema" xmlns:xs="http://www.w3.org/2001/XMLSchema" xmlns:p="http://schemas.microsoft.com/office/2006/metadata/properties" xmlns:ns3="ad3ad44e-2dcf-4e5f-b44a-d31f07e78248" targetNamespace="http://schemas.microsoft.com/office/2006/metadata/properties" ma:root="true" ma:fieldsID="8acb261c2acae89cd65e7e2b4685b781" ns3:_="">
    <xsd:import namespace="ad3ad44e-2dcf-4e5f-b44a-d31f07e7824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3ad44e-2dcf-4e5f-b44a-d31f07e782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3C8E45F-414B-4216-95BA-9DCD51184F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3ad44e-2dcf-4e5f-b44a-d31f07e782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7C08A5-04C2-4282-84C0-5D9618B904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05C6E1-8298-4E41-8D79-A90F4E449CD8}">
  <ds:schemaRefs>
    <ds:schemaRef ds:uri="http://www.w3.org/XML/1998/namespace"/>
    <ds:schemaRef ds:uri="http://purl.org/dc/elements/1.1/"/>
    <ds:schemaRef ds:uri="ad3ad44e-2dcf-4e5f-b44a-d31f07e78248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Header</vt:lpstr>
      <vt:lpstr>volume</vt:lpstr>
      <vt:lpstr>Queue</vt:lpstr>
      <vt:lpstr>Report</vt:lpstr>
      <vt:lpstr>Analysis</vt:lpstr>
      <vt:lpstr>Report!Print_Area</vt:lpstr>
      <vt:lpstr>Analysis!Z_89E132C0_7630_11D1_8600_87467182CD24_.wvu.Cols</vt:lpstr>
      <vt:lpstr>volume!Z_89E132C0_7630_11D1_8600_87467182CD24_.wvu.Cols</vt:lpstr>
      <vt:lpstr>Analysis!Z_89E132C0_7630_11D1_8600_87467182CD24_.wvu.PrintArea</vt:lpstr>
      <vt:lpstr>volume!Z_89E132C0_7630_11D1_8600_87467182CD24_.wvu.PrintArea</vt:lpstr>
      <vt:lpstr>Report!Z_89E132C0_7630_11D1_8600_87467182CD24_.wvu.Rows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Mstat</dc:creator>
  <cp:lastModifiedBy>PRAPAWADEE W.</cp:lastModifiedBy>
  <cp:lastPrinted>2026-08-14T04:34:09Z</cp:lastPrinted>
  <dcterms:created xsi:type="dcterms:W3CDTF">2023-05-25T05:45:29Z</dcterms:created>
  <dcterms:modified xsi:type="dcterms:W3CDTF">2026-08-14T04:34:30Z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0x010100D7C411C0BFFE9E4BB63DE98EAC7E8290</vt:lpwstr>
  </property>
</Properties>
</file>